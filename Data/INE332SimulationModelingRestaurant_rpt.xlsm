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zeynep/Downloads/"/>
    </mc:Choice>
  </mc:AlternateContent>
  <xr:revisionPtr revIDLastSave="0" documentId="13_ncr:1_{D29C345D-0EE6-4B4C-A142-53B67DE4EE6C}" xr6:coauthVersionLast="47" xr6:coauthVersionMax="47" xr10:uidLastSave="{00000000-0000-0000-0000-000000000000}"/>
  <bookViews>
    <workbookView xWindow="1460" yWindow="1460" windowWidth="17280" windowHeight="888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ContinuousTimeStatsByRep!$A$1:$L$721</definedName>
    <definedName name="ExternalData_1" localSheetId="4" hidden="1">CounterStatsByRep!$A$1:$G$2</definedName>
    <definedName name="ExternalData_1" localSheetId="2" hidden="1">DiscreteTimeStatsByRep!$A$1:$K$481</definedName>
    <definedName name="ExternalData_1" localSheetId="6" hidden="1">FrequencyStatsByRep!$A$1:$K$2</definedName>
    <definedName name="ExternalData_1" localSheetId="5" hidden="1">OutputStatsByRep!$A$1:$H$391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I314" i="20"/>
  <c r="I315" i="20"/>
  <c r="I316" i="20"/>
  <c r="I317" i="20"/>
  <c r="I318" i="20"/>
  <c r="I319" i="20"/>
  <c r="I320" i="20"/>
  <c r="I321" i="20"/>
  <c r="I322" i="20"/>
  <c r="I323" i="20"/>
  <c r="I324" i="20"/>
  <c r="I325" i="20"/>
  <c r="I326" i="20"/>
  <c r="I327" i="20"/>
  <c r="I328" i="20"/>
  <c r="I329" i="20"/>
  <c r="I330" i="20"/>
  <c r="I331" i="20"/>
  <c r="I332" i="20"/>
  <c r="I333" i="20"/>
  <c r="I334" i="20"/>
  <c r="I335" i="20"/>
  <c r="I336" i="20"/>
  <c r="I337" i="20"/>
  <c r="I338" i="20"/>
  <c r="I339" i="20"/>
  <c r="I340" i="20"/>
  <c r="I341" i="20"/>
  <c r="I342" i="20"/>
  <c r="I343" i="20"/>
  <c r="I344" i="20"/>
  <c r="I345" i="20"/>
  <c r="I346" i="20"/>
  <c r="I347" i="20"/>
  <c r="I348" i="20"/>
  <c r="I349" i="20"/>
  <c r="I350" i="20"/>
  <c r="I351" i="20"/>
  <c r="I352" i="20"/>
  <c r="I353" i="20"/>
  <c r="I354" i="20"/>
  <c r="I355" i="20"/>
  <c r="I356" i="20"/>
  <c r="I357" i="20"/>
  <c r="I358" i="20"/>
  <c r="I359" i="20"/>
  <c r="I360" i="20"/>
  <c r="I361" i="20"/>
  <c r="I362" i="20"/>
  <c r="I363" i="20"/>
  <c r="I364" i="20"/>
  <c r="I365" i="20"/>
  <c r="K6" i="20" s="1" a="1"/>
  <c r="K6" i="20" s="1"/>
  <c r="I366" i="20"/>
  <c r="I367" i="20"/>
  <c r="I368" i="20"/>
  <c r="I369" i="20"/>
  <c r="I370" i="20"/>
  <c r="I371" i="20"/>
  <c r="I372" i="20"/>
  <c r="I373" i="20"/>
  <c r="I374" i="20"/>
  <c r="I375" i="20"/>
  <c r="I376" i="20"/>
  <c r="I377" i="20"/>
  <c r="I378" i="20"/>
  <c r="I379" i="20"/>
  <c r="I380" i="20"/>
  <c r="I381" i="20"/>
  <c r="I382" i="20"/>
  <c r="I383" i="20"/>
  <c r="I384" i="20"/>
  <c r="I385" i="20"/>
  <c r="I386" i="20"/>
  <c r="I387" i="20"/>
  <c r="I388" i="20"/>
  <c r="I389" i="20"/>
  <c r="I390" i="20"/>
  <c r="I391" i="20"/>
  <c r="J2" i="20" a="1"/>
  <c r="J2" i="20" s="1"/>
  <c r="J3" i="20" a="1"/>
  <c r="J3" i="20" s="1"/>
  <c r="J4" i="20" a="1"/>
  <c r="J4" i="20" s="1"/>
  <c r="J5" i="20" a="1"/>
  <c r="J5" i="20" s="1"/>
  <c r="N5" i="20" s="1"/>
  <c r="J6" i="20" a="1"/>
  <c r="J6" i="20"/>
  <c r="J7" i="20" a="1"/>
  <c r="J7" i="20" s="1"/>
  <c r="J8" i="20" a="1"/>
  <c r="J8" i="20" s="1"/>
  <c r="J9" i="20" a="1"/>
  <c r="J9" i="20"/>
  <c r="J10" i="20" a="1"/>
  <c r="J10" i="20" s="1"/>
  <c r="N10" i="20" s="1"/>
  <c r="J11" i="20" a="1"/>
  <c r="J11" i="20"/>
  <c r="J12" i="20" a="1"/>
  <c r="J12" i="20" s="1"/>
  <c r="J13" i="20" a="1"/>
  <c r="J13" i="20" s="1"/>
  <c r="J14" i="20" a="1"/>
  <c r="J14" i="20"/>
  <c r="J15" i="20" a="1"/>
  <c r="J15" i="20" s="1"/>
  <c r="J16" i="20" a="1"/>
  <c r="J16" i="20" s="1"/>
  <c r="J17" i="20" a="1"/>
  <c r="J17" i="20" s="1"/>
  <c r="J18" i="20" a="1"/>
  <c r="J18" i="20" s="1"/>
  <c r="N18" i="20" s="1"/>
  <c r="J19" i="20" a="1"/>
  <c r="J19" i="20"/>
  <c r="J20" i="20" a="1"/>
  <c r="J20" i="20" s="1"/>
  <c r="J21" i="20" a="1"/>
  <c r="J21" i="20" s="1"/>
  <c r="J22" i="20" a="1"/>
  <c r="J22" i="20" s="1"/>
  <c r="N22" i="20" s="1"/>
  <c r="J23" i="20" a="1"/>
  <c r="J23" i="20" s="1"/>
  <c r="J24" i="20" a="1"/>
  <c r="J24" i="20" s="1"/>
  <c r="J25" i="20" a="1"/>
  <c r="J25" i="20"/>
  <c r="J26" i="20" a="1"/>
  <c r="J26" i="20" s="1"/>
  <c r="N26" i="20" s="1"/>
  <c r="J27" i="20" a="1"/>
  <c r="J27" i="20"/>
  <c r="J28" i="20" a="1"/>
  <c r="J28" i="20" s="1"/>
  <c r="J29" i="20" a="1"/>
  <c r="J29" i="20" s="1"/>
  <c r="J30" i="20" a="1"/>
  <c r="J30" i="20"/>
  <c r="J31" i="20" a="1"/>
  <c r="J31" i="20" s="1"/>
  <c r="J32" i="20" a="1"/>
  <c r="J32" i="20" s="1"/>
  <c r="J33" i="20" a="1"/>
  <c r="J33" i="20"/>
  <c r="J34" i="20" a="1"/>
  <c r="J34" i="20" s="1"/>
  <c r="N34" i="20" s="1"/>
  <c r="J35" i="20" a="1"/>
  <c r="J35" i="20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/>
  <c r="J42" i="20" a="1"/>
  <c r="J42" i="20" s="1"/>
  <c r="N42" i="20" s="1"/>
  <c r="J43" i="20" a="1"/>
  <c r="J43" i="20" s="1"/>
  <c r="J44" i="20" a="1"/>
  <c r="J44" i="20" s="1"/>
  <c r="J45" i="20" a="1"/>
  <c r="J45" i="20" s="1"/>
  <c r="J46" i="20" a="1"/>
  <c r="J46" i="20"/>
  <c r="J47" i="20" a="1"/>
  <c r="J47" i="20" s="1"/>
  <c r="J48" i="20" a="1"/>
  <c r="J48" i="20" s="1"/>
  <c r="J49" i="20" a="1"/>
  <c r="J49" i="20" s="1"/>
  <c r="J50" i="20" a="1"/>
  <c r="J50" i="20"/>
  <c r="J51" i="20" a="1"/>
  <c r="J51" i="20" s="1"/>
  <c r="J52" i="20" a="1"/>
  <c r="J52" i="20" s="1"/>
  <c r="J53" i="20" a="1"/>
  <c r="J53" i="20" s="1"/>
  <c r="J54" i="20" a="1"/>
  <c r="J54" i="20" s="1"/>
  <c r="J55" i="20" a="1"/>
  <c r="J55" i="20"/>
  <c r="J56" i="20" a="1"/>
  <c r="J56" i="20" s="1"/>
  <c r="J57" i="20" a="1"/>
  <c r="J57" i="20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N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N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N78" i="20" s="1"/>
  <c r="J79" i="20" a="1"/>
  <c r="J79" i="20" s="1"/>
  <c r="J80" i="20" a="1"/>
  <c r="J80" i="20" s="1"/>
  <c r="J81" i="20" a="1"/>
  <c r="J81" i="20" s="1"/>
  <c r="J82" i="20" a="1"/>
  <c r="J82" i="20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N98" i="20" s="1"/>
  <c r="J99" i="20" a="1"/>
  <c r="J99" i="20" s="1"/>
  <c r="J100" i="20" a="1"/>
  <c r="J100" i="20" s="1"/>
  <c r="J101" i="20" a="1"/>
  <c r="J101" i="20"/>
  <c r="J102" i="20" a="1"/>
  <c r="J102" i="20" s="1"/>
  <c r="J103" i="20" a="1"/>
  <c r="J103" i="20" s="1"/>
  <c r="J104" i="20" a="1"/>
  <c r="J104" i="20" s="1"/>
  <c r="J105" i="20" a="1"/>
  <c r="J105" i="20"/>
  <c r="J106" i="20" a="1"/>
  <c r="J106" i="20" s="1"/>
  <c r="J107" i="20" a="1"/>
  <c r="J107" i="20"/>
  <c r="J108" i="20" a="1"/>
  <c r="J108" i="20" s="1"/>
  <c r="J109" i="20" a="1"/>
  <c r="J109" i="20" s="1"/>
  <c r="J110" i="20" a="1"/>
  <c r="J110" i="20" s="1"/>
  <c r="N110" i="20" s="1"/>
  <c r="J111" i="20" a="1"/>
  <c r="J111" i="20" s="1"/>
  <c r="J112" i="20" a="1"/>
  <c r="J112" i="20" s="1"/>
  <c r="J113" i="20" a="1"/>
  <c r="J113" i="20" s="1"/>
  <c r="J114" i="20" a="1"/>
  <c r="J114" i="20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/>
  <c r="J122" i="20" a="1"/>
  <c r="J122" i="20" s="1"/>
  <c r="J123" i="20" a="1"/>
  <c r="J123" i="20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/>
  <c r="J131" i="20" a="1"/>
  <c r="J131" i="20" s="1"/>
  <c r="J132" i="20" a="1"/>
  <c r="J132" i="20" s="1"/>
  <c r="J133" i="20" a="1"/>
  <c r="J133" i="20"/>
  <c r="J134" i="20" a="1"/>
  <c r="J134" i="20" s="1"/>
  <c r="J135" i="20" a="1"/>
  <c r="J135" i="20" s="1"/>
  <c r="J136" i="20" a="1"/>
  <c r="J136" i="20" s="1"/>
  <c r="J137" i="20" a="1"/>
  <c r="J137" i="20" s="1"/>
  <c r="N137" i="20" s="1"/>
  <c r="J138" i="20" a="1"/>
  <c r="J138" i="20" s="1"/>
  <c r="J139" i="20" a="1"/>
  <c r="J139" i="20"/>
  <c r="J140" i="20" a="1"/>
  <c r="J140" i="20" s="1"/>
  <c r="J141" i="20" a="1"/>
  <c r="J141" i="20" s="1"/>
  <c r="J142" i="20" a="1"/>
  <c r="J142" i="20"/>
  <c r="J143" i="20" a="1"/>
  <c r="J143" i="20" s="1"/>
  <c r="J144" i="20" a="1"/>
  <c r="J144" i="20" s="1"/>
  <c r="J145" i="20" a="1"/>
  <c r="J145" i="20" s="1"/>
  <c r="J146" i="20" a="1"/>
  <c r="J146" i="20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/>
  <c r="J152" i="20" a="1"/>
  <c r="J152" i="20" s="1"/>
  <c r="J153" i="20" a="1"/>
  <c r="J153" i="20" s="1"/>
  <c r="N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N162" i="20" s="1"/>
  <c r="J163" i="20" a="1"/>
  <c r="J163" i="20" s="1"/>
  <c r="J164" i="20" a="1"/>
  <c r="J164" i="20" s="1"/>
  <c r="J165" i="20" a="1"/>
  <c r="J165" i="20"/>
  <c r="J166" i="20" a="1"/>
  <c r="J166" i="20" s="1"/>
  <c r="J167" i="20" a="1"/>
  <c r="J167" i="20" s="1"/>
  <c r="J168" i="20" a="1"/>
  <c r="J168" i="20" s="1"/>
  <c r="J169" i="20" a="1"/>
  <c r="J169" i="20"/>
  <c r="J170" i="20" a="1"/>
  <c r="J170" i="20" s="1"/>
  <c r="J171" i="20" a="1"/>
  <c r="J171" i="20"/>
  <c r="J172" i="20" a="1"/>
  <c r="J172" i="20" s="1"/>
  <c r="J173" i="20" a="1"/>
  <c r="J173" i="20" s="1"/>
  <c r="J174" i="20" a="1"/>
  <c r="J174" i="20" s="1"/>
  <c r="N174" i="20" s="1"/>
  <c r="J175" i="20" a="1"/>
  <c r="J175" i="20" s="1"/>
  <c r="J176" i="20" a="1"/>
  <c r="J176" i="20" s="1"/>
  <c r="J177" i="20" a="1"/>
  <c r="J177" i="20" s="1"/>
  <c r="J178" i="20" a="1"/>
  <c r="J178" i="20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/>
  <c r="J184" i="20" a="1"/>
  <c r="J184" i="20" s="1"/>
  <c r="J185" i="20" a="1"/>
  <c r="J185" i="20" s="1"/>
  <c r="J186" i="20" a="1"/>
  <c r="J186" i="20" s="1"/>
  <c r="J187" i="20" a="1"/>
  <c r="J187" i="20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N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N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/>
  <c r="J216" i="20" a="1"/>
  <c r="J216" i="20" s="1"/>
  <c r="J217" i="20" a="1"/>
  <c r="J217" i="20"/>
  <c r="J218" i="20" a="1"/>
  <c r="J218" i="20" s="1"/>
  <c r="J219" i="20" a="1"/>
  <c r="J219" i="20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/>
  <c r="J239" i="20" a="1"/>
  <c r="J239" i="20" s="1"/>
  <c r="J240" i="20" a="1"/>
  <c r="J240" i="20" s="1"/>
  <c r="J241" i="20" a="1"/>
  <c r="J241" i="20" s="1"/>
  <c r="J242" i="20" a="1"/>
  <c r="J242" i="20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/>
  <c r="J252" i="20" a="1"/>
  <c r="J252" i="20" s="1"/>
  <c r="J253" i="20" a="1"/>
  <c r="J253" i="20" s="1"/>
  <c r="J254" i="20" a="1"/>
  <c r="J254" i="20" s="1"/>
  <c r="J255" i="20" a="1"/>
  <c r="J255" i="20" s="1"/>
  <c r="J256" i="20" a="1"/>
  <c r="J256" i="20" s="1"/>
  <c r="J257" i="20" a="1"/>
  <c r="J257" i="20" s="1"/>
  <c r="J258" i="20" a="1"/>
  <c r="J258" i="20"/>
  <c r="J259" i="20" a="1"/>
  <c r="J259" i="20" s="1"/>
  <c r="J260" i="20" a="1"/>
  <c r="J260" i="20" s="1"/>
  <c r="J261" i="20" a="1"/>
  <c r="J261" i="20"/>
  <c r="J262" i="20" a="1"/>
  <c r="J262" i="20" s="1"/>
  <c r="J263" i="20" a="1"/>
  <c r="J263" i="20" s="1"/>
  <c r="J264" i="20" a="1"/>
  <c r="J264" i="20" s="1"/>
  <c r="J265" i="20" a="1"/>
  <c r="J265" i="20"/>
  <c r="J266" i="20" a="1"/>
  <c r="J266" i="20" s="1"/>
  <c r="J267" i="20" a="1"/>
  <c r="J267" i="20"/>
  <c r="J268" i="20" a="1"/>
  <c r="J268" i="20" s="1"/>
  <c r="J269" i="20" a="1"/>
  <c r="J269" i="20" s="1"/>
  <c r="J270" i="20" a="1"/>
  <c r="J270" i="20"/>
  <c r="J271" i="20" a="1"/>
  <c r="J271" i="20" s="1"/>
  <c r="J272" i="20" a="1"/>
  <c r="J272" i="20" s="1"/>
  <c r="J273" i="20" a="1"/>
  <c r="J273" i="20"/>
  <c r="J274" i="20" a="1"/>
  <c r="J274" i="20" s="1"/>
  <c r="J275" i="20" a="1"/>
  <c r="J275" i="20" s="1"/>
  <c r="J276" i="20" a="1"/>
  <c r="J276" i="20" s="1"/>
  <c r="J277" i="20" a="1"/>
  <c r="J277" i="20" s="1"/>
  <c r="J278" i="20" a="1"/>
  <c r="J278" i="20" s="1"/>
  <c r="J279" i="20" a="1"/>
  <c r="J279" i="20"/>
  <c r="J280" i="20" a="1"/>
  <c r="J280" i="20" s="1"/>
  <c r="J281" i="20" a="1"/>
  <c r="J281" i="20"/>
  <c r="J282" i="20" a="1"/>
  <c r="J282" i="20"/>
  <c r="J283" i="20" a="1"/>
  <c r="J283" i="20" s="1"/>
  <c r="J284" i="20" a="1"/>
  <c r="J284" i="20" s="1"/>
  <c r="J285" i="20" a="1"/>
  <c r="J285" i="20" s="1"/>
  <c r="J286" i="20" a="1"/>
  <c r="J286" i="20" s="1"/>
  <c r="J287" i="20" a="1"/>
  <c r="J287" i="20" s="1"/>
  <c r="J288" i="20" a="1"/>
  <c r="J288" i="20" s="1"/>
  <c r="J289" i="20" a="1"/>
  <c r="J289" i="20" s="1"/>
  <c r="J290" i="20" a="1"/>
  <c r="J290" i="20" s="1"/>
  <c r="N290" i="20" s="1"/>
  <c r="J291" i="20" a="1"/>
  <c r="J291" i="20" s="1"/>
  <c r="N291" i="20" s="1"/>
  <c r="J292" i="20" a="1"/>
  <c r="J292" i="20" s="1"/>
  <c r="J293" i="20" a="1"/>
  <c r="J293" i="20"/>
  <c r="J294" i="20" a="1"/>
  <c r="J294" i="20" s="1"/>
  <c r="J295" i="20" a="1"/>
  <c r="J295" i="20" s="1"/>
  <c r="J296" i="20" a="1"/>
  <c r="J296" i="20" s="1"/>
  <c r="J297" i="20" a="1"/>
  <c r="J297" i="20" s="1"/>
  <c r="J298" i="20" a="1"/>
  <c r="J298" i="20" s="1"/>
  <c r="J299" i="20" a="1"/>
  <c r="J299" i="20"/>
  <c r="J300" i="20" a="1"/>
  <c r="J300" i="20" s="1"/>
  <c r="J301" i="20" a="1"/>
  <c r="J301" i="20" s="1"/>
  <c r="J302" i="20" a="1"/>
  <c r="J302" i="20"/>
  <c r="J303" i="20" a="1"/>
  <c r="J303" i="20" s="1"/>
  <c r="J304" i="20" a="1"/>
  <c r="J304" i="20" s="1"/>
  <c r="J305" i="20" a="1"/>
  <c r="J305" i="20"/>
  <c r="J306" i="20" a="1"/>
  <c r="J306" i="20" s="1"/>
  <c r="N306" i="20" s="1"/>
  <c r="J307" i="20" a="1"/>
  <c r="J307" i="20" s="1"/>
  <c r="J308" i="20" a="1"/>
  <c r="J308" i="20" s="1"/>
  <c r="J309" i="20" a="1"/>
  <c r="J309" i="20" s="1"/>
  <c r="J310" i="20" a="1"/>
  <c r="J310" i="20" s="1"/>
  <c r="J311" i="20" a="1"/>
  <c r="J311" i="20"/>
  <c r="J312" i="20" a="1"/>
  <c r="J312" i="20" s="1"/>
  <c r="J313" i="20" a="1"/>
  <c r="J313" i="20" s="1"/>
  <c r="J314" i="20" a="1"/>
  <c r="J314" i="20" s="1"/>
  <c r="N314" i="20" s="1"/>
  <c r="J315" i="20" a="1"/>
  <c r="J315" i="20"/>
  <c r="J316" i="20" a="1"/>
  <c r="J316" i="20" s="1"/>
  <c r="J317" i="20" a="1"/>
  <c r="J317" i="20" s="1"/>
  <c r="J318" i="20" a="1"/>
  <c r="J318" i="20" s="1"/>
  <c r="J319" i="20" a="1"/>
  <c r="J319" i="20" s="1"/>
  <c r="J320" i="20" a="1"/>
  <c r="J320" i="20" s="1"/>
  <c r="J321" i="20" a="1"/>
  <c r="J321" i="20" s="1"/>
  <c r="J322" i="20" a="1"/>
  <c r="J322" i="20"/>
  <c r="J323" i="20" a="1"/>
  <c r="J323" i="20"/>
  <c r="J324" i="20" a="1"/>
  <c r="J324" i="20" s="1"/>
  <c r="J325" i="20" a="1"/>
  <c r="J325" i="20"/>
  <c r="J326" i="20" a="1"/>
  <c r="J326" i="20" s="1"/>
  <c r="J327" i="20" a="1"/>
  <c r="J327" i="20" s="1"/>
  <c r="J328" i="20" a="1"/>
  <c r="J328" i="20" s="1"/>
  <c r="J329" i="20" a="1"/>
  <c r="J329" i="20"/>
  <c r="J330" i="20" a="1"/>
  <c r="J330" i="20" s="1"/>
  <c r="N330" i="20" s="1"/>
  <c r="J331" i="20" a="1"/>
  <c r="J331" i="20" s="1"/>
  <c r="N331" i="20" s="1"/>
  <c r="J332" i="20" a="1"/>
  <c r="J332" i="20" s="1"/>
  <c r="J333" i="20" a="1"/>
  <c r="J333" i="20" s="1"/>
  <c r="J334" i="20" a="1"/>
  <c r="J334" i="20"/>
  <c r="J335" i="20" a="1"/>
  <c r="J335" i="20" s="1"/>
  <c r="J336" i="20" a="1"/>
  <c r="J336" i="20" s="1"/>
  <c r="J337" i="20" a="1"/>
  <c r="J337" i="20" s="1"/>
  <c r="J338" i="20" a="1"/>
  <c r="J338" i="20"/>
  <c r="J339" i="20" a="1"/>
  <c r="J339" i="20"/>
  <c r="J340" i="20" a="1"/>
  <c r="J340" i="20" s="1"/>
  <c r="J341" i="20" a="1"/>
  <c r="J341" i="20" s="1"/>
  <c r="J342" i="20" a="1"/>
  <c r="J342" i="20" s="1"/>
  <c r="J343" i="20" a="1"/>
  <c r="J343" i="20"/>
  <c r="J344" i="20" a="1"/>
  <c r="J344" i="20" s="1"/>
  <c r="J345" i="20" a="1"/>
  <c r="J345" i="20" s="1"/>
  <c r="J346" i="20" a="1"/>
  <c r="J346" i="20" s="1"/>
  <c r="J347" i="20" a="1"/>
  <c r="J347" i="20" s="1"/>
  <c r="J348" i="20" a="1"/>
  <c r="J348" i="20" s="1"/>
  <c r="J349" i="20" a="1"/>
  <c r="J349" i="20" s="1"/>
  <c r="J350" i="20" a="1"/>
  <c r="J350" i="20" s="1"/>
  <c r="J351" i="20" a="1"/>
  <c r="J351" i="20"/>
  <c r="J352" i="20" a="1"/>
  <c r="J352" i="20" s="1"/>
  <c r="J353" i="20" a="1"/>
  <c r="J353" i="20" s="1"/>
  <c r="J354" i="20" a="1"/>
  <c r="J354" i="20" s="1"/>
  <c r="J355" i="20" a="1"/>
  <c r="J355" i="20" s="1"/>
  <c r="N355" i="20" s="1"/>
  <c r="J356" i="20" a="1"/>
  <c r="J356" i="20" s="1"/>
  <c r="J357" i="20" a="1"/>
  <c r="J357" i="20" s="1"/>
  <c r="J358" i="20" a="1"/>
  <c r="J358" i="20" s="1"/>
  <c r="J359" i="20" a="1"/>
  <c r="J359" i="20"/>
  <c r="J360" i="20" a="1"/>
  <c r="J360" i="20" s="1"/>
  <c r="J361" i="20" a="1"/>
  <c r="J361" i="20" s="1"/>
  <c r="J362" i="20" a="1"/>
  <c r="J362" i="20" s="1"/>
  <c r="J363" i="20" a="1"/>
  <c r="J363" i="20"/>
  <c r="J364" i="20" a="1"/>
  <c r="J364" i="20" s="1"/>
  <c r="J365" i="20" a="1"/>
  <c r="J365" i="20" s="1"/>
  <c r="J366" i="20" a="1"/>
  <c r="J366" i="20" s="1"/>
  <c r="J367" i="20" a="1"/>
  <c r="J367" i="20" s="1"/>
  <c r="J368" i="20" a="1"/>
  <c r="J368" i="20" s="1"/>
  <c r="J369" i="20" a="1"/>
  <c r="J369" i="20" s="1"/>
  <c r="J370" i="20" a="1"/>
  <c r="J370" i="20" s="1"/>
  <c r="J371" i="20" a="1"/>
  <c r="J371" i="20"/>
  <c r="J372" i="20" a="1"/>
  <c r="J372" i="20" s="1"/>
  <c r="J373" i="20" a="1"/>
  <c r="J373" i="20" s="1"/>
  <c r="J374" i="20" a="1"/>
  <c r="J374" i="20" s="1"/>
  <c r="J375" i="20" a="1"/>
  <c r="J375" i="20" s="1"/>
  <c r="J376" i="20" a="1"/>
  <c r="J376" i="20" s="1"/>
  <c r="J377" i="20" a="1"/>
  <c r="J377" i="20"/>
  <c r="J378" i="20" a="1"/>
  <c r="J378" i="20" s="1"/>
  <c r="J379" i="20" a="1"/>
  <c r="J379" i="20" s="1"/>
  <c r="J380" i="20" a="1"/>
  <c r="J380" i="20" s="1"/>
  <c r="J381" i="20" a="1"/>
  <c r="J381" i="20" s="1"/>
  <c r="J382" i="20" a="1"/>
  <c r="J382" i="20" s="1"/>
  <c r="J383" i="20" a="1"/>
  <c r="J383" i="20" s="1"/>
  <c r="J384" i="20" a="1"/>
  <c r="J384" i="20" s="1"/>
  <c r="J385" i="20" a="1"/>
  <c r="J385" i="20" s="1"/>
  <c r="J386" i="20" a="1"/>
  <c r="J386" i="20" s="1"/>
  <c r="J387" i="20" a="1"/>
  <c r="J387" i="20"/>
  <c r="J388" i="20" a="1"/>
  <c r="J388" i="20" s="1"/>
  <c r="J389" i="20" a="1"/>
  <c r="J389" i="20" s="1"/>
  <c r="J390" i="20" a="1"/>
  <c r="J390" i="20" s="1"/>
  <c r="J391" i="20" a="1"/>
  <c r="J391" i="20" s="1"/>
  <c r="K2" i="20" a="1"/>
  <c r="K2" i="20" s="1"/>
  <c r="K3" i="20" a="1"/>
  <c r="K3" i="20" s="1"/>
  <c r="K4" i="20" a="1"/>
  <c r="K4" i="20" s="1"/>
  <c r="K5" i="20" a="1"/>
  <c r="K5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72" i="20" a="1"/>
  <c r="K72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0" i="20" a="1"/>
  <c r="K80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8" i="20" a="1"/>
  <c r="K88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6" i="20" a="1"/>
  <c r="K96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4" i="20" a="1"/>
  <c r="K124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 s="1"/>
  <c r="K130" i="20" a="1"/>
  <c r="K130" i="20" s="1"/>
  <c r="K131" i="20" a="1"/>
  <c r="K131" i="20" s="1"/>
  <c r="K132" i="20" a="1"/>
  <c r="K132" i="20" s="1"/>
  <c r="K133" i="20" a="1"/>
  <c r="K133" i="20" s="1"/>
  <c r="K134" i="20" a="1"/>
  <c r="K134" i="20" s="1"/>
  <c r="K135" i="20" a="1"/>
  <c r="K135" i="20" s="1"/>
  <c r="K136" i="20" a="1"/>
  <c r="K136" i="20" s="1"/>
  <c r="K137" i="20" a="1"/>
  <c r="K137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5" i="20" a="1"/>
  <c r="K145" i="20" s="1"/>
  <c r="K146" i="20" a="1"/>
  <c r="K146" i="20" s="1"/>
  <c r="K147" i="20" a="1"/>
  <c r="K147" i="20" s="1"/>
  <c r="K148" i="20" a="1"/>
  <c r="K148" i="20" s="1"/>
  <c r="K149" i="20" a="1"/>
  <c r="K149" i="20" s="1"/>
  <c r="K150" i="20" a="1"/>
  <c r="K150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/>
  <c r="K158" i="20" a="1"/>
  <c r="K158" i="20" s="1"/>
  <c r="K159" i="20" a="1"/>
  <c r="K159" i="20" s="1"/>
  <c r="K160" i="20" a="1"/>
  <c r="K160" i="20" s="1"/>
  <c r="K161" i="20" a="1"/>
  <c r="K161" i="20" s="1"/>
  <c r="K162" i="20" a="1"/>
  <c r="K162" i="20" s="1"/>
  <c r="K163" i="20" a="1"/>
  <c r="K163" i="20" s="1"/>
  <c r="K164" i="20" a="1"/>
  <c r="K164" i="20" s="1"/>
  <c r="K165" i="20" a="1"/>
  <c r="K165" i="20" s="1"/>
  <c r="K166" i="20" a="1"/>
  <c r="K166" i="20" s="1"/>
  <c r="K167" i="20" a="1"/>
  <c r="K167" i="20" s="1"/>
  <c r="K168" i="20" a="1"/>
  <c r="K168" i="20" s="1"/>
  <c r="K169" i="20" a="1"/>
  <c r="K169" i="20"/>
  <c r="K170" i="20" a="1"/>
  <c r="K170" i="20" s="1"/>
  <c r="K171" i="20" a="1"/>
  <c r="K171" i="20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/>
  <c r="K178" i="20" a="1"/>
  <c r="K178" i="20" s="1"/>
  <c r="K179" i="20" a="1"/>
  <c r="K179" i="20" s="1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/>
  <c r="K186" i="20" a="1"/>
  <c r="K186" i="20" s="1"/>
  <c r="K187" i="20" a="1"/>
  <c r="K187" i="20" s="1"/>
  <c r="K188" i="20" a="1"/>
  <c r="K188" i="20" s="1"/>
  <c r="K189" i="20" a="1"/>
  <c r="K189" i="20" s="1"/>
  <c r="K190" i="20" a="1"/>
  <c r="K190" i="20" s="1"/>
  <c r="K191" i="20" a="1"/>
  <c r="K191" i="20" s="1"/>
  <c r="K192" i="20" a="1"/>
  <c r="K192" i="20" s="1"/>
  <c r="K193" i="20" a="1"/>
  <c r="K193" i="20" s="1"/>
  <c r="K194" i="20" a="1"/>
  <c r="K194" i="20" s="1"/>
  <c r="K195" i="20" a="1"/>
  <c r="K195" i="20" s="1"/>
  <c r="K196" i="20" a="1"/>
  <c r="K196" i="20" s="1"/>
  <c r="K197" i="20" a="1"/>
  <c r="K197" i="20" s="1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 s="1"/>
  <c r="K206" i="20" a="1"/>
  <c r="K206" i="20" s="1"/>
  <c r="K207" i="20" a="1"/>
  <c r="K207" i="20" s="1"/>
  <c r="K208" i="20" a="1"/>
  <c r="K208" i="20" s="1"/>
  <c r="K209" i="20" a="1"/>
  <c r="K209" i="20"/>
  <c r="K210" i="20" a="1"/>
  <c r="K210" i="20" s="1"/>
  <c r="K211" i="20" a="1"/>
  <c r="K211" i="20" s="1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 s="1"/>
  <c r="K226" i="20" a="1"/>
  <c r="K226" i="20" s="1"/>
  <c r="K227" i="20" a="1"/>
  <c r="K227" i="20"/>
  <c r="K228" i="20" a="1"/>
  <c r="K228" i="20" s="1"/>
  <c r="K229" i="20" a="1"/>
  <c r="K229" i="20" s="1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 s="1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/>
  <c r="K251" i="20" a="1"/>
  <c r="K251" i="20" s="1"/>
  <c r="K252" i="20" a="1"/>
  <c r="K252" i="20" s="1"/>
  <c r="K253" i="20" a="1"/>
  <c r="K253" i="20" s="1"/>
  <c r="K254" i="20" a="1"/>
  <c r="K254" i="20" s="1"/>
  <c r="K255" i="20" a="1"/>
  <c r="K255" i="20" s="1"/>
  <c r="K256" i="20" a="1"/>
  <c r="K256" i="20" s="1"/>
  <c r="K257" i="20" a="1"/>
  <c r="K257" i="20" s="1"/>
  <c r="K258" i="20" a="1"/>
  <c r="K258" i="20" s="1"/>
  <c r="K259" i="20" a="1"/>
  <c r="K259" i="20"/>
  <c r="K260" i="20" a="1"/>
  <c r="K260" i="20" s="1"/>
  <c r="K261" i="20" a="1"/>
  <c r="K261" i="20" s="1"/>
  <c r="K262" i="20" a="1"/>
  <c r="K262" i="20" s="1"/>
  <c r="K263" i="20" a="1"/>
  <c r="K263" i="20" s="1"/>
  <c r="K264" i="20" a="1"/>
  <c r="K264" i="20" s="1"/>
  <c r="K265" i="20" a="1"/>
  <c r="K265" i="20" s="1"/>
  <c r="K266" i="20" a="1"/>
  <c r="K266" i="20" s="1"/>
  <c r="K267" i="20" a="1"/>
  <c r="K267" i="20" s="1"/>
  <c r="K268" i="20" a="1"/>
  <c r="K268" i="20" s="1"/>
  <c r="K269" i="20" a="1"/>
  <c r="K269" i="20" s="1"/>
  <c r="K270" i="20" a="1"/>
  <c r="K270" i="20" s="1"/>
  <c r="K271" i="20" a="1"/>
  <c r="K271" i="20" s="1"/>
  <c r="K272" i="20" a="1"/>
  <c r="K272" i="20" s="1"/>
  <c r="K273" i="20" a="1"/>
  <c r="K273" i="20" s="1"/>
  <c r="K274" i="20" a="1"/>
  <c r="K274" i="20" s="1"/>
  <c r="K275" i="20" a="1"/>
  <c r="K275" i="20" s="1"/>
  <c r="K276" i="20" a="1"/>
  <c r="K276" i="20" s="1"/>
  <c r="K277" i="20" a="1"/>
  <c r="K277" i="20" s="1"/>
  <c r="K278" i="20" a="1"/>
  <c r="K278" i="20" s="1"/>
  <c r="K279" i="20" a="1"/>
  <c r="K279" i="20" s="1"/>
  <c r="K280" i="20" a="1"/>
  <c r="K280" i="20" s="1"/>
  <c r="K281" i="20" a="1"/>
  <c r="K281" i="20" s="1"/>
  <c r="K282" i="20" a="1"/>
  <c r="K282" i="20" s="1"/>
  <c r="K283" i="20" a="1"/>
  <c r="K283" i="20" s="1"/>
  <c r="K284" i="20" a="1"/>
  <c r="K284" i="20" s="1"/>
  <c r="K285" i="20" a="1"/>
  <c r="K285" i="20" s="1"/>
  <c r="K286" i="20" a="1"/>
  <c r="K286" i="20" s="1"/>
  <c r="K287" i="20" a="1"/>
  <c r="K287" i="20" s="1"/>
  <c r="K288" i="20" a="1"/>
  <c r="K288" i="20" s="1"/>
  <c r="K289" i="20" a="1"/>
  <c r="K289" i="20" s="1"/>
  <c r="K290" i="20" a="1"/>
  <c r="K290" i="20" s="1"/>
  <c r="K291" i="20" a="1"/>
  <c r="K291" i="20" s="1"/>
  <c r="K292" i="20" a="1"/>
  <c r="K292" i="20" s="1"/>
  <c r="K293" i="20" a="1"/>
  <c r="K293" i="20" s="1"/>
  <c r="K294" i="20" a="1"/>
  <c r="K294" i="20" s="1"/>
  <c r="K295" i="20" a="1"/>
  <c r="K295" i="20" s="1"/>
  <c r="K296" i="20" a="1"/>
  <c r="K296" i="20" s="1"/>
  <c r="K297" i="20" a="1"/>
  <c r="K297" i="20" s="1"/>
  <c r="K298" i="20" a="1"/>
  <c r="K298" i="20" s="1"/>
  <c r="K299" i="20" a="1"/>
  <c r="K299" i="20" s="1"/>
  <c r="K300" i="20" a="1"/>
  <c r="K300" i="20" s="1"/>
  <c r="K301" i="20" a="1"/>
  <c r="K301" i="20" s="1"/>
  <c r="K302" i="20" a="1"/>
  <c r="K302" i="20" s="1"/>
  <c r="K303" i="20" a="1"/>
  <c r="K303" i="20" s="1"/>
  <c r="K304" i="20" a="1"/>
  <c r="K304" i="20" s="1"/>
  <c r="K305" i="20" a="1"/>
  <c r="K305" i="20" s="1"/>
  <c r="K306" i="20" a="1"/>
  <c r="K306" i="20" s="1"/>
  <c r="K307" i="20" a="1"/>
  <c r="K307" i="20" s="1"/>
  <c r="K308" i="20" a="1"/>
  <c r="K308" i="20" s="1"/>
  <c r="K309" i="20" a="1"/>
  <c r="K309" i="20" s="1"/>
  <c r="K310" i="20" a="1"/>
  <c r="K310" i="20" s="1"/>
  <c r="K311" i="20" a="1"/>
  <c r="K311" i="20" s="1"/>
  <c r="K312" i="20" a="1"/>
  <c r="K312" i="20" s="1"/>
  <c r="K313" i="20" a="1"/>
  <c r="K313" i="20" s="1"/>
  <c r="K314" i="20" a="1"/>
  <c r="K314" i="20"/>
  <c r="K315" i="20" a="1"/>
  <c r="K315" i="20" s="1"/>
  <c r="K316" i="20" a="1"/>
  <c r="K316" i="20" s="1"/>
  <c r="K317" i="20" a="1"/>
  <c r="K317" i="20" s="1"/>
  <c r="K318" i="20" a="1"/>
  <c r="K318" i="20" s="1"/>
  <c r="K319" i="20" a="1"/>
  <c r="K319" i="20" s="1"/>
  <c r="K320" i="20" a="1"/>
  <c r="K320" i="20" s="1"/>
  <c r="K321" i="20" a="1"/>
  <c r="K321" i="20" s="1"/>
  <c r="K322" i="20" a="1"/>
  <c r="K322" i="20" s="1"/>
  <c r="K323" i="20" a="1"/>
  <c r="K323" i="20" s="1"/>
  <c r="K324" i="20" a="1"/>
  <c r="K324" i="20" s="1"/>
  <c r="K325" i="20" a="1"/>
  <c r="K325" i="20" s="1"/>
  <c r="K326" i="20" a="1"/>
  <c r="K326" i="20" s="1"/>
  <c r="K327" i="20" a="1"/>
  <c r="K327" i="20" s="1"/>
  <c r="K328" i="20" a="1"/>
  <c r="K328" i="20" s="1"/>
  <c r="K329" i="20" a="1"/>
  <c r="K329" i="20" s="1"/>
  <c r="K330" i="20" a="1"/>
  <c r="K330" i="20" s="1"/>
  <c r="K331" i="20" a="1"/>
  <c r="K331" i="20"/>
  <c r="K332" i="20" a="1"/>
  <c r="K332" i="20" s="1"/>
  <c r="K333" i="20" a="1"/>
  <c r="K333" i="20" s="1"/>
  <c r="K334" i="20" a="1"/>
  <c r="K334" i="20" s="1"/>
  <c r="K335" i="20" a="1"/>
  <c r="K335" i="20" s="1"/>
  <c r="K336" i="20" a="1"/>
  <c r="K336" i="20" s="1"/>
  <c r="K337" i="20" a="1"/>
  <c r="K337" i="20" s="1"/>
  <c r="K338" i="20" a="1"/>
  <c r="K338" i="20" s="1"/>
  <c r="K339" i="20" a="1"/>
  <c r="K339" i="20" s="1"/>
  <c r="K340" i="20" a="1"/>
  <c r="K340" i="20" s="1"/>
  <c r="K341" i="20" a="1"/>
  <c r="K341" i="20" s="1"/>
  <c r="K342" i="20" a="1"/>
  <c r="K342" i="20" s="1"/>
  <c r="K343" i="20" a="1"/>
  <c r="K343" i="20" s="1"/>
  <c r="K344" i="20" a="1"/>
  <c r="K344" i="20" s="1"/>
  <c r="K345" i="20" a="1"/>
  <c r="K345" i="20"/>
  <c r="K346" i="20" a="1"/>
  <c r="K346" i="20" s="1"/>
  <c r="K347" i="20" a="1"/>
  <c r="K347" i="20" s="1"/>
  <c r="K348" i="20" a="1"/>
  <c r="K348" i="20" s="1"/>
  <c r="K349" i="20" a="1"/>
  <c r="K349" i="20" s="1"/>
  <c r="K350" i="20" a="1"/>
  <c r="K350" i="20" s="1"/>
  <c r="K351" i="20" a="1"/>
  <c r="K351" i="20" s="1"/>
  <c r="K352" i="20" a="1"/>
  <c r="K352" i="20" s="1"/>
  <c r="K353" i="20" a="1"/>
  <c r="K353" i="20" s="1"/>
  <c r="K354" i="20" a="1"/>
  <c r="K354" i="20"/>
  <c r="K355" i="20" a="1"/>
  <c r="K355" i="20" s="1"/>
  <c r="K356" i="20" a="1"/>
  <c r="K356" i="20" s="1"/>
  <c r="K357" i="20" a="1"/>
  <c r="K357" i="20" s="1"/>
  <c r="K358" i="20" a="1"/>
  <c r="K358" i="20" s="1"/>
  <c r="K359" i="20" a="1"/>
  <c r="K359" i="20" s="1"/>
  <c r="K360" i="20" a="1"/>
  <c r="K360" i="20" s="1"/>
  <c r="K361" i="20" a="1"/>
  <c r="K361" i="20" s="1"/>
  <c r="K362" i="20" a="1"/>
  <c r="K362" i="20" s="1"/>
  <c r="K363" i="20" a="1"/>
  <c r="K363" i="20"/>
  <c r="K364" i="20" a="1"/>
  <c r="K364" i="20" s="1"/>
  <c r="K365" i="20" a="1"/>
  <c r="K365" i="20" s="1"/>
  <c r="K366" i="20" a="1"/>
  <c r="K366" i="20" s="1"/>
  <c r="K367" i="20" a="1"/>
  <c r="K367" i="20" s="1"/>
  <c r="K368" i="20" a="1"/>
  <c r="K368" i="20" s="1"/>
  <c r="K369" i="20" a="1"/>
  <c r="K369" i="20" s="1"/>
  <c r="K370" i="20" a="1"/>
  <c r="K370" i="20" s="1"/>
  <c r="K371" i="20" a="1"/>
  <c r="K371" i="20" s="1"/>
  <c r="K372" i="20" a="1"/>
  <c r="K372" i="20" s="1"/>
  <c r="K373" i="20" a="1"/>
  <c r="K373" i="20" s="1"/>
  <c r="K374" i="20" a="1"/>
  <c r="K374" i="20" s="1"/>
  <c r="K375" i="20" a="1"/>
  <c r="K375" i="20" s="1"/>
  <c r="K376" i="20" a="1"/>
  <c r="K376" i="20" s="1"/>
  <c r="K377" i="20" a="1"/>
  <c r="K377" i="20"/>
  <c r="K378" i="20" a="1"/>
  <c r="K378" i="20"/>
  <c r="K379" i="20" a="1"/>
  <c r="K379" i="20" s="1"/>
  <c r="K380" i="20" a="1"/>
  <c r="K380" i="20" s="1"/>
  <c r="K381" i="20" a="1"/>
  <c r="K381" i="20" s="1"/>
  <c r="K382" i="20" a="1"/>
  <c r="K382" i="20" s="1"/>
  <c r="K383" i="20" a="1"/>
  <c r="K383" i="20" s="1"/>
  <c r="K384" i="20" a="1"/>
  <c r="K384" i="20" s="1"/>
  <c r="K385" i="20" a="1"/>
  <c r="K385" i="20" s="1"/>
  <c r="K386" i="20" a="1"/>
  <c r="K386" i="20" s="1"/>
  <c r="K387" i="20" a="1"/>
  <c r="K387" i="20"/>
  <c r="K388" i="20" a="1"/>
  <c r="K388" i="20" s="1"/>
  <c r="K389" i="20" a="1"/>
  <c r="K389" i="20" s="1"/>
  <c r="K390" i="20" a="1"/>
  <c r="K390" i="20" s="1"/>
  <c r="K391" i="20" a="1"/>
  <c r="K391" i="20" s="1"/>
  <c r="L2" i="20" a="1"/>
  <c r="L2" i="20" s="1"/>
  <c r="L3" i="20" a="1"/>
  <c r="L3" i="20" s="1"/>
  <c r="L4" i="20" a="1"/>
  <c r="L4" i="20" s="1"/>
  <c r="L5" i="20" a="1"/>
  <c r="L5" i="20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/>
  <c r="L12" i="20" a="1"/>
  <c r="L12" i="20" s="1"/>
  <c r="L13" i="20" a="1"/>
  <c r="L13" i="20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N20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/>
  <c r="L29" i="20" a="1"/>
  <c r="L29" i="20" s="1"/>
  <c r="N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/>
  <c r="L52" i="20" a="1"/>
  <c r="L52" i="20" s="1"/>
  <c r="N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/>
  <c r="L61" i="20" a="1"/>
  <c r="L61" i="20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/>
  <c r="L79" i="20" a="1"/>
  <c r="L79" i="20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L122" i="20" a="1"/>
  <c r="L122" i="20" s="1"/>
  <c r="L123" i="20" a="1"/>
  <c r="L123" i="20" s="1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 s="1"/>
  <c r="L136" i="20" a="1"/>
  <c r="L136" i="20" s="1"/>
  <c r="L137" i="20" a="1"/>
  <c r="L137" i="20" s="1"/>
  <c r="L138" i="20" a="1"/>
  <c r="L138" i="20" s="1"/>
  <c r="L139" i="20" a="1"/>
  <c r="L139" i="20" s="1"/>
  <c r="L140" i="20" a="1"/>
  <c r="L140" i="20" s="1"/>
  <c r="L141" i="20" a="1"/>
  <c r="L141" i="20" s="1"/>
  <c r="L142" i="20" a="1"/>
  <c r="L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 s="1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L168" i="20" a="1"/>
  <c r="L168" i="20" s="1"/>
  <c r="L169" i="20" a="1"/>
  <c r="L169" i="20" s="1"/>
  <c r="L170" i="20" a="1"/>
  <c r="L170" i="20" s="1"/>
  <c r="L171" i="20" a="1"/>
  <c r="L171" i="20" s="1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 s="1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/>
  <c r="L196" i="20" a="1"/>
  <c r="L196" i="20" s="1"/>
  <c r="L197" i="20" a="1"/>
  <c r="L197" i="20" s="1"/>
  <c r="L198" i="20" a="1"/>
  <c r="L198" i="20" s="1"/>
  <c r="L199" i="20" a="1"/>
  <c r="L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 s="1"/>
  <c r="L207" i="20" a="1"/>
  <c r="L207" i="20"/>
  <c r="L208" i="20" a="1"/>
  <c r="L208" i="20" s="1"/>
  <c r="L209" i="20" a="1"/>
  <c r="L209" i="20" s="1"/>
  <c r="L210" i="20" a="1"/>
  <c r="L210" i="20" s="1"/>
  <c r="L211" i="20" a="1"/>
  <c r="L211" i="20" s="1"/>
  <c r="L212" i="20" a="1"/>
  <c r="L212" i="20" s="1"/>
  <c r="L213" i="20" a="1"/>
  <c r="L213" i="20" s="1"/>
  <c r="L214" i="20" a="1"/>
  <c r="L214" i="20" s="1"/>
  <c r="L215" i="20" a="1"/>
  <c r="L215" i="20" s="1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 s="1"/>
  <c r="L228" i="20" a="1"/>
  <c r="L228" i="20" s="1"/>
  <c r="L229" i="20" a="1"/>
  <c r="L229" i="20" s="1"/>
  <c r="L230" i="20" a="1"/>
  <c r="L230" i="20" s="1"/>
  <c r="L231" i="20" a="1"/>
  <c r="L231" i="20" s="1"/>
  <c r="L232" i="20" a="1"/>
  <c r="L232" i="20" s="1"/>
  <c r="L233" i="20" a="1"/>
  <c r="L233" i="20" s="1"/>
  <c r="L234" i="20" a="1"/>
  <c r="L234" i="20" s="1"/>
  <c r="L235" i="20" a="1"/>
  <c r="L235" i="20" s="1"/>
  <c r="L236" i="20" a="1"/>
  <c r="L236" i="20" s="1"/>
  <c r="L237" i="20" a="1"/>
  <c r="L237" i="20" s="1"/>
  <c r="L238" i="20" a="1"/>
  <c r="L238" i="20" s="1"/>
  <c r="L239" i="20" a="1"/>
  <c r="L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 s="1"/>
  <c r="L246" i="20" a="1"/>
  <c r="L246" i="20" s="1"/>
  <c r="L247" i="20" a="1"/>
  <c r="L247" i="20" s="1"/>
  <c r="L248" i="20" a="1"/>
  <c r="L248" i="20" s="1"/>
  <c r="L249" i="20" a="1"/>
  <c r="L249" i="20" s="1"/>
  <c r="L250" i="20" a="1"/>
  <c r="L250" i="20" s="1"/>
  <c r="L251" i="20" a="1"/>
  <c r="L251" i="20" s="1"/>
  <c r="L252" i="20" a="1"/>
  <c r="L252" i="20" s="1"/>
  <c r="L253" i="20" a="1"/>
  <c r="L253" i="20" s="1"/>
  <c r="L254" i="20" a="1"/>
  <c r="L254" i="20" s="1"/>
  <c r="L255" i="20" a="1"/>
  <c r="L255" i="20" s="1"/>
  <c r="L256" i="20" a="1"/>
  <c r="L256" i="20" s="1"/>
  <c r="L257" i="20" a="1"/>
  <c r="L257" i="20" s="1"/>
  <c r="L258" i="20" a="1"/>
  <c r="L258" i="20" s="1"/>
  <c r="L259" i="20" a="1"/>
  <c r="L259" i="20"/>
  <c r="L260" i="20" a="1"/>
  <c r="L260" i="20" s="1"/>
  <c r="L261" i="20" a="1"/>
  <c r="L261" i="20" s="1"/>
  <c r="L262" i="20" a="1"/>
  <c r="L262" i="20" s="1"/>
  <c r="L263" i="20" a="1"/>
  <c r="L263" i="20" s="1"/>
  <c r="L264" i="20" a="1"/>
  <c r="L264" i="20" s="1"/>
  <c r="L265" i="20" a="1"/>
  <c r="L265" i="20" s="1"/>
  <c r="L266" i="20" a="1"/>
  <c r="L266" i="20" s="1"/>
  <c r="L267" i="20" a="1"/>
  <c r="L267" i="20" s="1"/>
  <c r="L268" i="20" a="1"/>
  <c r="L268" i="20" s="1"/>
  <c r="L269" i="20" a="1"/>
  <c r="L269" i="20" s="1"/>
  <c r="L270" i="20" a="1"/>
  <c r="L270" i="20" s="1"/>
  <c r="L271" i="20" a="1"/>
  <c r="L271" i="20" s="1"/>
  <c r="L272" i="20" a="1"/>
  <c r="L272" i="20" s="1"/>
  <c r="L273" i="20" a="1"/>
  <c r="L273" i="20" s="1"/>
  <c r="L274" i="20" a="1"/>
  <c r="L274" i="20" s="1"/>
  <c r="L275" i="20" a="1"/>
  <c r="L275" i="20" s="1"/>
  <c r="L276" i="20" a="1"/>
  <c r="L276" i="20" s="1"/>
  <c r="L277" i="20" a="1"/>
  <c r="L277" i="20" s="1"/>
  <c r="L278" i="20" a="1"/>
  <c r="L278" i="20" s="1"/>
  <c r="L279" i="20" a="1"/>
  <c r="L279" i="20" s="1"/>
  <c r="L280" i="20" a="1"/>
  <c r="L280" i="20" s="1"/>
  <c r="L281" i="20" a="1"/>
  <c r="L281" i="20" s="1"/>
  <c r="L282" i="20" a="1"/>
  <c r="L282" i="20" s="1"/>
  <c r="L283" i="20" a="1"/>
  <c r="L283" i="20" s="1"/>
  <c r="L284" i="20" a="1"/>
  <c r="L284" i="20" s="1"/>
  <c r="L285" i="20" a="1"/>
  <c r="L285" i="20" s="1"/>
  <c r="L286" i="20" a="1"/>
  <c r="L286" i="20" s="1"/>
  <c r="L287" i="20" a="1"/>
  <c r="L287" i="20" s="1"/>
  <c r="L288" i="20" a="1"/>
  <c r="L288" i="20" s="1"/>
  <c r="L289" i="20" a="1"/>
  <c r="L289" i="20" s="1"/>
  <c r="L290" i="20" a="1"/>
  <c r="L290" i="20" s="1"/>
  <c r="L291" i="20" a="1"/>
  <c r="L291" i="20" s="1"/>
  <c r="L292" i="20" a="1"/>
  <c r="L292" i="20" s="1"/>
  <c r="L293" i="20" a="1"/>
  <c r="L293" i="20" s="1"/>
  <c r="L294" i="20" a="1"/>
  <c r="L294" i="20" s="1"/>
  <c r="L295" i="20" a="1"/>
  <c r="L295" i="20" s="1"/>
  <c r="L296" i="20" a="1"/>
  <c r="L296" i="20" s="1"/>
  <c r="L297" i="20" a="1"/>
  <c r="L297" i="20" s="1"/>
  <c r="L298" i="20" a="1"/>
  <c r="L298" i="20" s="1"/>
  <c r="L299" i="20" a="1"/>
  <c r="L299" i="20" s="1"/>
  <c r="L300" i="20" a="1"/>
  <c r="L300" i="20" s="1"/>
  <c r="L301" i="20" a="1"/>
  <c r="L301" i="20" s="1"/>
  <c r="L302" i="20" a="1"/>
  <c r="L302" i="20" s="1"/>
  <c r="N302" i="20" s="1"/>
  <c r="L303" i="20" a="1"/>
  <c r="L303" i="20"/>
  <c r="L304" i="20" a="1"/>
  <c r="L304" i="20" s="1"/>
  <c r="N304" i="20" s="1"/>
  <c r="L305" i="20" a="1"/>
  <c r="L305" i="20" s="1"/>
  <c r="L306" i="20" a="1"/>
  <c r="L306" i="20" s="1"/>
  <c r="L307" i="20" a="1"/>
  <c r="L307" i="20" s="1"/>
  <c r="L308" i="20" a="1"/>
  <c r="L308" i="20" s="1"/>
  <c r="L309" i="20" a="1"/>
  <c r="L309" i="20" s="1"/>
  <c r="L310" i="20" a="1"/>
  <c r="L310" i="20"/>
  <c r="L311" i="20" a="1"/>
  <c r="L311" i="20"/>
  <c r="L312" i="20" a="1"/>
  <c r="L312" i="20"/>
  <c r="L313" i="20" a="1"/>
  <c r="L313" i="20" s="1"/>
  <c r="L314" i="20" a="1"/>
  <c r="L314" i="20"/>
  <c r="L315" i="20" a="1"/>
  <c r="L315" i="20"/>
  <c r="L316" i="20" a="1"/>
  <c r="L316" i="20" s="1"/>
  <c r="N316" i="20" s="1"/>
  <c r="L317" i="20" a="1"/>
  <c r="L317" i="20" s="1"/>
  <c r="N317" i="20" s="1"/>
  <c r="L318" i="20" a="1"/>
  <c r="L318" i="20"/>
  <c r="L319" i="20" a="1"/>
  <c r="L319" i="20"/>
  <c r="L320" i="20" a="1"/>
  <c r="L320" i="20" s="1"/>
  <c r="L321" i="20" a="1"/>
  <c r="L321" i="20" s="1"/>
  <c r="L322" i="20" a="1"/>
  <c r="L322" i="20"/>
  <c r="L323" i="20" a="1"/>
  <c r="L323" i="20"/>
  <c r="L324" i="20" a="1"/>
  <c r="L324" i="20" s="1"/>
  <c r="L325" i="20" a="1"/>
  <c r="L325" i="20" s="1"/>
  <c r="N325" i="20" s="1"/>
  <c r="L326" i="20" a="1"/>
  <c r="L326" i="20" s="1"/>
  <c r="L327" i="20" a="1"/>
  <c r="L327" i="20"/>
  <c r="L328" i="20" a="1"/>
  <c r="L328" i="20" s="1"/>
  <c r="L329" i="20" a="1"/>
  <c r="L329" i="20" s="1"/>
  <c r="L330" i="20" a="1"/>
  <c r="L330" i="20" s="1"/>
  <c r="L331" i="20" a="1"/>
  <c r="L331" i="20" s="1"/>
  <c r="L332" i="20" a="1"/>
  <c r="L332" i="20" s="1"/>
  <c r="L333" i="20" a="1"/>
  <c r="L333" i="20" s="1"/>
  <c r="N333" i="20" s="1"/>
  <c r="L334" i="20" a="1"/>
  <c r="L334" i="20" s="1"/>
  <c r="L335" i="20" a="1"/>
  <c r="L335" i="20" s="1"/>
  <c r="L336" i="20" a="1"/>
  <c r="L336" i="20" s="1"/>
  <c r="L337" i="20" a="1"/>
  <c r="L337" i="20" s="1"/>
  <c r="L338" i="20" a="1"/>
  <c r="L338" i="20" s="1"/>
  <c r="L339" i="20" a="1"/>
  <c r="L339" i="20" s="1"/>
  <c r="L340" i="20" a="1"/>
  <c r="L340" i="20" s="1"/>
  <c r="L341" i="20" a="1"/>
  <c r="L341" i="20" s="1"/>
  <c r="L342" i="20" a="1"/>
  <c r="L342" i="20" s="1"/>
  <c r="L343" i="20" a="1"/>
  <c r="L343" i="20" s="1"/>
  <c r="L344" i="20" a="1"/>
  <c r="L344" i="20" s="1"/>
  <c r="L345" i="20" a="1"/>
  <c r="L345" i="20" s="1"/>
  <c r="L346" i="20" a="1"/>
  <c r="L346" i="20" s="1"/>
  <c r="L347" i="20" a="1"/>
  <c r="L347" i="20"/>
  <c r="L348" i="20" a="1"/>
  <c r="L348" i="20" s="1"/>
  <c r="L349" i="20" a="1"/>
  <c r="L349" i="20" s="1"/>
  <c r="N349" i="20" s="1"/>
  <c r="L350" i="20" a="1"/>
  <c r="L350" i="20" s="1"/>
  <c r="L351" i="20" a="1"/>
  <c r="L351" i="20" s="1"/>
  <c r="L352" i="20" a="1"/>
  <c r="L352" i="20" s="1"/>
  <c r="L353" i="20" a="1"/>
  <c r="L353" i="20" s="1"/>
  <c r="L354" i="20" a="1"/>
  <c r="L354" i="20" s="1"/>
  <c r="L355" i="20" a="1"/>
  <c r="L355" i="20" s="1"/>
  <c r="L356" i="20" a="1"/>
  <c r="L356" i="20" s="1"/>
  <c r="L357" i="20" a="1"/>
  <c r="L357" i="20" s="1"/>
  <c r="L358" i="20" a="1"/>
  <c r="L358" i="20" s="1"/>
  <c r="L359" i="20" a="1"/>
  <c r="L359" i="20" s="1"/>
  <c r="L360" i="20" a="1"/>
  <c r="L360" i="20" s="1"/>
  <c r="L361" i="20" a="1"/>
  <c r="L361" i="20" s="1"/>
  <c r="L362" i="20" a="1"/>
  <c r="L362" i="20" s="1"/>
  <c r="L363" i="20" a="1"/>
  <c r="L363" i="20"/>
  <c r="L364" i="20" a="1"/>
  <c r="L364" i="20" s="1"/>
  <c r="L365" i="20" a="1"/>
  <c r="L365" i="20" s="1"/>
  <c r="L366" i="20" a="1"/>
  <c r="L366" i="20" s="1"/>
  <c r="L367" i="20" a="1"/>
  <c r="L367" i="20" s="1"/>
  <c r="L368" i="20" a="1"/>
  <c r="L368" i="20" s="1"/>
  <c r="L369" i="20" a="1"/>
  <c r="L369" i="20" s="1"/>
  <c r="L370" i="20" a="1"/>
  <c r="L370" i="20" s="1"/>
  <c r="L371" i="20" a="1"/>
  <c r="L371" i="20" s="1"/>
  <c r="L372" i="20" a="1"/>
  <c r="L372" i="20" s="1"/>
  <c r="L373" i="20" a="1"/>
  <c r="L373" i="20" s="1"/>
  <c r="L374" i="20" a="1"/>
  <c r="L374" i="20" s="1"/>
  <c r="L375" i="20" a="1"/>
  <c r="L375" i="20" s="1"/>
  <c r="L376" i="20" a="1"/>
  <c r="L376" i="20" s="1"/>
  <c r="L377" i="20" a="1"/>
  <c r="L377" i="20" s="1"/>
  <c r="L378" i="20" a="1"/>
  <c r="L378" i="20" s="1"/>
  <c r="L379" i="20" a="1"/>
  <c r="L379" i="20" s="1"/>
  <c r="L380" i="20" a="1"/>
  <c r="L380" i="20" s="1"/>
  <c r="L381" i="20" a="1"/>
  <c r="L381" i="20"/>
  <c r="L382" i="20" a="1"/>
  <c r="L382" i="20" s="1"/>
  <c r="L383" i="20" a="1"/>
  <c r="L383" i="20"/>
  <c r="L384" i="20" a="1"/>
  <c r="L384" i="20" s="1"/>
  <c r="L385" i="20" a="1"/>
  <c r="L385" i="20" s="1"/>
  <c r="L386" i="20" a="1"/>
  <c r="L386" i="20" s="1"/>
  <c r="L387" i="20" a="1"/>
  <c r="L387" i="20" s="1"/>
  <c r="L388" i="20" a="1"/>
  <c r="L388" i="20" s="1"/>
  <c r="L389" i="20" a="1"/>
  <c r="L389" i="20" s="1"/>
  <c r="L390" i="20" a="1"/>
  <c r="L390" i="20" s="1"/>
  <c r="L391" i="20" a="1"/>
  <c r="L391" i="20" s="1"/>
  <c r="M2" i="20" a="1"/>
  <c r="M2" i="20" s="1"/>
  <c r="M3" i="20" a="1"/>
  <c r="M3" i="20" s="1"/>
  <c r="N3" i="20" s="1"/>
  <c r="M4" i="20" a="1"/>
  <c r="M4" i="20" s="1"/>
  <c r="M5" i="20" a="1"/>
  <c r="M5" i="20"/>
  <c r="M6" i="20" a="1"/>
  <c r="M6" i="20" s="1"/>
  <c r="N6" i="20" s="1"/>
  <c r="M7" i="20" a="1"/>
  <c r="M7" i="20" s="1"/>
  <c r="N7" i="20" s="1"/>
  <c r="M8" i="20" a="1"/>
  <c r="M8" i="20" s="1"/>
  <c r="N8" i="20" s="1"/>
  <c r="M9" i="20" a="1"/>
  <c r="M9" i="20" s="1"/>
  <c r="M10" i="20" a="1"/>
  <c r="M10" i="20" s="1"/>
  <c r="M11" i="20" a="1"/>
  <c r="M11" i="20" s="1"/>
  <c r="N11" i="20" s="1"/>
  <c r="M12" i="20" a="1"/>
  <c r="M12" i="20" s="1"/>
  <c r="M13" i="20" a="1"/>
  <c r="M13" i="20" s="1"/>
  <c r="N13" i="20" s="1"/>
  <c r="M14" i="20" a="1"/>
  <c r="M14" i="20" s="1"/>
  <c r="M15" i="20" a="1"/>
  <c r="M15" i="20" s="1"/>
  <c r="N15" i="20" s="1"/>
  <c r="M16" i="20" a="1"/>
  <c r="M16" i="20" s="1"/>
  <c r="M17" i="20" a="1"/>
  <c r="M17" i="20" s="1"/>
  <c r="N17" i="20" s="1"/>
  <c r="M18" i="20" a="1"/>
  <c r="M18" i="20" s="1"/>
  <c r="M19" i="20" a="1"/>
  <c r="M19" i="20"/>
  <c r="M20" i="20" a="1"/>
  <c r="M20" i="20" s="1"/>
  <c r="M21" i="20" a="1"/>
  <c r="M21" i="20" s="1"/>
  <c r="N21" i="20" s="1"/>
  <c r="M22" i="20" a="1"/>
  <c r="M22" i="20" s="1"/>
  <c r="M23" i="20" a="1"/>
  <c r="M23" i="20" s="1"/>
  <c r="N23" i="20" s="1"/>
  <c r="M24" i="20" a="1"/>
  <c r="M24" i="20" s="1"/>
  <c r="M25" i="20" a="1"/>
  <c r="M25" i="20" s="1"/>
  <c r="M26" i="20" a="1"/>
  <c r="M26" i="20" s="1"/>
  <c r="M27" i="20" a="1"/>
  <c r="M27" i="20" s="1"/>
  <c r="N27" i="20" s="1"/>
  <c r="M28" i="20" a="1"/>
  <c r="M28" i="20" s="1"/>
  <c r="N28" i="20" s="1"/>
  <c r="M29" i="20" a="1"/>
  <c r="M29" i="20" s="1"/>
  <c r="M30" i="20" a="1"/>
  <c r="M30" i="20" s="1"/>
  <c r="M31" i="20" a="1"/>
  <c r="M31" i="20" s="1"/>
  <c r="N31" i="20" s="1"/>
  <c r="M32" i="20" a="1"/>
  <c r="M32" i="20" s="1"/>
  <c r="M33" i="20" a="1"/>
  <c r="M33" i="20" s="1"/>
  <c r="N33" i="20" s="1"/>
  <c r="M34" i="20" a="1"/>
  <c r="M34" i="20" s="1"/>
  <c r="M35" i="20" a="1"/>
  <c r="M35" i="20" s="1"/>
  <c r="N35" i="20" s="1"/>
  <c r="M36" i="20" a="1"/>
  <c r="M36" i="20" s="1"/>
  <c r="M37" i="20" a="1"/>
  <c r="M37" i="20" s="1"/>
  <c r="M38" i="20" a="1"/>
  <c r="M38" i="20" s="1"/>
  <c r="M39" i="20" a="1"/>
  <c r="M39" i="20" s="1"/>
  <c r="N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N45" i="20" s="1"/>
  <c r="M46" i="20" a="1"/>
  <c r="M46" i="20" s="1"/>
  <c r="M47" i="20" a="1"/>
  <c r="M47" i="20" s="1"/>
  <c r="N47" i="20" s="1"/>
  <c r="M48" i="20" a="1"/>
  <c r="M48" i="20" s="1"/>
  <c r="M49" i="20" a="1"/>
  <c r="M49" i="20" s="1"/>
  <c r="N49" i="20" s="1"/>
  <c r="M50" i="20" a="1"/>
  <c r="M50" i="20" s="1"/>
  <c r="M51" i="20" a="1"/>
  <c r="M51" i="20" s="1"/>
  <c r="N51" i="20" s="1"/>
  <c r="M52" i="20" a="1"/>
  <c r="M52" i="20" s="1"/>
  <c r="M53" i="20" a="1"/>
  <c r="M53" i="20" s="1"/>
  <c r="N53" i="20" s="1"/>
  <c r="M54" i="20" a="1"/>
  <c r="M54" i="20" s="1"/>
  <c r="N54" i="20" s="1"/>
  <c r="M55" i="20" a="1"/>
  <c r="M55" i="20" s="1"/>
  <c r="N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N60" i="20" s="1"/>
  <c r="M61" i="20" a="1"/>
  <c r="M61" i="20" s="1"/>
  <c r="M62" i="20" a="1"/>
  <c r="M62" i="20" s="1"/>
  <c r="M63" i="20" a="1"/>
  <c r="M63" i="20" s="1"/>
  <c r="N63" i="20" s="1"/>
  <c r="M64" i="20" a="1"/>
  <c r="M64" i="20" s="1"/>
  <c r="M65" i="20" a="1"/>
  <c r="M65" i="20" s="1"/>
  <c r="M66" i="20" a="1"/>
  <c r="M66" i="20" s="1"/>
  <c r="M67" i="20" a="1"/>
  <c r="M67" i="20" s="1"/>
  <c r="N67" i="20" s="1"/>
  <c r="M68" i="20" a="1"/>
  <c r="M68" i="20" s="1"/>
  <c r="M69" i="20" a="1"/>
  <c r="M69" i="20" s="1"/>
  <c r="M70" i="20" a="1"/>
  <c r="M70" i="20" s="1"/>
  <c r="N70" i="20" s="1"/>
  <c r="M71" i="20" a="1"/>
  <c r="M71" i="20"/>
  <c r="N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N79" i="20" s="1"/>
  <c r="M80" i="20" a="1"/>
  <c r="M80" i="20" s="1"/>
  <c r="N80" i="20" s="1"/>
  <c r="M81" i="20" a="1"/>
  <c r="M81" i="20" s="1"/>
  <c r="N81" i="20" s="1"/>
  <c r="M82" i="20" a="1"/>
  <c r="M82" i="20" s="1"/>
  <c r="N82" i="20" s="1"/>
  <c r="M83" i="20" a="1"/>
  <c r="M83" i="20" s="1"/>
  <c r="N83" i="20" s="1"/>
  <c r="M84" i="20" a="1"/>
  <c r="M84" i="20" s="1"/>
  <c r="M85" i="20" a="1"/>
  <c r="M85" i="20"/>
  <c r="M86" i="20" a="1"/>
  <c r="M86" i="20" s="1"/>
  <c r="M87" i="20" a="1"/>
  <c r="M87" i="20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N92" i="20" s="1"/>
  <c r="M93" i="20" a="1"/>
  <c r="M93" i="20" s="1"/>
  <c r="N93" i="20" s="1"/>
  <c r="M94" i="20" a="1"/>
  <c r="M94" i="20" s="1"/>
  <c r="N94" i="20" s="1"/>
  <c r="M95" i="20" a="1"/>
  <c r="M95" i="20" s="1"/>
  <c r="N95" i="20" s="1"/>
  <c r="M96" i="20" a="1"/>
  <c r="M96" i="20" s="1"/>
  <c r="M97" i="20" a="1"/>
  <c r="M97" i="20" s="1"/>
  <c r="M98" i="20" a="1"/>
  <c r="M98" i="20" s="1"/>
  <c r="M99" i="20" a="1"/>
  <c r="M99" i="20"/>
  <c r="N99" i="20" s="1"/>
  <c r="M100" i="20" a="1"/>
  <c r="M100" i="20" s="1"/>
  <c r="M101" i="20" a="1"/>
  <c r="M101" i="20"/>
  <c r="N101" i="20" s="1"/>
  <c r="M102" i="20" a="1"/>
  <c r="M102" i="20" s="1"/>
  <c r="N102" i="20" s="1"/>
  <c r="M103" i="20" a="1"/>
  <c r="M103" i="20"/>
  <c r="N103" i="20" s="1"/>
  <c r="M104" i="20" a="1"/>
  <c r="M104" i="20" s="1"/>
  <c r="M105" i="20" a="1"/>
  <c r="M105" i="20" s="1"/>
  <c r="M106" i="20" a="1"/>
  <c r="M106" i="20" s="1"/>
  <c r="N106" i="20" s="1"/>
  <c r="M107" i="20" a="1"/>
  <c r="M107" i="20" s="1"/>
  <c r="N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N113" i="20" s="1"/>
  <c r="M114" i="20" a="1"/>
  <c r="M114" i="20" s="1"/>
  <c r="N114" i="20" s="1"/>
  <c r="M115" i="20" a="1"/>
  <c r="M115" i="20"/>
  <c r="N115" i="20" s="1"/>
  <c r="M116" i="20" a="1"/>
  <c r="M116" i="20" s="1"/>
  <c r="M117" i="20" a="1"/>
  <c r="M117" i="20"/>
  <c r="M118" i="20" a="1"/>
  <c r="M118" i="20" s="1"/>
  <c r="M119" i="20" a="1"/>
  <c r="M119" i="20"/>
  <c r="M120" i="20" a="1"/>
  <c r="M120" i="20" s="1"/>
  <c r="M121" i="20" a="1"/>
  <c r="M121" i="20" s="1"/>
  <c r="M122" i="20" a="1"/>
  <c r="M122" i="20" s="1"/>
  <c r="M123" i="20" a="1"/>
  <c r="M123" i="20" s="1"/>
  <c r="N123" i="20" s="1"/>
  <c r="M124" i="20" a="1"/>
  <c r="M124" i="20" s="1"/>
  <c r="N124" i="20" s="1"/>
  <c r="M125" i="20" a="1"/>
  <c r="M125" i="20" s="1"/>
  <c r="M126" i="20" a="1"/>
  <c r="M126" i="20" s="1"/>
  <c r="N126" i="20" s="1"/>
  <c r="M127" i="20" a="1"/>
  <c r="M127" i="20" s="1"/>
  <c r="N127" i="20" s="1"/>
  <c r="M128" i="20" a="1"/>
  <c r="M128" i="20" s="1"/>
  <c r="N128" i="20" s="1"/>
  <c r="M129" i="20" a="1"/>
  <c r="M129" i="20" s="1"/>
  <c r="M130" i="20" a="1"/>
  <c r="M130" i="20" s="1"/>
  <c r="N130" i="20" s="1"/>
  <c r="M131" i="20" a="1"/>
  <c r="M131" i="20"/>
  <c r="N131" i="20" s="1"/>
  <c r="M132" i="20" a="1"/>
  <c r="M132" i="20" s="1"/>
  <c r="M133" i="20" a="1"/>
  <c r="M133" i="20"/>
  <c r="M134" i="20" a="1"/>
  <c r="M134" i="20" s="1"/>
  <c r="N134" i="20" s="1"/>
  <c r="M135" i="20" a="1"/>
  <c r="M135" i="20" s="1"/>
  <c r="N135" i="20" s="1"/>
  <c r="M136" i="20" a="1"/>
  <c r="M136" i="20" s="1"/>
  <c r="M137" i="20" a="1"/>
  <c r="M137" i="20" s="1"/>
  <c r="M138" i="20" a="1"/>
  <c r="M138" i="20" s="1"/>
  <c r="M139" i="20" a="1"/>
  <c r="M139" i="20"/>
  <c r="N139" i="20" s="1"/>
  <c r="M140" i="20" a="1"/>
  <c r="M140" i="20" s="1"/>
  <c r="N140" i="20" s="1"/>
  <c r="M141" i="20" a="1"/>
  <c r="M141" i="20" s="1"/>
  <c r="M142" i="20" a="1"/>
  <c r="M142" i="20" s="1"/>
  <c r="N142" i="20" s="1"/>
  <c r="M143" i="20" a="1"/>
  <c r="M143" i="20" s="1"/>
  <c r="M144" i="20" a="1"/>
  <c r="M144" i="20" s="1"/>
  <c r="M145" i="20" a="1"/>
  <c r="M145" i="20" s="1"/>
  <c r="N145" i="20" s="1"/>
  <c r="M146" i="20" a="1"/>
  <c r="M146" i="20" s="1"/>
  <c r="M147" i="20" a="1"/>
  <c r="M147" i="20" s="1"/>
  <c r="N147" i="20" s="1"/>
  <c r="M148" i="20" a="1"/>
  <c r="M148" i="20" s="1"/>
  <c r="M149" i="20" a="1"/>
  <c r="M149" i="20" s="1"/>
  <c r="N149" i="20" s="1"/>
  <c r="M150" i="20" a="1"/>
  <c r="M150" i="20" s="1"/>
  <c r="M151" i="20" a="1"/>
  <c r="M151" i="20"/>
  <c r="N151" i="20" s="1"/>
  <c r="M152" i="20" a="1"/>
  <c r="M152" i="20" s="1"/>
  <c r="N152" i="20" s="1"/>
  <c r="M153" i="20" a="1"/>
  <c r="M153" i="20"/>
  <c r="M154" i="20" a="1"/>
  <c r="M154" i="20" s="1"/>
  <c r="N154" i="20" s="1"/>
  <c r="M155" i="20" a="1"/>
  <c r="M155" i="20"/>
  <c r="M156" i="20" a="1"/>
  <c r="M156" i="20" s="1"/>
  <c r="M157" i="20" a="1"/>
  <c r="M157" i="20" s="1"/>
  <c r="M158" i="20" a="1"/>
  <c r="M158" i="20" s="1"/>
  <c r="M159" i="20" a="1"/>
  <c r="M159" i="20" s="1"/>
  <c r="N159" i="20" s="1"/>
  <c r="M160" i="20" a="1"/>
  <c r="M160" i="20" s="1"/>
  <c r="M161" i="20" a="1"/>
  <c r="M161" i="20" s="1"/>
  <c r="M162" i="20" a="1"/>
  <c r="M162" i="20" s="1"/>
  <c r="M163" i="20" a="1"/>
  <c r="M163" i="20" s="1"/>
  <c r="N163" i="20" s="1"/>
  <c r="M164" i="20" a="1"/>
  <c r="M164" i="20" s="1"/>
  <c r="N164" i="20" s="1"/>
  <c r="M165" i="20" a="1"/>
  <c r="M165" i="20" s="1"/>
  <c r="N165" i="20" s="1"/>
  <c r="M166" i="20" a="1"/>
  <c r="M166" i="20" s="1"/>
  <c r="M167" i="20" a="1"/>
  <c r="M167" i="20" s="1"/>
  <c r="N167" i="20" s="1"/>
  <c r="M168" i="20" a="1"/>
  <c r="M168" i="20" s="1"/>
  <c r="M169" i="20" a="1"/>
  <c r="M169" i="20" s="1"/>
  <c r="N169" i="20" s="1"/>
  <c r="M170" i="20" a="1"/>
  <c r="M170" i="20" s="1"/>
  <c r="M171" i="20" a="1"/>
  <c r="M171" i="20" s="1"/>
  <c r="N171" i="20" s="1"/>
  <c r="M172" i="20" a="1"/>
  <c r="M172" i="20" s="1"/>
  <c r="N172" i="20" s="1"/>
  <c r="M173" i="20" a="1"/>
  <c r="M173" i="20" s="1"/>
  <c r="N173" i="20" s="1"/>
  <c r="M174" i="20" a="1"/>
  <c r="M174" i="20" s="1"/>
  <c r="M175" i="20" a="1"/>
  <c r="M175" i="20" s="1"/>
  <c r="M176" i="20" a="1"/>
  <c r="M176" i="20" s="1"/>
  <c r="M177" i="20" a="1"/>
  <c r="M177" i="20" s="1"/>
  <c r="N177" i="20" s="1"/>
  <c r="M178" i="20" a="1"/>
  <c r="M178" i="20" s="1"/>
  <c r="M179" i="20" a="1"/>
  <c r="M179" i="20"/>
  <c r="M180" i="20" a="1"/>
  <c r="M180" i="20" s="1"/>
  <c r="M181" i="20" a="1"/>
  <c r="M181" i="20"/>
  <c r="M182" i="20" a="1"/>
  <c r="M182" i="20" s="1"/>
  <c r="N182" i="20" s="1"/>
  <c r="M183" i="20" a="1"/>
  <c r="M183" i="20"/>
  <c r="N183" i="20" s="1"/>
  <c r="M184" i="20" a="1"/>
  <c r="M184" i="20" s="1"/>
  <c r="N184" i="20" s="1"/>
  <c r="M185" i="20" a="1"/>
  <c r="M185" i="20" s="1"/>
  <c r="M186" i="20" a="1"/>
  <c r="M186" i="20" s="1"/>
  <c r="M187" i="20" a="1"/>
  <c r="M187" i="20" s="1"/>
  <c r="N187" i="20" s="1"/>
  <c r="M188" i="20" a="1"/>
  <c r="M188" i="20" s="1"/>
  <c r="M189" i="20" a="1"/>
  <c r="M189" i="20" s="1"/>
  <c r="M190" i="20" a="1"/>
  <c r="M190" i="20" s="1"/>
  <c r="M191" i="20" a="1"/>
  <c r="M191" i="20" s="1"/>
  <c r="N191" i="20" s="1"/>
  <c r="M192" i="20" a="1"/>
  <c r="M192" i="20" s="1"/>
  <c r="N192" i="20" s="1"/>
  <c r="M193" i="20" a="1"/>
  <c r="M193" i="20" s="1"/>
  <c r="M194" i="20" a="1"/>
  <c r="M194" i="20" s="1"/>
  <c r="M195" i="20" a="1"/>
  <c r="M195" i="20" s="1"/>
  <c r="N195" i="20" s="1"/>
  <c r="M196" i="20" a="1"/>
  <c r="M196" i="20" s="1"/>
  <c r="N196" i="20" s="1"/>
  <c r="M197" i="20" a="1"/>
  <c r="M197" i="20" s="1"/>
  <c r="M198" i="20" a="1"/>
  <c r="M198" i="20" s="1"/>
  <c r="N198" i="20" s="1"/>
  <c r="M199" i="20" a="1"/>
  <c r="M199" i="20" s="1"/>
  <c r="N199" i="20" s="1"/>
  <c r="M200" i="20" a="1"/>
  <c r="M200" i="20" s="1"/>
  <c r="M201" i="20" a="1"/>
  <c r="M201" i="20" s="1"/>
  <c r="N201" i="20" s="1"/>
  <c r="M202" i="20" a="1"/>
  <c r="M202" i="20" s="1"/>
  <c r="M203" i="20" a="1"/>
  <c r="M203" i="20" s="1"/>
  <c r="M204" i="20" a="1"/>
  <c r="M204" i="20" s="1"/>
  <c r="M205" i="20" a="1"/>
  <c r="M205" i="20" s="1"/>
  <c r="M206" i="20" a="1"/>
  <c r="M206" i="20" s="1"/>
  <c r="M207" i="20" a="1"/>
  <c r="M207" i="20" s="1"/>
  <c r="N207" i="20" s="1"/>
  <c r="M208" i="20" a="1"/>
  <c r="M208" i="20" s="1"/>
  <c r="M209" i="20" a="1"/>
  <c r="M209" i="20"/>
  <c r="N209" i="20" s="1"/>
  <c r="M210" i="20" a="1"/>
  <c r="M210" i="20" s="1"/>
  <c r="M211" i="20" a="1"/>
  <c r="M211" i="20" s="1"/>
  <c r="N211" i="20" s="1"/>
  <c r="M212" i="20" a="1"/>
  <c r="M212" i="20" s="1"/>
  <c r="M213" i="20" a="1"/>
  <c r="M213" i="20" s="1"/>
  <c r="N213" i="20" s="1"/>
  <c r="M214" i="20" a="1"/>
  <c r="M214" i="20" s="1"/>
  <c r="M215" i="20" a="1"/>
  <c r="M215" i="20" s="1"/>
  <c r="N215" i="20" s="1"/>
  <c r="M216" i="20" a="1"/>
  <c r="M216" i="20" s="1"/>
  <c r="N216" i="20" s="1"/>
  <c r="M217" i="20" a="1"/>
  <c r="M217" i="20" s="1"/>
  <c r="N217" i="20" s="1"/>
  <c r="M218" i="20" a="1"/>
  <c r="M218" i="20" s="1"/>
  <c r="M219" i="20" a="1"/>
  <c r="M219" i="20" s="1"/>
  <c r="N219" i="20" s="1"/>
  <c r="M220" i="20" a="1"/>
  <c r="M220" i="20" s="1"/>
  <c r="M221" i="20" a="1"/>
  <c r="M221" i="20" s="1"/>
  <c r="N221" i="20" s="1"/>
  <c r="M222" i="20" a="1"/>
  <c r="M222" i="20" s="1"/>
  <c r="M223" i="20" a="1"/>
  <c r="M223" i="20" s="1"/>
  <c r="N223" i="20" s="1"/>
  <c r="M224" i="20" a="1"/>
  <c r="M224" i="20" s="1"/>
  <c r="M225" i="20" a="1"/>
  <c r="M225" i="20" s="1"/>
  <c r="N225" i="20" s="1"/>
  <c r="M226" i="20" a="1"/>
  <c r="M226" i="20" s="1"/>
  <c r="M227" i="20" a="1"/>
  <c r="M227" i="20" s="1"/>
  <c r="N227" i="20" s="1"/>
  <c r="M228" i="20" a="1"/>
  <c r="M228" i="20" s="1"/>
  <c r="N228" i="20" s="1"/>
  <c r="M229" i="20" a="1"/>
  <c r="M229" i="20" s="1"/>
  <c r="M230" i="20" a="1"/>
  <c r="M230" i="20" s="1"/>
  <c r="N230" i="20" s="1"/>
  <c r="M231" i="20" a="1"/>
  <c r="M231" i="20" s="1"/>
  <c r="N231" i="20" s="1"/>
  <c r="M232" i="20" a="1"/>
  <c r="M232" i="20" s="1"/>
  <c r="M233" i="20" a="1"/>
  <c r="M233" i="20" s="1"/>
  <c r="N233" i="20" s="1"/>
  <c r="M234" i="20" a="1"/>
  <c r="M234" i="20" s="1"/>
  <c r="M235" i="20" a="1"/>
  <c r="M235" i="20"/>
  <c r="M236" i="20" a="1"/>
  <c r="M236" i="20" s="1"/>
  <c r="M237" i="20" a="1"/>
  <c r="M237" i="20" s="1"/>
  <c r="N237" i="20" s="1"/>
  <c r="M238" i="20" a="1"/>
  <c r="M238" i="20" s="1"/>
  <c r="M239" i="20" a="1"/>
  <c r="M239" i="20" s="1"/>
  <c r="M240" i="20" a="1"/>
  <c r="M240" i="20" s="1"/>
  <c r="M241" i="20" a="1"/>
  <c r="M241" i="20" s="1"/>
  <c r="N241" i="20" s="1"/>
  <c r="M242" i="20" a="1"/>
  <c r="M242" i="20" s="1"/>
  <c r="N242" i="20" s="1"/>
  <c r="M243" i="20" a="1"/>
  <c r="M243" i="20" s="1"/>
  <c r="N243" i="20" s="1"/>
  <c r="M244" i="20" a="1"/>
  <c r="M244" i="20" s="1"/>
  <c r="M245" i="20" a="1"/>
  <c r="M245" i="20" s="1"/>
  <c r="N245" i="20" s="1"/>
  <c r="M246" i="20" a="1"/>
  <c r="M246" i="20" s="1"/>
  <c r="N246" i="20" s="1"/>
  <c r="M247" i="20" a="1"/>
  <c r="M247" i="20"/>
  <c r="M248" i="20" a="1"/>
  <c r="M248" i="20" s="1"/>
  <c r="M249" i="20" a="1"/>
  <c r="M249" i="20" s="1"/>
  <c r="M250" i="20" a="1"/>
  <c r="M250" i="20" s="1"/>
  <c r="M251" i="20" a="1"/>
  <c r="M251" i="20" s="1"/>
  <c r="N251" i="20" s="1"/>
  <c r="M252" i="20" a="1"/>
  <c r="M252" i="20" s="1"/>
  <c r="M253" i="20" a="1"/>
  <c r="M253" i="20" s="1"/>
  <c r="M254" i="20" a="1"/>
  <c r="M254" i="20" s="1"/>
  <c r="N254" i="20" s="1"/>
  <c r="M255" i="20" a="1"/>
  <c r="M255" i="20" s="1"/>
  <c r="N255" i="20" s="1"/>
  <c r="M256" i="20" a="1"/>
  <c r="M256" i="20" s="1"/>
  <c r="N256" i="20" s="1"/>
  <c r="M257" i="20" a="1"/>
  <c r="M257" i="20" s="1"/>
  <c r="N257" i="20" s="1"/>
  <c r="M258" i="20" a="1"/>
  <c r="M258" i="20" s="1"/>
  <c r="M259" i="20" a="1"/>
  <c r="M259" i="20"/>
  <c r="N259" i="20" s="1"/>
  <c r="M260" i="20" a="1"/>
  <c r="M260" i="20" s="1"/>
  <c r="M261" i="20" a="1"/>
  <c r="M261" i="20"/>
  <c r="M262" i="20" a="1"/>
  <c r="M262" i="20" s="1"/>
  <c r="M263" i="20" a="1"/>
  <c r="M263" i="20" s="1"/>
  <c r="N263" i="20" s="1"/>
  <c r="M264" i="20" a="1"/>
  <c r="M264" i="20" s="1"/>
  <c r="M265" i="20" a="1"/>
  <c r="M265" i="20" s="1"/>
  <c r="N265" i="20" s="1"/>
  <c r="M266" i="20" a="1"/>
  <c r="M266" i="20" s="1"/>
  <c r="M267" i="20" a="1"/>
  <c r="M267" i="20"/>
  <c r="N267" i="20" s="1"/>
  <c r="M268" i="20" a="1"/>
  <c r="M268" i="20" s="1"/>
  <c r="M269" i="20" a="1"/>
  <c r="M269" i="20" s="1"/>
  <c r="N269" i="20" s="1"/>
  <c r="M270" i="20" a="1"/>
  <c r="M270" i="20" s="1"/>
  <c r="M271" i="20" a="1"/>
  <c r="M271" i="20" s="1"/>
  <c r="N271" i="20" s="1"/>
  <c r="M272" i="20" a="1"/>
  <c r="M272" i="20" s="1"/>
  <c r="M273" i="20" a="1"/>
  <c r="M273" i="20" s="1"/>
  <c r="N273" i="20" s="1"/>
  <c r="M274" i="20" a="1"/>
  <c r="M274" i="20" s="1"/>
  <c r="M275" i="20" a="1"/>
  <c r="M275" i="20" s="1"/>
  <c r="N275" i="20" s="1"/>
  <c r="M276" i="20" a="1"/>
  <c r="M276" i="20" s="1"/>
  <c r="M277" i="20" a="1"/>
  <c r="M277" i="20" s="1"/>
  <c r="N277" i="20" s="1"/>
  <c r="M278" i="20" a="1"/>
  <c r="M278" i="20" s="1"/>
  <c r="M279" i="20" a="1"/>
  <c r="M279" i="20"/>
  <c r="N279" i="20" s="1"/>
  <c r="M280" i="20" a="1"/>
  <c r="M280" i="20" s="1"/>
  <c r="M281" i="20" a="1"/>
  <c r="M281" i="20" s="1"/>
  <c r="N281" i="20" s="1"/>
  <c r="M282" i="20" a="1"/>
  <c r="M282" i="20" s="1"/>
  <c r="N282" i="20" s="1"/>
  <c r="M283" i="20" a="1"/>
  <c r="M283" i="20" s="1"/>
  <c r="N283" i="20" s="1"/>
  <c r="M284" i="20" a="1"/>
  <c r="M284" i="20" s="1"/>
  <c r="M285" i="20" a="1"/>
  <c r="M285" i="20" s="1"/>
  <c r="M286" i="20" a="1"/>
  <c r="M286" i="20" s="1"/>
  <c r="M287" i="20" a="1"/>
  <c r="M287" i="20" s="1"/>
  <c r="N287" i="20" s="1"/>
  <c r="M288" i="20" a="1"/>
  <c r="M288" i="20" s="1"/>
  <c r="M289" i="20" a="1"/>
  <c r="M289" i="20" s="1"/>
  <c r="N289" i="20" s="1"/>
  <c r="M290" i="20" a="1"/>
  <c r="M290" i="20" s="1"/>
  <c r="M291" i="20" a="1"/>
  <c r="M291" i="20"/>
  <c r="M292" i="20" a="1"/>
  <c r="M292" i="20" s="1"/>
  <c r="N292" i="20" s="1"/>
  <c r="M293" i="20" a="1"/>
  <c r="M293" i="20"/>
  <c r="M294" i="20" a="1"/>
  <c r="M294" i="20" s="1"/>
  <c r="N294" i="20" s="1"/>
  <c r="M295" i="20" a="1"/>
  <c r="M295" i="20" s="1"/>
  <c r="N295" i="20" s="1"/>
  <c r="M296" i="20" a="1"/>
  <c r="M296" i="20" s="1"/>
  <c r="M297" i="20" a="1"/>
  <c r="M297" i="20" s="1"/>
  <c r="M298" i="20" a="1"/>
  <c r="M298" i="20" s="1"/>
  <c r="M299" i="20" a="1"/>
  <c r="M299" i="20"/>
  <c r="M300" i="20" a="1"/>
  <c r="M300" i="20" s="1"/>
  <c r="M301" i="20" a="1"/>
  <c r="M301" i="20" s="1"/>
  <c r="N301" i="20" s="1"/>
  <c r="M302" i="20" a="1"/>
  <c r="M302" i="20" s="1"/>
  <c r="M303" i="20" a="1"/>
  <c r="M303" i="20" s="1"/>
  <c r="N303" i="20" s="1"/>
  <c r="M304" i="20" a="1"/>
  <c r="M304" i="20" s="1"/>
  <c r="M305" i="20" a="1"/>
  <c r="M305" i="20" s="1"/>
  <c r="N305" i="20" s="1"/>
  <c r="M306" i="20" a="1"/>
  <c r="M306" i="20" s="1"/>
  <c r="M307" i="20" a="1"/>
  <c r="M307" i="20" s="1"/>
  <c r="N307" i="20" s="1"/>
  <c r="M308" i="20" a="1"/>
  <c r="M308" i="20" s="1"/>
  <c r="M309" i="20" a="1"/>
  <c r="M309" i="20" s="1"/>
  <c r="N309" i="20" s="1"/>
  <c r="M310" i="20" a="1"/>
  <c r="M310" i="20" s="1"/>
  <c r="N310" i="20" s="1"/>
  <c r="M311" i="20" a="1"/>
  <c r="M311" i="20"/>
  <c r="N311" i="20" s="1"/>
  <c r="M312" i="20" a="1"/>
  <c r="M312" i="20" s="1"/>
  <c r="M313" i="20" a="1"/>
  <c r="M313" i="20" s="1"/>
  <c r="M314" i="20" a="1"/>
  <c r="M314" i="20" s="1"/>
  <c r="M315" i="20" a="1"/>
  <c r="M315" i="20" s="1"/>
  <c r="N315" i="20" s="1"/>
  <c r="M316" i="20" a="1"/>
  <c r="M316" i="20" s="1"/>
  <c r="M317" i="20" a="1"/>
  <c r="M317" i="20" s="1"/>
  <c r="M318" i="20" a="1"/>
  <c r="M318" i="20" s="1"/>
  <c r="N318" i="20" s="1"/>
  <c r="M319" i="20" a="1"/>
  <c r="M319" i="20" s="1"/>
  <c r="N319" i="20" s="1"/>
  <c r="M320" i="20" a="1"/>
  <c r="M320" i="20" s="1"/>
  <c r="M321" i="20" a="1"/>
  <c r="M321" i="20" s="1"/>
  <c r="M322" i="20" a="1"/>
  <c r="M322" i="20" s="1"/>
  <c r="M323" i="20" a="1"/>
  <c r="M323" i="20"/>
  <c r="M324" i="20" a="1"/>
  <c r="M324" i="20" s="1"/>
  <c r="M325" i="20" a="1"/>
  <c r="M325" i="20"/>
  <c r="M326" i="20" a="1"/>
  <c r="M326" i="20" s="1"/>
  <c r="N326" i="20" s="1"/>
  <c r="M327" i="20" a="1"/>
  <c r="M327" i="20" s="1"/>
  <c r="N327" i="20" s="1"/>
  <c r="M328" i="20" a="1"/>
  <c r="M328" i="20" s="1"/>
  <c r="M329" i="20" a="1"/>
  <c r="M329" i="20" s="1"/>
  <c r="M330" i="20" a="1"/>
  <c r="M330" i="20" s="1"/>
  <c r="M331" i="20" a="1"/>
  <c r="M331" i="20"/>
  <c r="M332" i="20" a="1"/>
  <c r="M332" i="20" s="1"/>
  <c r="M333" i="20" a="1"/>
  <c r="M333" i="20" s="1"/>
  <c r="M334" i="20" a="1"/>
  <c r="M334" i="20" s="1"/>
  <c r="M335" i="20" a="1"/>
  <c r="M335" i="20" s="1"/>
  <c r="N335" i="20" s="1"/>
  <c r="M336" i="20" a="1"/>
  <c r="M336" i="20" s="1"/>
  <c r="M337" i="20" a="1"/>
  <c r="M337" i="20" s="1"/>
  <c r="M338" i="20" a="1"/>
  <c r="M338" i="20" s="1"/>
  <c r="N338" i="20" s="1"/>
  <c r="M339" i="20" a="1"/>
  <c r="M339" i="20" s="1"/>
  <c r="N339" i="20" s="1"/>
  <c r="M340" i="20" a="1"/>
  <c r="M340" i="20" s="1"/>
  <c r="N340" i="20" s="1"/>
  <c r="M341" i="20" a="1"/>
  <c r="M341" i="20" s="1"/>
  <c r="N341" i="20" s="1"/>
  <c r="M342" i="20" a="1"/>
  <c r="M342" i="20" s="1"/>
  <c r="N342" i="20" s="1"/>
  <c r="M343" i="20" a="1"/>
  <c r="M343" i="20"/>
  <c r="N343" i="20" s="1"/>
  <c r="M344" i="20" a="1"/>
  <c r="M344" i="20" s="1"/>
  <c r="M345" i="20" a="1"/>
  <c r="M345" i="20" s="1"/>
  <c r="N345" i="20" s="1"/>
  <c r="M346" i="20" a="1"/>
  <c r="M346" i="20" s="1"/>
  <c r="M347" i="20" a="1"/>
  <c r="M347" i="20" s="1"/>
  <c r="N347" i="20" s="1"/>
  <c r="M348" i="20" a="1"/>
  <c r="M348" i="20" s="1"/>
  <c r="M349" i="20" a="1"/>
  <c r="M349" i="20" s="1"/>
  <c r="M350" i="20" a="1"/>
  <c r="M350" i="20" s="1"/>
  <c r="N350" i="20" s="1"/>
  <c r="M351" i="20" a="1"/>
  <c r="M351" i="20" s="1"/>
  <c r="N351" i="20" s="1"/>
  <c r="M352" i="20" a="1"/>
  <c r="M352" i="20" s="1"/>
  <c r="N352" i="20" s="1"/>
  <c r="M353" i="20" a="1"/>
  <c r="M353" i="20" s="1"/>
  <c r="N353" i="20" s="1"/>
  <c r="M354" i="20" a="1"/>
  <c r="M354" i="20" s="1"/>
  <c r="M355" i="20" a="1"/>
  <c r="M355" i="20"/>
  <c r="M356" i="20" a="1"/>
  <c r="M356" i="20" s="1"/>
  <c r="M357" i="20" a="1"/>
  <c r="M357" i="20"/>
  <c r="M358" i="20" a="1"/>
  <c r="M358" i="20" s="1"/>
  <c r="M359" i="20" a="1"/>
  <c r="M359" i="20" s="1"/>
  <c r="N359" i="20" s="1"/>
  <c r="M360" i="20" a="1"/>
  <c r="M360" i="20" s="1"/>
  <c r="M361" i="20" a="1"/>
  <c r="M361" i="20" s="1"/>
  <c r="M362" i="20" a="1"/>
  <c r="M362" i="20" s="1"/>
  <c r="M363" i="20" a="1"/>
  <c r="M363" i="20"/>
  <c r="N363" i="20" s="1"/>
  <c r="M364" i="20" a="1"/>
  <c r="M364" i="20" s="1"/>
  <c r="N364" i="20" s="1"/>
  <c r="M365" i="20" a="1"/>
  <c r="M365" i="20" s="1"/>
  <c r="M366" i="20" a="1"/>
  <c r="M366" i="20" s="1"/>
  <c r="M367" i="20" a="1"/>
  <c r="M367" i="20" s="1"/>
  <c r="N367" i="20" s="1"/>
  <c r="M368" i="20" a="1"/>
  <c r="M368" i="20" s="1"/>
  <c r="N368" i="20" s="1"/>
  <c r="M369" i="20" a="1"/>
  <c r="M369" i="20" s="1"/>
  <c r="M370" i="20" a="1"/>
  <c r="M370" i="20" s="1"/>
  <c r="M371" i="20" a="1"/>
  <c r="M371" i="20" s="1"/>
  <c r="N371" i="20" s="1"/>
  <c r="M372" i="20" a="1"/>
  <c r="M372" i="20" s="1"/>
  <c r="M373" i="20" a="1"/>
  <c r="M373" i="20" s="1"/>
  <c r="N373" i="20" s="1"/>
  <c r="M374" i="20" a="1"/>
  <c r="M374" i="20" s="1"/>
  <c r="N374" i="20" s="1"/>
  <c r="M375" i="20" a="1"/>
  <c r="M375" i="20"/>
  <c r="N375" i="20" s="1"/>
  <c r="M376" i="20" a="1"/>
  <c r="M376" i="20" s="1"/>
  <c r="N376" i="20" s="1"/>
  <c r="M377" i="20" a="1"/>
  <c r="M377" i="20" s="1"/>
  <c r="N377" i="20" s="1"/>
  <c r="M378" i="20" a="1"/>
  <c r="M378" i="20" s="1"/>
  <c r="N378" i="20" s="1"/>
  <c r="M379" i="20" a="1"/>
  <c r="M379" i="20" s="1"/>
  <c r="M380" i="20" a="1"/>
  <c r="M380" i="20" s="1"/>
  <c r="N380" i="20" s="1"/>
  <c r="M381" i="20" a="1"/>
  <c r="M381" i="20" s="1"/>
  <c r="M382" i="20" a="1"/>
  <c r="M382" i="20" s="1"/>
  <c r="M383" i="20" a="1"/>
  <c r="M383" i="20" s="1"/>
  <c r="N383" i="20" s="1"/>
  <c r="M384" i="20" a="1"/>
  <c r="M384" i="20" s="1"/>
  <c r="N384" i="20" s="1"/>
  <c r="M385" i="20" a="1"/>
  <c r="M385" i="20" s="1"/>
  <c r="N385" i="20" s="1"/>
  <c r="M386" i="20" a="1"/>
  <c r="M386" i="20" s="1"/>
  <c r="M387" i="20" a="1"/>
  <c r="M387" i="20"/>
  <c r="M388" i="20" a="1"/>
  <c r="M388" i="20" s="1"/>
  <c r="M389" i="20" a="1"/>
  <c r="M389" i="20"/>
  <c r="N389" i="20" s="1"/>
  <c r="M390" i="20" a="1"/>
  <c r="M390" i="20" s="1"/>
  <c r="M391" i="20" a="1"/>
  <c r="M391" i="20" s="1"/>
  <c r="N391" i="20" s="1"/>
  <c r="N4" i="20"/>
  <c r="N9" i="20"/>
  <c r="N12" i="20"/>
  <c r="N14" i="20"/>
  <c r="N16" i="20"/>
  <c r="N24" i="20"/>
  <c r="N25" i="20"/>
  <c r="N30" i="20"/>
  <c r="N32" i="20"/>
  <c r="N36" i="20"/>
  <c r="N40" i="20"/>
  <c r="N41" i="20"/>
  <c r="N44" i="20"/>
  <c r="N46" i="20"/>
  <c r="N48" i="20"/>
  <c r="N50" i="20"/>
  <c r="N56" i="20"/>
  <c r="N57" i="20"/>
  <c r="N58" i="20"/>
  <c r="N61" i="20"/>
  <c r="N62" i="20"/>
  <c r="N64" i="20"/>
  <c r="N65" i="20"/>
  <c r="N68" i="20"/>
  <c r="N72" i="20"/>
  <c r="N74" i="20"/>
  <c r="N76" i="20"/>
  <c r="N77" i="20"/>
  <c r="N84" i="20"/>
  <c r="N85" i="20"/>
  <c r="N86" i="20"/>
  <c r="N88" i="20"/>
  <c r="N89" i="20"/>
  <c r="N90" i="20"/>
  <c r="N96" i="20"/>
  <c r="N97" i="20"/>
  <c r="N100" i="20"/>
  <c r="N104" i="20"/>
  <c r="N105" i="20"/>
  <c r="N108" i="20"/>
  <c r="N109" i="20"/>
  <c r="N112" i="20"/>
  <c r="N116" i="20"/>
  <c r="N117" i="20"/>
  <c r="N118" i="20"/>
  <c r="N120" i="20"/>
  <c r="N121" i="20"/>
  <c r="N122" i="20"/>
  <c r="N125" i="20"/>
  <c r="N129" i="20"/>
  <c r="N132" i="20"/>
  <c r="N133" i="20"/>
  <c r="N136" i="20"/>
  <c r="N138" i="20"/>
  <c r="N141" i="20"/>
  <c r="N144" i="20"/>
  <c r="N146" i="20"/>
  <c r="N148" i="20"/>
  <c r="N150" i="20"/>
  <c r="N156" i="20"/>
  <c r="N157" i="20"/>
  <c r="N158" i="20"/>
  <c r="N160" i="20"/>
  <c r="N161" i="20"/>
  <c r="N166" i="20"/>
  <c r="N168" i="20"/>
  <c r="N170" i="20"/>
  <c r="N176" i="20"/>
  <c r="N178" i="20"/>
  <c r="N179" i="20"/>
  <c r="N180" i="20"/>
  <c r="N181" i="20"/>
  <c r="N186" i="20"/>
  <c r="N188" i="20"/>
  <c r="N189" i="20"/>
  <c r="N190" i="20"/>
  <c r="N193" i="20"/>
  <c r="N200" i="20"/>
  <c r="N202" i="20"/>
  <c r="N204" i="20"/>
  <c r="N205" i="20"/>
  <c r="N208" i="20"/>
  <c r="N212" i="20"/>
  <c r="N214" i="20"/>
  <c r="N218" i="20"/>
  <c r="N220" i="20"/>
  <c r="N222" i="20"/>
  <c r="N224" i="20"/>
  <c r="N226" i="20"/>
  <c r="N232" i="20"/>
  <c r="N234" i="20"/>
  <c r="N236" i="20"/>
  <c r="N238" i="20"/>
  <c r="N240" i="20"/>
  <c r="N244" i="20"/>
  <c r="N248" i="20"/>
  <c r="N250" i="20"/>
  <c r="N252" i="20"/>
  <c r="N253" i="20"/>
  <c r="N258" i="20"/>
  <c r="N260" i="20"/>
  <c r="N261" i="20"/>
  <c r="N262" i="20"/>
  <c r="N264" i="20"/>
  <c r="N266" i="20"/>
  <c r="N268" i="20"/>
  <c r="N270" i="20"/>
  <c r="N272" i="20"/>
  <c r="N276" i="20"/>
  <c r="N278" i="20"/>
  <c r="N280" i="20"/>
  <c r="N284" i="20"/>
  <c r="N285" i="20"/>
  <c r="N286" i="20"/>
  <c r="N288" i="20"/>
  <c r="N293" i="20"/>
  <c r="N296" i="20"/>
  <c r="N298" i="20"/>
  <c r="N299" i="20"/>
  <c r="N300" i="20"/>
  <c r="N308" i="20"/>
  <c r="N312" i="20"/>
  <c r="N322" i="20"/>
  <c r="N323" i="20"/>
  <c r="N324" i="20"/>
  <c r="N328" i="20"/>
  <c r="N332" i="20"/>
  <c r="N334" i="20"/>
  <c r="N336" i="20"/>
  <c r="N344" i="20"/>
  <c r="N346" i="20"/>
  <c r="N348" i="20"/>
  <c r="N354" i="20"/>
  <c r="N357" i="20"/>
  <c r="N358" i="20"/>
  <c r="N360" i="20"/>
  <c r="N362" i="20"/>
  <c r="N366" i="20"/>
  <c r="N370" i="20"/>
  <c r="N372" i="20"/>
  <c r="N381" i="20"/>
  <c r="N382" i="20"/>
  <c r="N386" i="20"/>
  <c r="N387" i="20"/>
  <c r="N388" i="20"/>
  <c r="N390" i="20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/>
  <c r="O32" i="20" a="1"/>
  <c r="O32" i="20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/>
  <c r="O40" i="20" a="1"/>
  <c r="O40" i="20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/>
  <c r="O49" i="20" a="1"/>
  <c r="O49" i="20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/>
  <c r="O74" i="20" a="1"/>
  <c r="O74" i="20" s="1"/>
  <c r="O75" i="20" a="1"/>
  <c r="O75" i="20" s="1"/>
  <c r="O76" i="20" a="1"/>
  <c r="O76" i="20" s="1"/>
  <c r="O77" i="20" a="1"/>
  <c r="O77" i="20" s="1"/>
  <c r="O78" i="20" a="1"/>
  <c r="O78" i="20" s="1"/>
  <c r="O79" i="20" a="1"/>
  <c r="O79" i="20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/>
  <c r="O96" i="20" a="1"/>
  <c r="O96" i="20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/>
  <c r="O104" i="20" a="1"/>
  <c r="O104" i="20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/>
  <c r="O113" i="20" a="1"/>
  <c r="O113" i="20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/>
  <c r="O121" i="20" a="1"/>
  <c r="O121" i="20" s="1"/>
  <c r="O122" i="20" a="1"/>
  <c r="O122" i="20" s="1"/>
  <c r="O123" i="20" a="1"/>
  <c r="O123" i="20" s="1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 s="1"/>
  <c r="O136" i="20" a="1"/>
  <c r="O136" i="20" s="1"/>
  <c r="O137" i="20" a="1"/>
  <c r="O137" i="20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 s="1"/>
  <c r="O143" i="20" a="1"/>
  <c r="O143" i="20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 s="1"/>
  <c r="O150" i="20" a="1"/>
  <c r="O150" i="20" s="1"/>
  <c r="O151" i="20" a="1"/>
  <c r="O151" i="20"/>
  <c r="O152" i="20" a="1"/>
  <c r="O152" i="20" s="1"/>
  <c r="O153" i="20" a="1"/>
  <c r="O153" i="20" s="1"/>
  <c r="O154" i="20" a="1"/>
  <c r="O154" i="20" s="1"/>
  <c r="O155" i="20" a="1"/>
  <c r="O155" i="20" s="1"/>
  <c r="O156" i="20" a="1"/>
  <c r="O156" i="20" s="1"/>
  <c r="O157" i="20" a="1"/>
  <c r="O157" i="20" s="1"/>
  <c r="O158" i="20" a="1"/>
  <c r="O158" i="20" s="1"/>
  <c r="O159" i="20" a="1"/>
  <c r="O159" i="20"/>
  <c r="O160" i="20" a="1"/>
  <c r="O160" i="20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/>
  <c r="O168" i="20" a="1"/>
  <c r="O168" i="20"/>
  <c r="O169" i="20" a="1"/>
  <c r="O169" i="20" s="1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 s="1"/>
  <c r="O175" i="20" a="1"/>
  <c r="O175" i="20" s="1"/>
  <c r="O176" i="20" a="1"/>
  <c r="O176" i="20"/>
  <c r="O177" i="20" a="1"/>
  <c r="O177" i="20"/>
  <c r="O178" i="20" a="1"/>
  <c r="O178" i="20" s="1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 s="1"/>
  <c r="O191" i="20" a="1"/>
  <c r="O191" i="20" s="1"/>
  <c r="O192" i="20" a="1"/>
  <c r="O192" i="20" s="1"/>
  <c r="O193" i="20" a="1"/>
  <c r="O193" i="20"/>
  <c r="O194" i="20" a="1"/>
  <c r="O194" i="20" s="1"/>
  <c r="O195" i="20" a="1"/>
  <c r="O195" i="20" s="1"/>
  <c r="O196" i="20" a="1"/>
  <c r="O196" i="20" s="1"/>
  <c r="O197" i="20" a="1"/>
  <c r="O197" i="20" s="1"/>
  <c r="O198" i="20" a="1"/>
  <c r="O198" i="20" s="1"/>
  <c r="O199" i="20" a="1"/>
  <c r="O199" i="20" s="1"/>
  <c r="O200" i="20" a="1"/>
  <c r="O200" i="20" s="1"/>
  <c r="O201" i="20" a="1"/>
  <c r="O201" i="20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/>
  <c r="O208" i="20" a="1"/>
  <c r="O208" i="20" s="1"/>
  <c r="O209" i="20" a="1"/>
  <c r="O209" i="20" s="1"/>
  <c r="O210" i="20" a="1"/>
  <c r="O210" i="20" s="1"/>
  <c r="O211" i="20" a="1"/>
  <c r="O211" i="20" s="1"/>
  <c r="O212" i="20" a="1"/>
  <c r="O212" i="20" s="1"/>
  <c r="O213" i="20" a="1"/>
  <c r="O213" i="20" s="1"/>
  <c r="O214" i="20" a="1"/>
  <c r="O214" i="20" s="1"/>
  <c r="O215" i="20" a="1"/>
  <c r="O215" i="20"/>
  <c r="O216" i="20" a="1"/>
  <c r="O216" i="20" s="1"/>
  <c r="O217" i="20" a="1"/>
  <c r="O217" i="20" s="1"/>
  <c r="O218" i="20" a="1"/>
  <c r="O218" i="20" s="1"/>
  <c r="O219" i="20" a="1"/>
  <c r="O219" i="20" s="1"/>
  <c r="O220" i="20" a="1"/>
  <c r="O220" i="20" s="1"/>
  <c r="O221" i="20" a="1"/>
  <c r="O221" i="20" s="1"/>
  <c r="O222" i="20" a="1"/>
  <c r="O222" i="20" s="1"/>
  <c r="O223" i="20" a="1"/>
  <c r="O223" i="20"/>
  <c r="O224" i="20" a="1"/>
  <c r="O224" i="20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 s="1"/>
  <c r="O230" i="20" a="1"/>
  <c r="O230" i="20" s="1"/>
  <c r="O231" i="20" a="1"/>
  <c r="O231" i="20"/>
  <c r="O232" i="20" a="1"/>
  <c r="O232" i="20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 s="1"/>
  <c r="O239" i="20" a="1"/>
  <c r="O239" i="20" s="1"/>
  <c r="O240" i="20" a="1"/>
  <c r="O240" i="20"/>
  <c r="O241" i="20" a="1"/>
  <c r="O241" i="20"/>
  <c r="O242" i="20" a="1"/>
  <c r="O242" i="20" s="1"/>
  <c r="O243" i="20" a="1"/>
  <c r="O243" i="20" s="1"/>
  <c r="O244" i="20" a="1"/>
  <c r="O244" i="20" s="1"/>
  <c r="O245" i="20" a="1"/>
  <c r="O245" i="20" s="1"/>
  <c r="O246" i="20" a="1"/>
  <c r="O246" i="20" s="1"/>
  <c r="O247" i="20" a="1"/>
  <c r="O247" i="20" s="1"/>
  <c r="O248" i="20" a="1"/>
  <c r="O248" i="20"/>
  <c r="O249" i="20" a="1"/>
  <c r="O249" i="20" s="1"/>
  <c r="O250" i="20" a="1"/>
  <c r="O250" i="20" s="1"/>
  <c r="O251" i="20" a="1"/>
  <c r="O251" i="20" s="1"/>
  <c r="O252" i="20" a="1"/>
  <c r="O252" i="20" s="1"/>
  <c r="O253" i="20" a="1"/>
  <c r="O253" i="20" s="1"/>
  <c r="O254" i="20" a="1"/>
  <c r="O254" i="20" s="1"/>
  <c r="O255" i="20" a="1"/>
  <c r="O255" i="20" s="1"/>
  <c r="O256" i="20" a="1"/>
  <c r="O256" i="20" s="1"/>
  <c r="O257" i="20" a="1"/>
  <c r="O257" i="20"/>
  <c r="O258" i="20" a="1"/>
  <c r="O258" i="20" s="1"/>
  <c r="O259" i="20" a="1"/>
  <c r="O259" i="20" s="1"/>
  <c r="O260" i="20" a="1"/>
  <c r="O260" i="20" s="1"/>
  <c r="O261" i="20" a="1"/>
  <c r="O261" i="20" s="1"/>
  <c r="O262" i="20" a="1"/>
  <c r="O262" i="20" s="1"/>
  <c r="O263" i="20" a="1"/>
  <c r="O263" i="20" s="1"/>
  <c r="O264" i="20" a="1"/>
  <c r="O264" i="20" s="1"/>
  <c r="O265" i="20" a="1"/>
  <c r="O265" i="20"/>
  <c r="O266" i="20" a="1"/>
  <c r="O266" i="20" s="1"/>
  <c r="O267" i="20" a="1"/>
  <c r="O267" i="20" s="1"/>
  <c r="O268" i="20" a="1"/>
  <c r="O268" i="20" s="1"/>
  <c r="O269" i="20" a="1"/>
  <c r="O269" i="20" s="1"/>
  <c r="O270" i="20" a="1"/>
  <c r="O270" i="20" s="1"/>
  <c r="O271" i="20" a="1"/>
  <c r="O271" i="20"/>
  <c r="O272" i="20" a="1"/>
  <c r="O272" i="20" s="1"/>
  <c r="O273" i="20" a="1"/>
  <c r="O273" i="20" s="1"/>
  <c r="O274" i="20" a="1"/>
  <c r="O274" i="20" s="1"/>
  <c r="O275" i="20" a="1"/>
  <c r="O275" i="20" s="1"/>
  <c r="O276" i="20" a="1"/>
  <c r="O276" i="20" s="1"/>
  <c r="O277" i="20" a="1"/>
  <c r="O277" i="20" s="1"/>
  <c r="O278" i="20" a="1"/>
  <c r="O278" i="20" s="1"/>
  <c r="O279" i="20" a="1"/>
  <c r="O279" i="20" s="1"/>
  <c r="O280" i="20" a="1"/>
  <c r="O280" i="20" s="1"/>
  <c r="O281" i="20" a="1"/>
  <c r="O281" i="20" s="1"/>
  <c r="O282" i="20" a="1"/>
  <c r="O282" i="20" s="1"/>
  <c r="O283" i="20" a="1"/>
  <c r="O283" i="20" s="1"/>
  <c r="O284" i="20" a="1"/>
  <c r="O284" i="20" s="1"/>
  <c r="O285" i="20" a="1"/>
  <c r="O285" i="20" s="1"/>
  <c r="O286" i="20" a="1"/>
  <c r="O286" i="20" s="1"/>
  <c r="O287" i="20" a="1"/>
  <c r="O287" i="20"/>
  <c r="O288" i="20" a="1"/>
  <c r="O288" i="20"/>
  <c r="O289" i="20" a="1"/>
  <c r="O289" i="20"/>
  <c r="O290" i="20" a="1"/>
  <c r="O290" i="20" s="1"/>
  <c r="O291" i="20" a="1"/>
  <c r="O291" i="20" s="1"/>
  <c r="O292" i="20" a="1"/>
  <c r="O292" i="20" s="1"/>
  <c r="O293" i="20" a="1"/>
  <c r="O293" i="20" s="1"/>
  <c r="O294" i="20" a="1"/>
  <c r="O294" i="20" s="1"/>
  <c r="O295" i="20" a="1"/>
  <c r="O295" i="20" s="1"/>
  <c r="O296" i="20" a="1"/>
  <c r="O296" i="20" s="1"/>
  <c r="O297" i="20" a="1"/>
  <c r="O297" i="20" s="1"/>
  <c r="O298" i="20" a="1"/>
  <c r="O298" i="20" s="1"/>
  <c r="O299" i="20" a="1"/>
  <c r="O299" i="20" s="1"/>
  <c r="O300" i="20" a="1"/>
  <c r="O300" i="20" s="1"/>
  <c r="O301" i="20" a="1"/>
  <c r="O301" i="20" s="1"/>
  <c r="O302" i="20" a="1"/>
  <c r="O302" i="20" s="1"/>
  <c r="O303" i="20" a="1"/>
  <c r="O303" i="20" s="1"/>
  <c r="O304" i="20" a="1"/>
  <c r="O304" i="20"/>
  <c r="O305" i="20" a="1"/>
  <c r="O305" i="20"/>
  <c r="O306" i="20" a="1"/>
  <c r="O306" i="20" s="1"/>
  <c r="O307" i="20" a="1"/>
  <c r="O307" i="20" s="1"/>
  <c r="O308" i="20" a="1"/>
  <c r="O308" i="20" s="1"/>
  <c r="O309" i="20" a="1"/>
  <c r="O309" i="20" s="1"/>
  <c r="O310" i="20" a="1"/>
  <c r="O310" i="20" s="1"/>
  <c r="O311" i="20" a="1"/>
  <c r="O311" i="20" s="1"/>
  <c r="O312" i="20" a="1"/>
  <c r="O312" i="20"/>
  <c r="O313" i="20" a="1"/>
  <c r="O313" i="20"/>
  <c r="O314" i="20" a="1"/>
  <c r="O314" i="20" s="1"/>
  <c r="O315" i="20" a="1"/>
  <c r="O315" i="20" s="1"/>
  <c r="O316" i="20" a="1"/>
  <c r="O316" i="20" s="1"/>
  <c r="O317" i="20" a="1"/>
  <c r="O317" i="20" s="1"/>
  <c r="O318" i="20" a="1"/>
  <c r="O318" i="20" s="1"/>
  <c r="O319" i="20" a="1"/>
  <c r="O319" i="20"/>
  <c r="O320" i="20" a="1"/>
  <c r="O320" i="20" s="1"/>
  <c r="O321" i="20" a="1"/>
  <c r="O321" i="20"/>
  <c r="O322" i="20" a="1"/>
  <c r="O322" i="20" s="1"/>
  <c r="O323" i="20" a="1"/>
  <c r="O323" i="20" s="1"/>
  <c r="O324" i="20" a="1"/>
  <c r="O324" i="20" s="1"/>
  <c r="O325" i="20" a="1"/>
  <c r="O325" i="20" s="1"/>
  <c r="O326" i="20" a="1"/>
  <c r="O326" i="20" s="1"/>
  <c r="O327" i="20" a="1"/>
  <c r="O327" i="20" s="1"/>
  <c r="O328" i="20" a="1"/>
  <c r="O328" i="20" s="1"/>
  <c r="O329" i="20" a="1"/>
  <c r="O329" i="20" s="1"/>
  <c r="O330" i="20" a="1"/>
  <c r="O330" i="20" s="1"/>
  <c r="O331" i="20" a="1"/>
  <c r="O331" i="20" s="1"/>
  <c r="O332" i="20" a="1"/>
  <c r="O332" i="20" s="1"/>
  <c r="O333" i="20" a="1"/>
  <c r="O333" i="20" s="1"/>
  <c r="O334" i="20" a="1"/>
  <c r="O334" i="20" s="1"/>
  <c r="O335" i="20" a="1"/>
  <c r="O335" i="20"/>
  <c r="O336" i="20" a="1"/>
  <c r="O336" i="20" s="1"/>
  <c r="O337" i="20" a="1"/>
  <c r="O337" i="20" s="1"/>
  <c r="O338" i="20" a="1"/>
  <c r="O338" i="20" s="1"/>
  <c r="O339" i="20" a="1"/>
  <c r="O339" i="20" s="1"/>
  <c r="O340" i="20" a="1"/>
  <c r="O340" i="20" s="1"/>
  <c r="O341" i="20" a="1"/>
  <c r="O341" i="20" s="1"/>
  <c r="O342" i="20" a="1"/>
  <c r="O342" i="20" s="1"/>
  <c r="O343" i="20" a="1"/>
  <c r="O343" i="20" s="1"/>
  <c r="O344" i="20" a="1"/>
  <c r="O344" i="20" s="1"/>
  <c r="O345" i="20" a="1"/>
  <c r="O345" i="20" s="1"/>
  <c r="O346" i="20" a="1"/>
  <c r="O346" i="20" s="1"/>
  <c r="O347" i="20" a="1"/>
  <c r="O347" i="20" s="1"/>
  <c r="O348" i="20" a="1"/>
  <c r="O348" i="20" s="1"/>
  <c r="O349" i="20" a="1"/>
  <c r="O349" i="20" s="1"/>
  <c r="O350" i="20" a="1"/>
  <c r="O350" i="20" s="1"/>
  <c r="O351" i="20" a="1"/>
  <c r="O351" i="20"/>
  <c r="O352" i="20" a="1"/>
  <c r="O352" i="20"/>
  <c r="O353" i="20" a="1"/>
  <c r="O353" i="20" s="1"/>
  <c r="O354" i="20" a="1"/>
  <c r="O354" i="20" s="1"/>
  <c r="O355" i="20" a="1"/>
  <c r="O355" i="20" s="1"/>
  <c r="O356" i="20" a="1"/>
  <c r="O356" i="20" s="1"/>
  <c r="O357" i="20" a="1"/>
  <c r="O357" i="20" s="1"/>
  <c r="O358" i="20" a="1"/>
  <c r="O358" i="20" s="1"/>
  <c r="O359" i="20" a="1"/>
  <c r="O359" i="20"/>
  <c r="O360" i="20" a="1"/>
  <c r="O360" i="20"/>
  <c r="O361" i="20" a="1"/>
  <c r="O361" i="20" s="1"/>
  <c r="O362" i="20" a="1"/>
  <c r="O362" i="20" s="1"/>
  <c r="O363" i="20" a="1"/>
  <c r="O363" i="20" s="1"/>
  <c r="O364" i="20" a="1"/>
  <c r="O364" i="20" s="1"/>
  <c r="O365" i="20" a="1"/>
  <c r="O365" i="20" s="1"/>
  <c r="O366" i="20" a="1"/>
  <c r="O366" i="20" s="1"/>
  <c r="O367" i="20" a="1"/>
  <c r="O367" i="20" s="1"/>
  <c r="O368" i="20" a="1"/>
  <c r="O368" i="20" s="1"/>
  <c r="O369" i="20" a="1"/>
  <c r="O369" i="20"/>
  <c r="O370" i="20" a="1"/>
  <c r="O370" i="20" s="1"/>
  <c r="O371" i="20" a="1"/>
  <c r="O371" i="20" s="1"/>
  <c r="O372" i="20" a="1"/>
  <c r="O372" i="20" s="1"/>
  <c r="O373" i="20" a="1"/>
  <c r="O373" i="20" s="1"/>
  <c r="O374" i="20" a="1"/>
  <c r="O374" i="20" s="1"/>
  <c r="O375" i="20" a="1"/>
  <c r="O375" i="20" s="1"/>
  <c r="O376" i="20" a="1"/>
  <c r="O376" i="20" s="1"/>
  <c r="O377" i="20" a="1"/>
  <c r="O377" i="20"/>
  <c r="O378" i="20" a="1"/>
  <c r="O378" i="20" s="1"/>
  <c r="O379" i="20" a="1"/>
  <c r="O379" i="20" s="1"/>
  <c r="O380" i="20" a="1"/>
  <c r="O380" i="20" s="1"/>
  <c r="O381" i="20" a="1"/>
  <c r="O381" i="20" s="1"/>
  <c r="O382" i="20" a="1"/>
  <c r="O382" i="20" s="1"/>
  <c r="O383" i="20" a="1"/>
  <c r="O383" i="20"/>
  <c r="O384" i="20" a="1"/>
  <c r="O384" i="20" s="1"/>
  <c r="O385" i="20" a="1"/>
  <c r="O385" i="20" s="1"/>
  <c r="O386" i="20" a="1"/>
  <c r="O386" i="20" s="1"/>
  <c r="O387" i="20" a="1"/>
  <c r="O387" i="20" s="1"/>
  <c r="O388" i="20" a="1"/>
  <c r="O388" i="20" s="1"/>
  <c r="O389" i="20" a="1"/>
  <c r="O389" i="20" s="1"/>
  <c r="O390" i="20" a="1"/>
  <c r="O390" i="20" s="1"/>
  <c r="O391" i="20" a="1"/>
  <c r="O39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/>
  <c r="P10" i="20" a="1"/>
  <c r="P10" i="20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/>
  <c r="P18" i="20" a="1"/>
  <c r="P18" i="20" s="1"/>
  <c r="P19" i="20" a="1"/>
  <c r="P19" i="20" s="1"/>
  <c r="P20" i="20" a="1"/>
  <c r="P20" i="20" s="1"/>
  <c r="P21" i="20" a="1"/>
  <c r="P21" i="20"/>
  <c r="P22" i="20" a="1"/>
  <c r="P22" i="20" s="1"/>
  <c r="P23" i="20" a="1"/>
  <c r="P23" i="20" s="1"/>
  <c r="P24" i="20" a="1"/>
  <c r="P24" i="20" s="1"/>
  <c r="P25" i="20" a="1"/>
  <c r="P25" i="20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/>
  <c r="P122" i="20" a="1"/>
  <c r="P122" i="20" s="1"/>
  <c r="P123" i="20" a="1"/>
  <c r="P123" i="20" s="1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 s="1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 s="1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 s="1"/>
  <c r="P149" i="20" a="1"/>
  <c r="P149" i="20" s="1"/>
  <c r="P150" i="20" a="1"/>
  <c r="P150" i="20" s="1"/>
  <c r="P151" i="20" a="1"/>
  <c r="P151" i="20" s="1"/>
  <c r="P152" i="20" a="1"/>
  <c r="P152" i="20" s="1"/>
  <c r="P153" i="20" a="1"/>
  <c r="P153" i="20"/>
  <c r="P154" i="20" a="1"/>
  <c r="P154" i="20" s="1"/>
  <c r="P155" i="20" a="1"/>
  <c r="P155" i="20" s="1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 s="1"/>
  <c r="P164" i="20" a="1"/>
  <c r="P164" i="20" s="1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/>
  <c r="P170" i="20" a="1"/>
  <c r="P170" i="20" s="1"/>
  <c r="P171" i="20" a="1"/>
  <c r="P171" i="20" s="1"/>
  <c r="P172" i="20" a="1"/>
  <c r="P172" i="20" s="1"/>
  <c r="P173" i="20" a="1"/>
  <c r="P173" i="20" s="1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 s="1"/>
  <c r="P181" i="20" a="1"/>
  <c r="P181" i="20" s="1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 s="1"/>
  <c r="P188" i="20" a="1"/>
  <c r="P188" i="20" s="1"/>
  <c r="P189" i="20" a="1"/>
  <c r="P189" i="20" s="1"/>
  <c r="P190" i="20" a="1"/>
  <c r="P190" i="20" s="1"/>
  <c r="P191" i="20" a="1"/>
  <c r="P191" i="20" s="1"/>
  <c r="P192" i="20" a="1"/>
  <c r="P192" i="20" s="1"/>
  <c r="P193" i="20" a="1"/>
  <c r="P193" i="20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/>
  <c r="P202" i="20" a="1"/>
  <c r="P202" i="20" s="1"/>
  <c r="P203" i="20" a="1"/>
  <c r="P203" i="20" s="1"/>
  <c r="P204" i="20" a="1"/>
  <c r="P204" i="20" s="1"/>
  <c r="P205" i="20" a="1"/>
  <c r="P205" i="20" s="1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 s="1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 s="1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 s="1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/>
  <c r="P234" i="20" a="1"/>
  <c r="P234" i="20" s="1"/>
  <c r="P235" i="20" a="1"/>
  <c r="P235" i="20" s="1"/>
  <c r="P236" i="20" a="1"/>
  <c r="P236" i="20" s="1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P252" i="20" a="1"/>
  <c r="P252" i="20" s="1"/>
  <c r="P253" i="20" a="1"/>
  <c r="P253" i="20" s="1"/>
  <c r="P254" i="20" a="1"/>
  <c r="P254" i="20" s="1"/>
  <c r="P255" i="20" a="1"/>
  <c r="P255" i="20" s="1"/>
  <c r="P256" i="20" a="1"/>
  <c r="P256" i="20" s="1"/>
  <c r="P257" i="20" a="1"/>
  <c r="P257" i="20"/>
  <c r="P258" i="20" a="1"/>
  <c r="P258" i="20" s="1"/>
  <c r="P259" i="20" a="1"/>
  <c r="P259" i="20" s="1"/>
  <c r="P260" i="20" a="1"/>
  <c r="P260" i="20" s="1"/>
  <c r="P261" i="20" a="1"/>
  <c r="P261" i="20" s="1"/>
  <c r="P262" i="20" a="1"/>
  <c r="P262" i="20" s="1"/>
  <c r="P263" i="20" a="1"/>
  <c r="P263" i="20" s="1"/>
  <c r="P264" i="20" a="1"/>
  <c r="P264" i="20" s="1"/>
  <c r="P265" i="20" a="1"/>
  <c r="P265" i="20" s="1"/>
  <c r="P266" i="20" a="1"/>
  <c r="P266" i="20" s="1"/>
  <c r="P267" i="20" a="1"/>
  <c r="P267" i="20" s="1"/>
  <c r="P268" i="20" a="1"/>
  <c r="P268" i="20" s="1"/>
  <c r="P269" i="20" a="1"/>
  <c r="P269" i="20" s="1"/>
  <c r="P270" i="20" a="1"/>
  <c r="P270" i="20" s="1"/>
  <c r="P271" i="20" a="1"/>
  <c r="P271" i="20" s="1"/>
  <c r="P272" i="20" a="1"/>
  <c r="P272" i="20" s="1"/>
  <c r="P273" i="20" a="1"/>
  <c r="P273" i="20" s="1"/>
  <c r="P274" i="20" a="1"/>
  <c r="P274" i="20" s="1"/>
  <c r="P275" i="20" a="1"/>
  <c r="P275" i="20" s="1"/>
  <c r="P276" i="20" a="1"/>
  <c r="P276" i="20" s="1"/>
  <c r="P277" i="20" a="1"/>
  <c r="P277" i="20" s="1"/>
  <c r="P278" i="20" a="1"/>
  <c r="P278" i="20" s="1"/>
  <c r="P279" i="20" a="1"/>
  <c r="P279" i="20" s="1"/>
  <c r="P280" i="20" a="1"/>
  <c r="P280" i="20" s="1"/>
  <c r="P281" i="20" a="1"/>
  <c r="P281" i="20"/>
  <c r="P282" i="20" a="1"/>
  <c r="P282" i="20" s="1"/>
  <c r="P283" i="20" a="1"/>
  <c r="P283" i="20" s="1"/>
  <c r="P284" i="20" a="1"/>
  <c r="P284" i="20" s="1"/>
  <c r="P285" i="20" a="1"/>
  <c r="P285" i="20" s="1"/>
  <c r="P286" i="20" a="1"/>
  <c r="P286" i="20" s="1"/>
  <c r="P287" i="20" a="1"/>
  <c r="P287" i="20" s="1"/>
  <c r="P288" i="20" a="1"/>
  <c r="P288" i="20" s="1"/>
  <c r="P289" i="20" a="1"/>
  <c r="P289" i="20"/>
  <c r="P290" i="20" a="1"/>
  <c r="P290" i="20" s="1"/>
  <c r="P291" i="20" a="1"/>
  <c r="P291" i="20" s="1"/>
  <c r="P292" i="20" a="1"/>
  <c r="P292" i="20" s="1"/>
  <c r="P293" i="20" a="1"/>
  <c r="P293" i="20" s="1"/>
  <c r="P294" i="20" a="1"/>
  <c r="P294" i="20" s="1"/>
  <c r="P295" i="20" a="1"/>
  <c r="P295" i="20" s="1"/>
  <c r="P296" i="20" a="1"/>
  <c r="P296" i="20" s="1"/>
  <c r="P297" i="20" a="1"/>
  <c r="P297" i="20"/>
  <c r="P298" i="20" a="1"/>
  <c r="P298" i="20" s="1"/>
  <c r="P299" i="20" a="1"/>
  <c r="P299" i="20" s="1"/>
  <c r="P300" i="20" a="1"/>
  <c r="P300" i="20" s="1"/>
  <c r="P301" i="20" a="1"/>
  <c r="P301" i="20" s="1"/>
  <c r="P302" i="20" a="1"/>
  <c r="P302" i="20" s="1"/>
  <c r="P303" i="20" a="1"/>
  <c r="P303" i="20" s="1"/>
  <c r="P304" i="20" a="1"/>
  <c r="P304" i="20" s="1"/>
  <c r="P305" i="20" a="1"/>
  <c r="P305" i="20" s="1"/>
  <c r="P306" i="20" a="1"/>
  <c r="P306" i="20" s="1"/>
  <c r="P307" i="20" a="1"/>
  <c r="P307" i="20" s="1"/>
  <c r="P308" i="20" a="1"/>
  <c r="P308" i="20" s="1"/>
  <c r="P309" i="20" a="1"/>
  <c r="P309" i="20" s="1"/>
  <c r="P310" i="20" a="1"/>
  <c r="P310" i="20" s="1"/>
  <c r="P311" i="20" a="1"/>
  <c r="P311" i="20" s="1"/>
  <c r="P312" i="20" a="1"/>
  <c r="P312" i="20" s="1"/>
  <c r="P313" i="20" a="1"/>
  <c r="P313" i="20"/>
  <c r="P314" i="20" a="1"/>
  <c r="P314" i="20" s="1"/>
  <c r="P315" i="20" a="1"/>
  <c r="P315" i="20" s="1"/>
  <c r="P316" i="20" a="1"/>
  <c r="P316" i="20" s="1"/>
  <c r="P317" i="20" a="1"/>
  <c r="P317" i="20" s="1"/>
  <c r="P318" i="20" a="1"/>
  <c r="P318" i="20" s="1"/>
  <c r="P319" i="20" a="1"/>
  <c r="P319" i="20" s="1"/>
  <c r="P320" i="20" a="1"/>
  <c r="P320" i="20" s="1"/>
  <c r="P321" i="20" a="1"/>
  <c r="P321" i="20" s="1"/>
  <c r="P322" i="20" a="1"/>
  <c r="P322" i="20" s="1"/>
  <c r="P323" i="20" a="1"/>
  <c r="P323" i="20" s="1"/>
  <c r="P324" i="20" a="1"/>
  <c r="P324" i="20" s="1"/>
  <c r="P325" i="20" a="1"/>
  <c r="P325" i="20" s="1"/>
  <c r="P326" i="20" a="1"/>
  <c r="P326" i="20" s="1"/>
  <c r="P327" i="20" a="1"/>
  <c r="P327" i="20" s="1"/>
  <c r="P328" i="20" a="1"/>
  <c r="P328" i="20" s="1"/>
  <c r="P329" i="20" a="1"/>
  <c r="P329" i="20" s="1"/>
  <c r="P330" i="20" a="1"/>
  <c r="P330" i="20" s="1"/>
  <c r="P331" i="20" a="1"/>
  <c r="P331" i="20" s="1"/>
  <c r="P332" i="20" a="1"/>
  <c r="P332" i="20" s="1"/>
  <c r="P333" i="20" a="1"/>
  <c r="P333" i="20" s="1"/>
  <c r="P334" i="20" a="1"/>
  <c r="P334" i="20" s="1"/>
  <c r="P335" i="20" a="1"/>
  <c r="P335" i="20" s="1"/>
  <c r="P336" i="20" a="1"/>
  <c r="P336" i="20" s="1"/>
  <c r="P337" i="20" a="1"/>
  <c r="P337" i="20" s="1"/>
  <c r="P338" i="20" a="1"/>
  <c r="P338" i="20" s="1"/>
  <c r="P339" i="20" a="1"/>
  <c r="P339" i="20" s="1"/>
  <c r="P340" i="20" a="1"/>
  <c r="P340" i="20" s="1"/>
  <c r="P341" i="20" a="1"/>
  <c r="P341" i="20" s="1"/>
  <c r="P342" i="20" a="1"/>
  <c r="P342" i="20" s="1"/>
  <c r="P343" i="20" a="1"/>
  <c r="P343" i="20" s="1"/>
  <c r="P344" i="20" a="1"/>
  <c r="P344" i="20" s="1"/>
  <c r="P345" i="20" a="1"/>
  <c r="P345" i="20"/>
  <c r="P346" i="20" a="1"/>
  <c r="P346" i="20" s="1"/>
  <c r="P347" i="20" a="1"/>
  <c r="P347" i="20" s="1"/>
  <c r="P348" i="20" a="1"/>
  <c r="P348" i="20" s="1"/>
  <c r="P349" i="20" a="1"/>
  <c r="P349" i="20" s="1"/>
  <c r="P350" i="20" a="1"/>
  <c r="P350" i="20" s="1"/>
  <c r="P351" i="20" a="1"/>
  <c r="P351" i="20" s="1"/>
  <c r="P352" i="20" a="1"/>
  <c r="P352" i="20" s="1"/>
  <c r="P353" i="20" a="1"/>
  <c r="P353" i="20" s="1"/>
  <c r="P354" i="20" a="1"/>
  <c r="P354" i="20" s="1"/>
  <c r="P355" i="20" a="1"/>
  <c r="P355" i="20" s="1"/>
  <c r="P356" i="20" a="1"/>
  <c r="P356" i="20" s="1"/>
  <c r="P357" i="20" a="1"/>
  <c r="P357" i="20" s="1"/>
  <c r="P358" i="20" a="1"/>
  <c r="P358" i="20" s="1"/>
  <c r="P359" i="20" a="1"/>
  <c r="P359" i="20" s="1"/>
  <c r="P360" i="20" a="1"/>
  <c r="P360" i="20" s="1"/>
  <c r="P361" i="20" a="1"/>
  <c r="P361" i="20"/>
  <c r="P362" i="20" a="1"/>
  <c r="P362" i="20" s="1"/>
  <c r="P363" i="20" a="1"/>
  <c r="P363" i="20" s="1"/>
  <c r="P364" i="20" a="1"/>
  <c r="P364" i="20" s="1"/>
  <c r="P365" i="20" a="1"/>
  <c r="P365" i="20" s="1"/>
  <c r="P366" i="20" a="1"/>
  <c r="P366" i="20" s="1"/>
  <c r="P367" i="20" a="1"/>
  <c r="P367" i="20" s="1"/>
  <c r="P368" i="20" a="1"/>
  <c r="P368" i="20" s="1"/>
  <c r="P369" i="20" a="1"/>
  <c r="P369" i="20" s="1"/>
  <c r="P370" i="20" a="1"/>
  <c r="P370" i="20" s="1"/>
  <c r="P371" i="20" a="1"/>
  <c r="P371" i="20" s="1"/>
  <c r="P372" i="20" a="1"/>
  <c r="P372" i="20" s="1"/>
  <c r="P373" i="20" a="1"/>
  <c r="P373" i="20" s="1"/>
  <c r="P374" i="20" a="1"/>
  <c r="P374" i="20" s="1"/>
  <c r="P375" i="20" a="1"/>
  <c r="P375" i="20" s="1"/>
  <c r="P376" i="20" a="1"/>
  <c r="P376" i="20" s="1"/>
  <c r="P377" i="20" a="1"/>
  <c r="P377" i="20" s="1"/>
  <c r="P378" i="20" a="1"/>
  <c r="P378" i="20" s="1"/>
  <c r="P379" i="20" a="1"/>
  <c r="P379" i="20" s="1"/>
  <c r="P380" i="20" a="1"/>
  <c r="P380" i="20" s="1"/>
  <c r="P381" i="20" a="1"/>
  <c r="P381" i="20" s="1"/>
  <c r="P382" i="20" a="1"/>
  <c r="P382" i="20" s="1"/>
  <c r="P383" i="20" a="1"/>
  <c r="P383" i="20" s="1"/>
  <c r="P384" i="20" a="1"/>
  <c r="P384" i="20" s="1"/>
  <c r="P385" i="20" a="1"/>
  <c r="P385" i="20" s="1"/>
  <c r="P386" i="20" a="1"/>
  <c r="P386" i="20" s="1"/>
  <c r="P387" i="20" a="1"/>
  <c r="P387" i="20" s="1"/>
  <c r="P388" i="20" a="1"/>
  <c r="P388" i="20" s="1"/>
  <c r="P389" i="20" a="1"/>
  <c r="P389" i="20" s="1"/>
  <c r="P390" i="20" a="1"/>
  <c r="P390" i="20" s="1"/>
  <c r="P391" i="20" a="1"/>
  <c r="P391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M252" i="18"/>
  <c r="M253" i="18"/>
  <c r="M254" i="18"/>
  <c r="M255" i="18"/>
  <c r="M256" i="18"/>
  <c r="M257" i="18"/>
  <c r="M258" i="18"/>
  <c r="M259" i="18"/>
  <c r="M260" i="18"/>
  <c r="M261" i="18"/>
  <c r="M262" i="18"/>
  <c r="M263" i="18"/>
  <c r="M264" i="18"/>
  <c r="M265" i="18"/>
  <c r="M266" i="18"/>
  <c r="M267" i="18"/>
  <c r="M268" i="18"/>
  <c r="M269" i="18"/>
  <c r="M270" i="18"/>
  <c r="M271" i="18"/>
  <c r="M272" i="18"/>
  <c r="M273" i="18"/>
  <c r="M274" i="18"/>
  <c r="M275" i="18"/>
  <c r="M276" i="18"/>
  <c r="M277" i="18"/>
  <c r="M278" i="18"/>
  <c r="M279" i="18"/>
  <c r="M280" i="18"/>
  <c r="M281" i="18"/>
  <c r="M282" i="18"/>
  <c r="M283" i="18"/>
  <c r="M284" i="18"/>
  <c r="M285" i="18"/>
  <c r="M286" i="18"/>
  <c r="M287" i="18"/>
  <c r="M288" i="18"/>
  <c r="M289" i="18"/>
  <c r="M290" i="18"/>
  <c r="M291" i="18"/>
  <c r="M292" i="18"/>
  <c r="M293" i="18"/>
  <c r="M294" i="18"/>
  <c r="M295" i="18"/>
  <c r="M296" i="18"/>
  <c r="M297" i="18"/>
  <c r="M298" i="18"/>
  <c r="M299" i="18"/>
  <c r="M300" i="18"/>
  <c r="M301" i="18"/>
  <c r="M302" i="18"/>
  <c r="M303" i="18"/>
  <c r="M304" i="18"/>
  <c r="M305" i="18"/>
  <c r="M306" i="18"/>
  <c r="M307" i="18"/>
  <c r="M308" i="18"/>
  <c r="M309" i="18"/>
  <c r="M310" i="18"/>
  <c r="M311" i="18"/>
  <c r="M312" i="18"/>
  <c r="M313" i="18"/>
  <c r="M314" i="18"/>
  <c r="M315" i="18"/>
  <c r="M316" i="18"/>
  <c r="M317" i="18"/>
  <c r="M318" i="18"/>
  <c r="M319" i="18"/>
  <c r="M320" i="18"/>
  <c r="M321" i="18"/>
  <c r="M322" i="18"/>
  <c r="M323" i="18"/>
  <c r="M324" i="18"/>
  <c r="M325" i="18"/>
  <c r="M326" i="18"/>
  <c r="M327" i="18"/>
  <c r="M328" i="18"/>
  <c r="M329" i="18"/>
  <c r="M330" i="18"/>
  <c r="M331" i="18"/>
  <c r="M332" i="18"/>
  <c r="M333" i="18"/>
  <c r="M334" i="18"/>
  <c r="M335" i="18"/>
  <c r="M336" i="18"/>
  <c r="M337" i="18"/>
  <c r="M338" i="18"/>
  <c r="M339" i="18"/>
  <c r="M340" i="18"/>
  <c r="M341" i="18"/>
  <c r="M342" i="18"/>
  <c r="M343" i="18"/>
  <c r="M344" i="18"/>
  <c r="M345" i="18"/>
  <c r="M346" i="18"/>
  <c r="M347" i="18"/>
  <c r="M348" i="18"/>
  <c r="M349" i="18"/>
  <c r="M350" i="18"/>
  <c r="M351" i="18"/>
  <c r="M352" i="18"/>
  <c r="M353" i="18"/>
  <c r="M354" i="18"/>
  <c r="M355" i="18"/>
  <c r="M356" i="18"/>
  <c r="M357" i="18"/>
  <c r="M358" i="18"/>
  <c r="M359" i="18"/>
  <c r="M360" i="18"/>
  <c r="M361" i="18"/>
  <c r="M362" i="18"/>
  <c r="M363" i="18"/>
  <c r="M364" i="18"/>
  <c r="M365" i="18"/>
  <c r="M366" i="18"/>
  <c r="M367" i="18"/>
  <c r="M368" i="18"/>
  <c r="M369" i="18"/>
  <c r="M370" i="18"/>
  <c r="M371" i="18"/>
  <c r="M372" i="18"/>
  <c r="M373" i="18"/>
  <c r="M374" i="18"/>
  <c r="M375" i="18"/>
  <c r="M376" i="18"/>
  <c r="M377" i="18"/>
  <c r="M378" i="18"/>
  <c r="M379" i="18"/>
  <c r="M380" i="18"/>
  <c r="M381" i="18"/>
  <c r="M382" i="18"/>
  <c r="M383" i="18"/>
  <c r="M384" i="18"/>
  <c r="M385" i="18"/>
  <c r="M386" i="18"/>
  <c r="M387" i="18"/>
  <c r="M388" i="18"/>
  <c r="M389" i="18"/>
  <c r="M390" i="18"/>
  <c r="M391" i="18"/>
  <c r="M392" i="18"/>
  <c r="M393" i="18"/>
  <c r="M394" i="18"/>
  <c r="M395" i="18"/>
  <c r="M396" i="18"/>
  <c r="M397" i="18"/>
  <c r="M398" i="18"/>
  <c r="M399" i="18"/>
  <c r="M400" i="18"/>
  <c r="M401" i="18"/>
  <c r="M402" i="18"/>
  <c r="M403" i="18"/>
  <c r="M404" i="18"/>
  <c r="M405" i="18"/>
  <c r="M406" i="18"/>
  <c r="M407" i="18"/>
  <c r="M408" i="18"/>
  <c r="M409" i="18"/>
  <c r="M410" i="18"/>
  <c r="M411" i="18"/>
  <c r="M412" i="18"/>
  <c r="M413" i="18"/>
  <c r="M414" i="18"/>
  <c r="M415" i="18"/>
  <c r="M416" i="18"/>
  <c r="M417" i="18"/>
  <c r="M418" i="18"/>
  <c r="M419" i="18"/>
  <c r="M420" i="18"/>
  <c r="M421" i="18"/>
  <c r="M422" i="18"/>
  <c r="M423" i="18"/>
  <c r="M424" i="18"/>
  <c r="M425" i="18"/>
  <c r="M426" i="18"/>
  <c r="M427" i="18"/>
  <c r="M428" i="18"/>
  <c r="M429" i="18"/>
  <c r="M430" i="18"/>
  <c r="M431" i="18"/>
  <c r="M432" i="18"/>
  <c r="M433" i="18"/>
  <c r="M434" i="18"/>
  <c r="M435" i="18"/>
  <c r="M436" i="18"/>
  <c r="M437" i="18"/>
  <c r="M438" i="18"/>
  <c r="M439" i="18"/>
  <c r="M440" i="18"/>
  <c r="M441" i="18"/>
  <c r="M442" i="18"/>
  <c r="M443" i="18"/>
  <c r="M444" i="18"/>
  <c r="M445" i="18"/>
  <c r="M446" i="18"/>
  <c r="M447" i="18"/>
  <c r="M448" i="18"/>
  <c r="M449" i="18"/>
  <c r="M450" i="18"/>
  <c r="M451" i="18"/>
  <c r="M452" i="18"/>
  <c r="M453" i="18"/>
  <c r="M454" i="18"/>
  <c r="M455" i="18"/>
  <c r="M456" i="18"/>
  <c r="M457" i="18"/>
  <c r="M458" i="18"/>
  <c r="M459" i="18"/>
  <c r="M460" i="18"/>
  <c r="M461" i="18"/>
  <c r="M462" i="18"/>
  <c r="M463" i="18"/>
  <c r="M464" i="18"/>
  <c r="M465" i="18"/>
  <c r="M466" i="18"/>
  <c r="M467" i="18"/>
  <c r="M468" i="18"/>
  <c r="M469" i="18"/>
  <c r="M470" i="18"/>
  <c r="M471" i="18"/>
  <c r="M472" i="18"/>
  <c r="M473" i="18"/>
  <c r="M474" i="18"/>
  <c r="M475" i="18"/>
  <c r="M476" i="18"/>
  <c r="M477" i="18"/>
  <c r="M478" i="18"/>
  <c r="M479" i="18"/>
  <c r="M480" i="18"/>
  <c r="M481" i="18"/>
  <c r="M482" i="18"/>
  <c r="M483" i="18"/>
  <c r="M484" i="18"/>
  <c r="M485" i="18"/>
  <c r="M486" i="18"/>
  <c r="M487" i="18"/>
  <c r="M488" i="18"/>
  <c r="M489" i="18"/>
  <c r="M490" i="18"/>
  <c r="M491" i="18"/>
  <c r="M492" i="18"/>
  <c r="M493" i="18"/>
  <c r="M494" i="18"/>
  <c r="M495" i="18"/>
  <c r="M496" i="18"/>
  <c r="M497" i="18"/>
  <c r="M498" i="18"/>
  <c r="M499" i="18"/>
  <c r="M500" i="18"/>
  <c r="M501" i="18"/>
  <c r="M502" i="18"/>
  <c r="M503" i="18"/>
  <c r="M504" i="18"/>
  <c r="M505" i="18"/>
  <c r="M506" i="18"/>
  <c r="M507" i="18"/>
  <c r="M508" i="18"/>
  <c r="M509" i="18"/>
  <c r="M510" i="18"/>
  <c r="M511" i="18"/>
  <c r="M512" i="18"/>
  <c r="M513" i="18"/>
  <c r="M514" i="18"/>
  <c r="M515" i="18"/>
  <c r="M516" i="18"/>
  <c r="M517" i="18"/>
  <c r="M518" i="18"/>
  <c r="M519" i="18"/>
  <c r="M520" i="18"/>
  <c r="M521" i="18"/>
  <c r="M522" i="18"/>
  <c r="M523" i="18"/>
  <c r="M524" i="18"/>
  <c r="M525" i="18"/>
  <c r="M526" i="18"/>
  <c r="M527" i="18"/>
  <c r="M528" i="18"/>
  <c r="M529" i="18"/>
  <c r="M530" i="18"/>
  <c r="M531" i="18"/>
  <c r="M532" i="18"/>
  <c r="M533" i="18"/>
  <c r="M534" i="18"/>
  <c r="M535" i="18"/>
  <c r="M536" i="18"/>
  <c r="M537" i="18"/>
  <c r="M538" i="18"/>
  <c r="M539" i="18"/>
  <c r="M540" i="18"/>
  <c r="M541" i="18"/>
  <c r="M542" i="18"/>
  <c r="M543" i="18"/>
  <c r="M544" i="18"/>
  <c r="M545" i="18"/>
  <c r="M546" i="18"/>
  <c r="M547" i="18"/>
  <c r="M548" i="18"/>
  <c r="M549" i="18"/>
  <c r="M550" i="18"/>
  <c r="M551" i="18"/>
  <c r="M552" i="18"/>
  <c r="M553" i="18"/>
  <c r="M554" i="18"/>
  <c r="M555" i="18"/>
  <c r="M556" i="18"/>
  <c r="M557" i="18"/>
  <c r="M558" i="18"/>
  <c r="M559" i="18"/>
  <c r="M560" i="18"/>
  <c r="M561" i="18"/>
  <c r="M562" i="18"/>
  <c r="M563" i="18"/>
  <c r="M564" i="18"/>
  <c r="M565" i="18"/>
  <c r="M566" i="18"/>
  <c r="M567" i="18"/>
  <c r="M568" i="18"/>
  <c r="M569" i="18"/>
  <c r="M570" i="18"/>
  <c r="M571" i="18"/>
  <c r="M572" i="18"/>
  <c r="M573" i="18"/>
  <c r="M574" i="18"/>
  <c r="M575" i="18"/>
  <c r="M576" i="18"/>
  <c r="M577" i="18"/>
  <c r="M578" i="18"/>
  <c r="M579" i="18"/>
  <c r="M580" i="18"/>
  <c r="M581" i="18"/>
  <c r="M582" i="18"/>
  <c r="M583" i="18"/>
  <c r="M584" i="18"/>
  <c r="M585" i="18"/>
  <c r="M586" i="18"/>
  <c r="M587" i="18"/>
  <c r="M588" i="18"/>
  <c r="M589" i="18"/>
  <c r="M590" i="18"/>
  <c r="M591" i="18"/>
  <c r="M592" i="18"/>
  <c r="M593" i="18"/>
  <c r="M594" i="18"/>
  <c r="M595" i="18"/>
  <c r="M596" i="18"/>
  <c r="M597" i="18"/>
  <c r="M598" i="18"/>
  <c r="M599" i="18"/>
  <c r="M600" i="18"/>
  <c r="M601" i="18"/>
  <c r="M602" i="18"/>
  <c r="M603" i="18"/>
  <c r="M604" i="18"/>
  <c r="M605" i="18"/>
  <c r="M606" i="18"/>
  <c r="M607" i="18"/>
  <c r="M608" i="18"/>
  <c r="M609" i="18"/>
  <c r="M610" i="18"/>
  <c r="M611" i="18"/>
  <c r="M612" i="18"/>
  <c r="M613" i="18"/>
  <c r="M614" i="18"/>
  <c r="M615" i="18"/>
  <c r="M616" i="18"/>
  <c r="M617" i="18"/>
  <c r="M618" i="18"/>
  <c r="M619" i="18"/>
  <c r="M620" i="18"/>
  <c r="M621" i="18"/>
  <c r="M622" i="18"/>
  <c r="M623" i="18"/>
  <c r="M624" i="18"/>
  <c r="M625" i="18"/>
  <c r="M626" i="18"/>
  <c r="M627" i="18"/>
  <c r="M628" i="18"/>
  <c r="M629" i="18"/>
  <c r="M630" i="18"/>
  <c r="M631" i="18"/>
  <c r="M632" i="18"/>
  <c r="M633" i="18"/>
  <c r="M634" i="18"/>
  <c r="M635" i="18"/>
  <c r="M636" i="18"/>
  <c r="M637" i="18"/>
  <c r="M638" i="18"/>
  <c r="M639" i="18"/>
  <c r="M640" i="18"/>
  <c r="M641" i="18"/>
  <c r="M642" i="18"/>
  <c r="M643" i="18"/>
  <c r="M644" i="18"/>
  <c r="M645" i="18"/>
  <c r="M646" i="18"/>
  <c r="M647" i="18"/>
  <c r="M648" i="18"/>
  <c r="M649" i="18"/>
  <c r="M650" i="18"/>
  <c r="M651" i="18"/>
  <c r="M652" i="18"/>
  <c r="M653" i="18"/>
  <c r="M654" i="18"/>
  <c r="M655" i="18"/>
  <c r="M656" i="18"/>
  <c r="M657" i="18"/>
  <c r="M658" i="18"/>
  <c r="M659" i="18"/>
  <c r="M660" i="18"/>
  <c r="M661" i="18"/>
  <c r="M662" i="18"/>
  <c r="M663" i="18"/>
  <c r="M664" i="18"/>
  <c r="M665" i="18"/>
  <c r="M666" i="18"/>
  <c r="M667" i="18"/>
  <c r="M668" i="18"/>
  <c r="M669" i="18"/>
  <c r="M670" i="18"/>
  <c r="M671" i="18"/>
  <c r="M672" i="18"/>
  <c r="M673" i="18"/>
  <c r="M674" i="18"/>
  <c r="M675" i="18"/>
  <c r="M676" i="18"/>
  <c r="M677" i="18"/>
  <c r="M678" i="18"/>
  <c r="M679" i="18"/>
  <c r="M680" i="18"/>
  <c r="M681" i="18"/>
  <c r="M682" i="18"/>
  <c r="M683" i="18"/>
  <c r="M684" i="18"/>
  <c r="M685" i="18"/>
  <c r="M686" i="18"/>
  <c r="M687" i="18"/>
  <c r="M688" i="18"/>
  <c r="M689" i="18"/>
  <c r="M690" i="18"/>
  <c r="M691" i="18"/>
  <c r="M692" i="18"/>
  <c r="M693" i="18"/>
  <c r="M694" i="18"/>
  <c r="M695" i="18"/>
  <c r="M696" i="18"/>
  <c r="M697" i="18"/>
  <c r="M698" i="18"/>
  <c r="M699" i="18"/>
  <c r="M700" i="18"/>
  <c r="M701" i="18"/>
  <c r="M702" i="18"/>
  <c r="M703" i="18"/>
  <c r="M704" i="18"/>
  <c r="M705" i="18"/>
  <c r="M706" i="18"/>
  <c r="M707" i="18"/>
  <c r="M708" i="18"/>
  <c r="M709" i="18"/>
  <c r="M710" i="18"/>
  <c r="M711" i="18"/>
  <c r="M712" i="18"/>
  <c r="S20" i="18" s="1" a="1"/>
  <c r="S20" i="18" s="1"/>
  <c r="M713" i="18"/>
  <c r="M714" i="18"/>
  <c r="M715" i="18"/>
  <c r="M716" i="18"/>
  <c r="M717" i="18"/>
  <c r="M718" i="18"/>
  <c r="M719" i="18"/>
  <c r="M720" i="18"/>
  <c r="M721" i="18"/>
  <c r="N2" i="18" a="1"/>
  <c r="N2" i="18"/>
  <c r="N3" i="18" a="1"/>
  <c r="N3" i="18" s="1"/>
  <c r="N4" i="18" a="1"/>
  <c r="N4" i="18" s="1"/>
  <c r="N5" i="18" a="1"/>
  <c r="N5" i="18" s="1"/>
  <c r="N6" i="18" a="1"/>
  <c r="N6" i="18" s="1"/>
  <c r="N7" i="18" a="1"/>
  <c r="N7" i="18"/>
  <c r="N8" i="18" a="1"/>
  <c r="N8" i="18"/>
  <c r="N9" i="18" a="1"/>
  <c r="N9" i="18"/>
  <c r="N10" i="18" a="1"/>
  <c r="N10" i="18" s="1"/>
  <c r="N11" i="18" a="1"/>
  <c r="N11" i="18"/>
  <c r="N12" i="18" a="1"/>
  <c r="N12" i="18" s="1"/>
  <c r="N13" i="18" a="1"/>
  <c r="N13" i="18"/>
  <c r="N14" i="18" a="1"/>
  <c r="N14" i="18" s="1"/>
  <c r="N15" i="18" a="1"/>
  <c r="N15" i="18" s="1"/>
  <c r="N16" i="18" a="1"/>
  <c r="N16" i="18"/>
  <c r="N17" i="18" a="1"/>
  <c r="N17" i="18"/>
  <c r="N18" i="18" a="1"/>
  <c r="N18" i="18" s="1"/>
  <c r="N19" i="18" a="1"/>
  <c r="N19" i="18" s="1"/>
  <c r="N20" i="18" a="1"/>
  <c r="N20" i="18"/>
  <c r="N21" i="18" a="1"/>
  <c r="N21" i="18" s="1"/>
  <c r="N22" i="18" a="1"/>
  <c r="N22" i="18" s="1"/>
  <c r="N23" i="18" a="1"/>
  <c r="N23" i="18"/>
  <c r="N24" i="18" a="1"/>
  <c r="N24" i="18" s="1"/>
  <c r="N25" i="18" a="1"/>
  <c r="N25" i="18"/>
  <c r="N26" i="18" a="1"/>
  <c r="N26" i="18" s="1"/>
  <c r="N27" i="18" a="1"/>
  <c r="N27" i="18"/>
  <c r="N28" i="18" a="1"/>
  <c r="N28" i="18" s="1"/>
  <c r="N29" i="18" a="1"/>
  <c r="N29" i="18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/>
  <c r="N42" i="18" a="1"/>
  <c r="N42" i="18" s="1"/>
  <c r="N43" i="18" a="1"/>
  <c r="N43" i="18" s="1"/>
  <c r="N44" i="18" a="1"/>
  <c r="N44" i="18" s="1"/>
  <c r="N45" i="18" a="1"/>
  <c r="N45" i="18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/>
  <c r="N58" i="18" a="1"/>
  <c r="N58" i="18" s="1"/>
  <c r="N59" i="18" a="1"/>
  <c r="N59" i="18" s="1"/>
  <c r="N60" i="18" a="1"/>
  <c r="N60" i="18" s="1"/>
  <c r="N61" i="18" a="1"/>
  <c r="N61" i="18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/>
  <c r="N74" i="18" a="1"/>
  <c r="N74" i="18" s="1"/>
  <c r="N75" i="18" a="1"/>
  <c r="N75" i="18" s="1"/>
  <c r="N76" i="18" a="1"/>
  <c r="N76" i="18" s="1"/>
  <c r="N77" i="18" a="1"/>
  <c r="N77" i="18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/>
  <c r="N90" i="18" a="1"/>
  <c r="N90" i="18" s="1"/>
  <c r="N91" i="18" a="1"/>
  <c r="N91" i="18" s="1"/>
  <c r="N92" i="18" a="1"/>
  <c r="N92" i="18" s="1"/>
  <c r="N93" i="18" a="1"/>
  <c r="N93" i="18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 s="1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 s="1"/>
  <c r="N223" i="18" a="1"/>
  <c r="N223" i="18" s="1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 s="1"/>
  <c r="N240" i="18" a="1"/>
  <c r="N240" i="18" s="1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N252" i="18" a="1"/>
  <c r="N252" i="18" s="1"/>
  <c r="N253" i="18" a="1"/>
  <c r="N253" i="18" s="1"/>
  <c r="N254" i="18" a="1"/>
  <c r="N254" i="18" s="1"/>
  <c r="N255" i="18" a="1"/>
  <c r="N255" i="18" s="1"/>
  <c r="N256" i="18" a="1"/>
  <c r="N256" i="18" s="1"/>
  <c r="N257" i="18" a="1"/>
  <c r="N257" i="18" s="1"/>
  <c r="N258" i="18" a="1"/>
  <c r="N258" i="18" s="1"/>
  <c r="N259" i="18" a="1"/>
  <c r="N259" i="18" s="1"/>
  <c r="N260" i="18" a="1"/>
  <c r="N260" i="18" s="1"/>
  <c r="N261" i="18" a="1"/>
  <c r="N261" i="18" s="1"/>
  <c r="N262" i="18" a="1"/>
  <c r="N262" i="18" s="1"/>
  <c r="N263" i="18" a="1"/>
  <c r="N263" i="18" s="1"/>
  <c r="N264" i="18" a="1"/>
  <c r="N264" i="18" s="1"/>
  <c r="N265" i="18" a="1"/>
  <c r="N265" i="18" s="1"/>
  <c r="N266" i="18" a="1"/>
  <c r="N266" i="18" s="1"/>
  <c r="N267" i="18" a="1"/>
  <c r="N267" i="18" s="1"/>
  <c r="N268" i="18" a="1"/>
  <c r="N268" i="18" s="1"/>
  <c r="N269" i="18" a="1"/>
  <c r="N269" i="18" s="1"/>
  <c r="N270" i="18" a="1"/>
  <c r="N270" i="18" s="1"/>
  <c r="N271" i="18" a="1"/>
  <c r="N271" i="18" s="1"/>
  <c r="N272" i="18" a="1"/>
  <c r="N272" i="18" s="1"/>
  <c r="N273" i="18" a="1"/>
  <c r="N273" i="18" s="1"/>
  <c r="N274" i="18" a="1"/>
  <c r="N274" i="18" s="1"/>
  <c r="N275" i="18" a="1"/>
  <c r="N275" i="18" s="1"/>
  <c r="N276" i="18" a="1"/>
  <c r="N276" i="18" s="1"/>
  <c r="N277" i="18" a="1"/>
  <c r="N277" i="18" s="1"/>
  <c r="N278" i="18" a="1"/>
  <c r="N278" i="18" s="1"/>
  <c r="N279" i="18" a="1"/>
  <c r="N279" i="18" s="1"/>
  <c r="N280" i="18" a="1"/>
  <c r="N280" i="18" s="1"/>
  <c r="N281" i="18" a="1"/>
  <c r="N281" i="18" s="1"/>
  <c r="N282" i="18" a="1"/>
  <c r="N282" i="18" s="1"/>
  <c r="N283" i="18" a="1"/>
  <c r="N283" i="18" s="1"/>
  <c r="N284" i="18" a="1"/>
  <c r="N284" i="18" s="1"/>
  <c r="N285" i="18" a="1"/>
  <c r="N285" i="18" s="1"/>
  <c r="N286" i="18" a="1"/>
  <c r="N286" i="18" s="1"/>
  <c r="N287" i="18" a="1"/>
  <c r="N287" i="18" s="1"/>
  <c r="N288" i="18" a="1"/>
  <c r="N288" i="18" s="1"/>
  <c r="N289" i="18" a="1"/>
  <c r="N289" i="18" s="1"/>
  <c r="N290" i="18" a="1"/>
  <c r="N290" i="18" s="1"/>
  <c r="N291" i="18" a="1"/>
  <c r="N291" i="18" s="1"/>
  <c r="N292" i="18" a="1"/>
  <c r="N292" i="18" s="1"/>
  <c r="N293" i="18" a="1"/>
  <c r="N293" i="18" s="1"/>
  <c r="N294" i="18" a="1"/>
  <c r="N294" i="18" s="1"/>
  <c r="N295" i="18" a="1"/>
  <c r="N295" i="18" s="1"/>
  <c r="N296" i="18" a="1"/>
  <c r="N296" i="18" s="1"/>
  <c r="N297" i="18" a="1"/>
  <c r="N297" i="18" s="1"/>
  <c r="N298" i="18" a="1"/>
  <c r="N298" i="18" s="1"/>
  <c r="N299" i="18" a="1"/>
  <c r="N299" i="18" s="1"/>
  <c r="N300" i="18" a="1"/>
  <c r="N300" i="18" s="1"/>
  <c r="N301" i="18" a="1"/>
  <c r="N301" i="18" s="1"/>
  <c r="N302" i="18" a="1"/>
  <c r="N302" i="18" s="1"/>
  <c r="N303" i="18" a="1"/>
  <c r="N303" i="18" s="1"/>
  <c r="N304" i="18" a="1"/>
  <c r="N304" i="18" s="1"/>
  <c r="N305" i="18" a="1"/>
  <c r="N305" i="18" s="1"/>
  <c r="N306" i="18" a="1"/>
  <c r="N306" i="18" s="1"/>
  <c r="N307" i="18" a="1"/>
  <c r="N307" i="18" s="1"/>
  <c r="N308" i="18" a="1"/>
  <c r="N308" i="18" s="1"/>
  <c r="N309" i="18" a="1"/>
  <c r="N309" i="18" s="1"/>
  <c r="N310" i="18" a="1"/>
  <c r="N310" i="18" s="1"/>
  <c r="N311" i="18" a="1"/>
  <c r="N311" i="18" s="1"/>
  <c r="N312" i="18" a="1"/>
  <c r="N312" i="18" s="1"/>
  <c r="N313" i="18" a="1"/>
  <c r="N313" i="18" s="1"/>
  <c r="N314" i="18" a="1"/>
  <c r="N314" i="18" s="1"/>
  <c r="N315" i="18" a="1"/>
  <c r="N315" i="18" s="1"/>
  <c r="N316" i="18" a="1"/>
  <c r="N316" i="18" s="1"/>
  <c r="N317" i="18" a="1"/>
  <c r="N317" i="18" s="1"/>
  <c r="N318" i="18" a="1"/>
  <c r="N318" i="18" s="1"/>
  <c r="N319" i="18" a="1"/>
  <c r="N319" i="18" s="1"/>
  <c r="N320" i="18" a="1"/>
  <c r="N320" i="18" s="1"/>
  <c r="N321" i="18" a="1"/>
  <c r="N321" i="18" s="1"/>
  <c r="N322" i="18" a="1"/>
  <c r="N322" i="18" s="1"/>
  <c r="N323" i="18" a="1"/>
  <c r="N323" i="18" s="1"/>
  <c r="N324" i="18" a="1"/>
  <c r="N324" i="18" s="1"/>
  <c r="N325" i="18" a="1"/>
  <c r="N325" i="18" s="1"/>
  <c r="N326" i="18" a="1"/>
  <c r="N326" i="18" s="1"/>
  <c r="N327" i="18" a="1"/>
  <c r="N327" i="18" s="1"/>
  <c r="N328" i="18" a="1"/>
  <c r="N328" i="18" s="1"/>
  <c r="N329" i="18" a="1"/>
  <c r="N329" i="18" s="1"/>
  <c r="N330" i="18" a="1"/>
  <c r="N330" i="18" s="1"/>
  <c r="N331" i="18" a="1"/>
  <c r="N331" i="18" s="1"/>
  <c r="N332" i="18" a="1"/>
  <c r="N332" i="18" s="1"/>
  <c r="N333" i="18" a="1"/>
  <c r="N333" i="18" s="1"/>
  <c r="N334" i="18" a="1"/>
  <c r="N334" i="18" s="1"/>
  <c r="N335" i="18" a="1"/>
  <c r="N335" i="18" s="1"/>
  <c r="N336" i="18" a="1"/>
  <c r="N336" i="18" s="1"/>
  <c r="N337" i="18" a="1"/>
  <c r="N337" i="18" s="1"/>
  <c r="N338" i="18" a="1"/>
  <c r="N338" i="18" s="1"/>
  <c r="N339" i="18" a="1"/>
  <c r="N339" i="18" s="1"/>
  <c r="N340" i="18" a="1"/>
  <c r="N340" i="18" s="1"/>
  <c r="N341" i="18" a="1"/>
  <c r="N341" i="18" s="1"/>
  <c r="N342" i="18" a="1"/>
  <c r="N342" i="18" s="1"/>
  <c r="N343" i="18" a="1"/>
  <c r="N343" i="18" s="1"/>
  <c r="N344" i="18" a="1"/>
  <c r="N344" i="18" s="1"/>
  <c r="N345" i="18" a="1"/>
  <c r="N345" i="18" s="1"/>
  <c r="N346" i="18" a="1"/>
  <c r="N346" i="18" s="1"/>
  <c r="N347" i="18" a="1"/>
  <c r="N347" i="18" s="1"/>
  <c r="N348" i="18" a="1"/>
  <c r="N348" i="18" s="1"/>
  <c r="N349" i="18" a="1"/>
  <c r="N349" i="18"/>
  <c r="N350" i="18" a="1"/>
  <c r="N350" i="18"/>
  <c r="N351" i="18" a="1"/>
  <c r="N351" i="18" s="1"/>
  <c r="N352" i="18" a="1"/>
  <c r="N352" i="18" s="1"/>
  <c r="N353" i="18" a="1"/>
  <c r="N353" i="18" s="1"/>
  <c r="N354" i="18" a="1"/>
  <c r="N354" i="18"/>
  <c r="N355" i="18" a="1"/>
  <c r="N355" i="18" s="1"/>
  <c r="N356" i="18" a="1"/>
  <c r="N356" i="18" s="1"/>
  <c r="N357" i="18" a="1"/>
  <c r="N357" i="18" s="1"/>
  <c r="N358" i="18" a="1"/>
  <c r="N358" i="18"/>
  <c r="N359" i="18" a="1"/>
  <c r="N359" i="18" s="1"/>
  <c r="N360" i="18" a="1"/>
  <c r="N360" i="18" s="1"/>
  <c r="N361" i="18" a="1"/>
  <c r="N361" i="18" s="1"/>
  <c r="N362" i="18" a="1"/>
  <c r="N362" i="18"/>
  <c r="N363" i="18" a="1"/>
  <c r="N363" i="18" s="1"/>
  <c r="N364" i="18" a="1"/>
  <c r="N364" i="18" s="1"/>
  <c r="N365" i="18" a="1"/>
  <c r="N365" i="18" s="1"/>
  <c r="N366" i="18" a="1"/>
  <c r="N366" i="18"/>
  <c r="N367" i="18" a="1"/>
  <c r="N367" i="18" s="1"/>
  <c r="N368" i="18" a="1"/>
  <c r="N368" i="18" s="1"/>
  <c r="N369" i="18" a="1"/>
  <c r="N369" i="18" s="1"/>
  <c r="N370" i="18" a="1"/>
  <c r="N370" i="18"/>
  <c r="N371" i="18" a="1"/>
  <c r="N371" i="18" s="1"/>
  <c r="N372" i="18" a="1"/>
  <c r="N372" i="18" s="1"/>
  <c r="N373" i="18" a="1"/>
  <c r="N373" i="18" s="1"/>
  <c r="N374" i="18" a="1"/>
  <c r="N374" i="18"/>
  <c r="N375" i="18" a="1"/>
  <c r="N375" i="18" s="1"/>
  <c r="N376" i="18" a="1"/>
  <c r="N376" i="18" s="1"/>
  <c r="N377" i="18" a="1"/>
  <c r="N377" i="18" s="1"/>
  <c r="N378" i="18" a="1"/>
  <c r="N378" i="18"/>
  <c r="N379" i="18" a="1"/>
  <c r="N379" i="18" s="1"/>
  <c r="N380" i="18" a="1"/>
  <c r="N380" i="18" s="1"/>
  <c r="N381" i="18" a="1"/>
  <c r="N381" i="18" s="1"/>
  <c r="N382" i="18" a="1"/>
  <c r="N382" i="18"/>
  <c r="N383" i="18" a="1"/>
  <c r="N383" i="18" s="1"/>
  <c r="N384" i="18" a="1"/>
  <c r="N384" i="18" s="1"/>
  <c r="N385" i="18" a="1"/>
  <c r="N385" i="18" s="1"/>
  <c r="N386" i="18" a="1"/>
  <c r="N386" i="18"/>
  <c r="N387" i="18" a="1"/>
  <c r="N387" i="18" s="1"/>
  <c r="N388" i="18" a="1"/>
  <c r="N388" i="18" s="1"/>
  <c r="N389" i="18" a="1"/>
  <c r="N389" i="18" s="1"/>
  <c r="N390" i="18" a="1"/>
  <c r="N390" i="18"/>
  <c r="N391" i="18" a="1"/>
  <c r="N391" i="18" s="1"/>
  <c r="N392" i="18" a="1"/>
  <c r="N392" i="18" s="1"/>
  <c r="N393" i="18" a="1"/>
  <c r="N393" i="18" s="1"/>
  <c r="N394" i="18" a="1"/>
  <c r="N394" i="18"/>
  <c r="N395" i="18" a="1"/>
  <c r="N395" i="18" s="1"/>
  <c r="N396" i="18" a="1"/>
  <c r="N396" i="18" s="1"/>
  <c r="N397" i="18" a="1"/>
  <c r="N397" i="18" s="1"/>
  <c r="N398" i="18" a="1"/>
  <c r="N398" i="18"/>
  <c r="N399" i="18" a="1"/>
  <c r="N399" i="18" s="1"/>
  <c r="N400" i="18" a="1"/>
  <c r="N400" i="18" s="1"/>
  <c r="N401" i="18" a="1"/>
  <c r="N401" i="18" s="1"/>
  <c r="N402" i="18" a="1"/>
  <c r="N402" i="18"/>
  <c r="N403" i="18" a="1"/>
  <c r="N403" i="18" s="1"/>
  <c r="N404" i="18" a="1"/>
  <c r="N404" i="18" s="1"/>
  <c r="N405" i="18" a="1"/>
  <c r="N405" i="18" s="1"/>
  <c r="N406" i="18" a="1"/>
  <c r="N406" i="18"/>
  <c r="N407" i="18" a="1"/>
  <c r="N407" i="18" s="1"/>
  <c r="N408" i="18" a="1"/>
  <c r="N408" i="18" s="1"/>
  <c r="N409" i="18" a="1"/>
  <c r="N409" i="18" s="1"/>
  <c r="N410" i="18" a="1"/>
  <c r="N410" i="18"/>
  <c r="N411" i="18" a="1"/>
  <c r="N411" i="18" s="1"/>
  <c r="N412" i="18" a="1"/>
  <c r="N412" i="18" s="1"/>
  <c r="N413" i="18" a="1"/>
  <c r="N413" i="18" s="1"/>
  <c r="N414" i="18" a="1"/>
  <c r="N414" i="18"/>
  <c r="N415" i="18" a="1"/>
  <c r="N415" i="18" s="1"/>
  <c r="N416" i="18" a="1"/>
  <c r="N416" i="18" s="1"/>
  <c r="N417" i="18" a="1"/>
  <c r="N417" i="18" s="1"/>
  <c r="N418" i="18" a="1"/>
  <c r="N418" i="18"/>
  <c r="N419" i="18" a="1"/>
  <c r="N419" i="18" s="1"/>
  <c r="N420" i="18" a="1"/>
  <c r="N420" i="18" s="1"/>
  <c r="N421" i="18" a="1"/>
  <c r="N421" i="18" s="1"/>
  <c r="N422" i="18" a="1"/>
  <c r="N422" i="18"/>
  <c r="N423" i="18" a="1"/>
  <c r="N423" i="18" s="1"/>
  <c r="N424" i="18" a="1"/>
  <c r="N424" i="18" s="1"/>
  <c r="N425" i="18" a="1"/>
  <c r="N425" i="18" s="1"/>
  <c r="N426" i="18" a="1"/>
  <c r="N426" i="18"/>
  <c r="N427" i="18" a="1"/>
  <c r="N427" i="18" s="1"/>
  <c r="N428" i="18" a="1"/>
  <c r="N428" i="18" s="1"/>
  <c r="N429" i="18" a="1"/>
  <c r="N429" i="18" s="1"/>
  <c r="N430" i="18" a="1"/>
  <c r="N430" i="18"/>
  <c r="N431" i="18" a="1"/>
  <c r="N431" i="18" s="1"/>
  <c r="N432" i="18" a="1"/>
  <c r="N432" i="18" s="1"/>
  <c r="N433" i="18" a="1"/>
  <c r="N433" i="18" s="1"/>
  <c r="N434" i="18" a="1"/>
  <c r="N434" i="18"/>
  <c r="N435" i="18" a="1"/>
  <c r="N435" i="18" s="1"/>
  <c r="N436" i="18" a="1"/>
  <c r="N436" i="18" s="1"/>
  <c r="N437" i="18" a="1"/>
  <c r="N437" i="18" s="1"/>
  <c r="N438" i="18" a="1"/>
  <c r="N438" i="18"/>
  <c r="N439" i="18" a="1"/>
  <c r="N439" i="18" s="1"/>
  <c r="N440" i="18" a="1"/>
  <c r="N440" i="18" s="1"/>
  <c r="N441" i="18" a="1"/>
  <c r="N441" i="18" s="1"/>
  <c r="N442" i="18" a="1"/>
  <c r="N442" i="18"/>
  <c r="N443" i="18" a="1"/>
  <c r="N443" i="18" s="1"/>
  <c r="N444" i="18" a="1"/>
  <c r="N444" i="18" s="1"/>
  <c r="N445" i="18" a="1"/>
  <c r="N445" i="18" s="1"/>
  <c r="N446" i="18" a="1"/>
  <c r="N446" i="18"/>
  <c r="N447" i="18" a="1"/>
  <c r="N447" i="18" s="1"/>
  <c r="N448" i="18" a="1"/>
  <c r="N448" i="18" s="1"/>
  <c r="N449" i="18" a="1"/>
  <c r="N449" i="18" s="1"/>
  <c r="N450" i="18" a="1"/>
  <c r="N450" i="18"/>
  <c r="N451" i="18" a="1"/>
  <c r="N451" i="18" s="1"/>
  <c r="N452" i="18" a="1"/>
  <c r="N452" i="18" s="1"/>
  <c r="N453" i="18" a="1"/>
  <c r="N453" i="18" s="1"/>
  <c r="N454" i="18" a="1"/>
  <c r="N454" i="18"/>
  <c r="N455" i="18" a="1"/>
  <c r="N455" i="18" s="1"/>
  <c r="N456" i="18" a="1"/>
  <c r="N456" i="18" s="1"/>
  <c r="N457" i="18" a="1"/>
  <c r="N457" i="18" s="1"/>
  <c r="N458" i="18" a="1"/>
  <c r="N458" i="18"/>
  <c r="N459" i="18" a="1"/>
  <c r="N459" i="18" s="1"/>
  <c r="N460" i="18" a="1"/>
  <c r="N460" i="18" s="1"/>
  <c r="N461" i="18" a="1"/>
  <c r="N461" i="18" s="1"/>
  <c r="N462" i="18" a="1"/>
  <c r="N462" i="18"/>
  <c r="N463" i="18" a="1"/>
  <c r="N463" i="18" s="1"/>
  <c r="N464" i="18" a="1"/>
  <c r="N464" i="18" s="1"/>
  <c r="N465" i="18" a="1"/>
  <c r="N465" i="18" s="1"/>
  <c r="N466" i="18" a="1"/>
  <c r="N466" i="18"/>
  <c r="N467" i="18" a="1"/>
  <c r="N467" i="18" s="1"/>
  <c r="N468" i="18" a="1"/>
  <c r="N468" i="18" s="1"/>
  <c r="N469" i="18" a="1"/>
  <c r="N469" i="18" s="1"/>
  <c r="N470" i="18" a="1"/>
  <c r="N470" i="18"/>
  <c r="N471" i="18" a="1"/>
  <c r="N471" i="18" s="1"/>
  <c r="N472" i="18" a="1"/>
  <c r="N472" i="18" s="1"/>
  <c r="N473" i="18" a="1"/>
  <c r="N473" i="18" s="1"/>
  <c r="N474" i="18" a="1"/>
  <c r="N474" i="18"/>
  <c r="N475" i="18" a="1"/>
  <c r="N475" i="18" s="1"/>
  <c r="N476" i="18" a="1"/>
  <c r="N476" i="18" s="1"/>
  <c r="N477" i="18" a="1"/>
  <c r="N477" i="18" s="1"/>
  <c r="N478" i="18" a="1"/>
  <c r="N478" i="18"/>
  <c r="N479" i="18" a="1"/>
  <c r="N479" i="18" s="1"/>
  <c r="N480" i="18" a="1"/>
  <c r="N480" i="18" s="1"/>
  <c r="N481" i="18" a="1"/>
  <c r="N481" i="18" s="1"/>
  <c r="N482" i="18" a="1"/>
  <c r="N482" i="18"/>
  <c r="N483" i="18" a="1"/>
  <c r="N483" i="18" s="1"/>
  <c r="N484" i="18" a="1"/>
  <c r="N484" i="18" s="1"/>
  <c r="N485" i="18" a="1"/>
  <c r="N485" i="18"/>
  <c r="N486" i="18" a="1"/>
  <c r="N486" i="18"/>
  <c r="N487" i="18" a="1"/>
  <c r="N487" i="18" s="1"/>
  <c r="N488" i="18" a="1"/>
  <c r="N488" i="18" s="1"/>
  <c r="N489" i="18" a="1"/>
  <c r="N489" i="18" s="1"/>
  <c r="N490" i="18" a="1"/>
  <c r="N490" i="18" s="1"/>
  <c r="N491" i="18" a="1"/>
  <c r="N491" i="18"/>
  <c r="N492" i="18" a="1"/>
  <c r="N492" i="18" s="1"/>
  <c r="N493" i="18" a="1"/>
  <c r="N493" i="18" s="1"/>
  <c r="N494" i="18" a="1"/>
  <c r="N494" i="18" s="1"/>
  <c r="N495" i="18" a="1"/>
  <c r="N495" i="18" s="1"/>
  <c r="N496" i="18" a="1"/>
  <c r="N496" i="18" s="1"/>
  <c r="N497" i="18" a="1"/>
  <c r="N497" i="18" s="1"/>
  <c r="N498" i="18" a="1"/>
  <c r="N498" i="18" s="1"/>
  <c r="N499" i="18" a="1"/>
  <c r="N499" i="18" s="1"/>
  <c r="N500" i="18" a="1"/>
  <c r="N500" i="18" s="1"/>
  <c r="N501" i="18" a="1"/>
  <c r="N501" i="18" s="1"/>
  <c r="N502" i="18" a="1"/>
  <c r="N502" i="18"/>
  <c r="N503" i="18" a="1"/>
  <c r="N503" i="18" s="1"/>
  <c r="N504" i="18" a="1"/>
  <c r="N504" i="18" s="1"/>
  <c r="N505" i="18" a="1"/>
  <c r="N505" i="18" s="1"/>
  <c r="N506" i="18" a="1"/>
  <c r="N506" i="18" s="1"/>
  <c r="N507" i="18" a="1"/>
  <c r="N507" i="18"/>
  <c r="N508" i="18" a="1"/>
  <c r="N508" i="18" s="1"/>
  <c r="N509" i="18" a="1"/>
  <c r="N509" i="18" s="1"/>
  <c r="N510" i="18" a="1"/>
  <c r="N510" i="18" s="1"/>
  <c r="N511" i="18" a="1"/>
  <c r="N511" i="18" s="1"/>
  <c r="N512" i="18" a="1"/>
  <c r="N512" i="18" s="1"/>
  <c r="N513" i="18" a="1"/>
  <c r="N513" i="18" s="1"/>
  <c r="N514" i="18" a="1"/>
  <c r="N514" i="18" s="1"/>
  <c r="N515" i="18" a="1"/>
  <c r="N515" i="18" s="1"/>
  <c r="N516" i="18" a="1"/>
  <c r="N516" i="18" s="1"/>
  <c r="N517" i="18" a="1"/>
  <c r="N517" i="18" s="1"/>
  <c r="N518" i="18" a="1"/>
  <c r="N518" i="18"/>
  <c r="N519" i="18" a="1"/>
  <c r="N519" i="18" s="1"/>
  <c r="N520" i="18" a="1"/>
  <c r="N520" i="18" s="1"/>
  <c r="N521" i="18" a="1"/>
  <c r="N521" i="18" s="1"/>
  <c r="N522" i="18" a="1"/>
  <c r="N522" i="18" s="1"/>
  <c r="N523" i="18" a="1"/>
  <c r="N523" i="18"/>
  <c r="N524" i="18" a="1"/>
  <c r="N524" i="18" s="1"/>
  <c r="N525" i="18" a="1"/>
  <c r="N525" i="18" s="1"/>
  <c r="N526" i="18" a="1"/>
  <c r="N526" i="18" s="1"/>
  <c r="N527" i="18" a="1"/>
  <c r="N527" i="18" s="1"/>
  <c r="N528" i="18" a="1"/>
  <c r="N528" i="18" s="1"/>
  <c r="N529" i="18" a="1"/>
  <c r="N529" i="18" s="1"/>
  <c r="N530" i="18" a="1"/>
  <c r="N530" i="18" s="1"/>
  <c r="N531" i="18" a="1"/>
  <c r="N531" i="18" s="1"/>
  <c r="N532" i="18" a="1"/>
  <c r="N532" i="18" s="1"/>
  <c r="N533" i="18" a="1"/>
  <c r="N533" i="18" s="1"/>
  <c r="N534" i="18" a="1"/>
  <c r="N534" i="18"/>
  <c r="N535" i="18" a="1"/>
  <c r="N535" i="18" s="1"/>
  <c r="N536" i="18" a="1"/>
  <c r="N536" i="18" s="1"/>
  <c r="N537" i="18" a="1"/>
  <c r="N537" i="18" s="1"/>
  <c r="N538" i="18" a="1"/>
  <c r="N538" i="18" s="1"/>
  <c r="N539" i="18" a="1"/>
  <c r="N539" i="18" s="1"/>
  <c r="N540" i="18" a="1"/>
  <c r="N540" i="18" s="1"/>
  <c r="N541" i="18" a="1"/>
  <c r="N541" i="18" s="1"/>
  <c r="N542" i="18" a="1"/>
  <c r="N542" i="18" s="1"/>
  <c r="N543" i="18" a="1"/>
  <c r="N543" i="18" s="1"/>
  <c r="N544" i="18" a="1"/>
  <c r="N544" i="18" s="1"/>
  <c r="N545" i="18" a="1"/>
  <c r="N545" i="18" s="1"/>
  <c r="N546" i="18" a="1"/>
  <c r="N546" i="18" s="1"/>
  <c r="N547" i="18" a="1"/>
  <c r="N547" i="18" s="1"/>
  <c r="N548" i="18" a="1"/>
  <c r="N548" i="18" s="1"/>
  <c r="N549" i="18" a="1"/>
  <c r="N549" i="18" s="1"/>
  <c r="N550" i="18" a="1"/>
  <c r="N550" i="18"/>
  <c r="N551" i="18" a="1"/>
  <c r="N551" i="18" s="1"/>
  <c r="N552" i="18" a="1"/>
  <c r="N552" i="18" s="1"/>
  <c r="N553" i="18" a="1"/>
  <c r="N553" i="18" s="1"/>
  <c r="N554" i="18" a="1"/>
  <c r="N554" i="18" s="1"/>
  <c r="N555" i="18" a="1"/>
  <c r="N555" i="18"/>
  <c r="N556" i="18" a="1"/>
  <c r="N556" i="18" s="1"/>
  <c r="N557" i="18" a="1"/>
  <c r="N557" i="18" s="1"/>
  <c r="N558" i="18" a="1"/>
  <c r="N558" i="18" s="1"/>
  <c r="N559" i="18" a="1"/>
  <c r="N559" i="18" s="1"/>
  <c r="N560" i="18" a="1"/>
  <c r="N560" i="18" s="1"/>
  <c r="N561" i="18" a="1"/>
  <c r="N561" i="18" s="1"/>
  <c r="N562" i="18" a="1"/>
  <c r="N562" i="18" s="1"/>
  <c r="N563" i="18" a="1"/>
  <c r="N563" i="18" s="1"/>
  <c r="N564" i="18" a="1"/>
  <c r="N564" i="18" s="1"/>
  <c r="N565" i="18" a="1"/>
  <c r="N565" i="18" s="1"/>
  <c r="N566" i="18" a="1"/>
  <c r="N566" i="18"/>
  <c r="N567" i="18" a="1"/>
  <c r="N567" i="18" s="1"/>
  <c r="N568" i="18" a="1"/>
  <c r="N568" i="18" s="1"/>
  <c r="N569" i="18" a="1"/>
  <c r="N569" i="18" s="1"/>
  <c r="N570" i="18" a="1"/>
  <c r="N570" i="18" s="1"/>
  <c r="N571" i="18" a="1"/>
  <c r="N571" i="18"/>
  <c r="N572" i="18" a="1"/>
  <c r="N572" i="18" s="1"/>
  <c r="N573" i="18" a="1"/>
  <c r="N573" i="18" s="1"/>
  <c r="N574" i="18" a="1"/>
  <c r="N574" i="18" s="1"/>
  <c r="N575" i="18" a="1"/>
  <c r="N575" i="18" s="1"/>
  <c r="N576" i="18" a="1"/>
  <c r="N576" i="18" s="1"/>
  <c r="N577" i="18" a="1"/>
  <c r="N577" i="18" s="1"/>
  <c r="N578" i="18" a="1"/>
  <c r="N578" i="18" s="1"/>
  <c r="N579" i="18" a="1"/>
  <c r="N579" i="18" s="1"/>
  <c r="N580" i="18" a="1"/>
  <c r="N580" i="18" s="1"/>
  <c r="N581" i="18" a="1"/>
  <c r="N581" i="18" s="1"/>
  <c r="N582" i="18" a="1"/>
  <c r="N582" i="18"/>
  <c r="N583" i="18" a="1"/>
  <c r="N583" i="18" s="1"/>
  <c r="N584" i="18" a="1"/>
  <c r="N584" i="18" s="1"/>
  <c r="N585" i="18" a="1"/>
  <c r="N585" i="18" s="1"/>
  <c r="N586" i="18" a="1"/>
  <c r="N586" i="18" s="1"/>
  <c r="N587" i="18" a="1"/>
  <c r="N587" i="18"/>
  <c r="N588" i="18" a="1"/>
  <c r="N588" i="18" s="1"/>
  <c r="N589" i="18" a="1"/>
  <c r="N589" i="18" s="1"/>
  <c r="N590" i="18" a="1"/>
  <c r="N590" i="18" s="1"/>
  <c r="N591" i="18" a="1"/>
  <c r="N591" i="18" s="1"/>
  <c r="N592" i="18" a="1"/>
  <c r="N592" i="18" s="1"/>
  <c r="N593" i="18" a="1"/>
  <c r="N593" i="18" s="1"/>
  <c r="N594" i="18" a="1"/>
  <c r="N594" i="18" s="1"/>
  <c r="N595" i="18" a="1"/>
  <c r="N595" i="18" s="1"/>
  <c r="N596" i="18" a="1"/>
  <c r="N596" i="18" s="1"/>
  <c r="N597" i="18" a="1"/>
  <c r="N597" i="18" s="1"/>
  <c r="N598" i="18" a="1"/>
  <c r="N598" i="18"/>
  <c r="N599" i="18" a="1"/>
  <c r="N599" i="18" s="1"/>
  <c r="N600" i="18" a="1"/>
  <c r="N600" i="18" s="1"/>
  <c r="N601" i="18" a="1"/>
  <c r="N601" i="18" s="1"/>
  <c r="N602" i="18" a="1"/>
  <c r="N602" i="18" s="1"/>
  <c r="N603" i="18" a="1"/>
  <c r="N603" i="18"/>
  <c r="N604" i="18" a="1"/>
  <c r="N604" i="18" s="1"/>
  <c r="N605" i="18" a="1"/>
  <c r="N605" i="18" s="1"/>
  <c r="N606" i="18" a="1"/>
  <c r="N606" i="18" s="1"/>
  <c r="N607" i="18" a="1"/>
  <c r="N607" i="18" s="1"/>
  <c r="N608" i="18" a="1"/>
  <c r="N608" i="18" s="1"/>
  <c r="N609" i="18" a="1"/>
  <c r="N609" i="18" s="1"/>
  <c r="N610" i="18" a="1"/>
  <c r="N610" i="18" s="1"/>
  <c r="N611" i="18" a="1"/>
  <c r="N611" i="18" s="1"/>
  <c r="N612" i="18" a="1"/>
  <c r="N612" i="18" s="1"/>
  <c r="N613" i="18" a="1"/>
  <c r="N613" i="18" s="1"/>
  <c r="N614" i="18" a="1"/>
  <c r="N614" i="18"/>
  <c r="N615" i="18" a="1"/>
  <c r="N615" i="18" s="1"/>
  <c r="N616" i="18" a="1"/>
  <c r="N616" i="18" s="1"/>
  <c r="N617" i="18" a="1"/>
  <c r="N617" i="18" s="1"/>
  <c r="N618" i="18" a="1"/>
  <c r="N618" i="18" s="1"/>
  <c r="N619" i="18" a="1"/>
  <c r="N619" i="18" s="1"/>
  <c r="N620" i="18" a="1"/>
  <c r="N620" i="18" s="1"/>
  <c r="N621" i="18" a="1"/>
  <c r="N621" i="18" s="1"/>
  <c r="N622" i="18" a="1"/>
  <c r="N622" i="18" s="1"/>
  <c r="N623" i="18" a="1"/>
  <c r="N623" i="18" s="1"/>
  <c r="N624" i="18" a="1"/>
  <c r="N624" i="18" s="1"/>
  <c r="N625" i="18" a="1"/>
  <c r="N625" i="18" s="1"/>
  <c r="N626" i="18" a="1"/>
  <c r="N626" i="18" s="1"/>
  <c r="N627" i="18" a="1"/>
  <c r="N627" i="18" s="1"/>
  <c r="N628" i="18" a="1"/>
  <c r="N628" i="18" s="1"/>
  <c r="N629" i="18" a="1"/>
  <c r="N629" i="18" s="1"/>
  <c r="N630" i="18" a="1"/>
  <c r="N630" i="18" s="1"/>
  <c r="N631" i="18" a="1"/>
  <c r="N631" i="18" s="1"/>
  <c r="N632" i="18" a="1"/>
  <c r="N632" i="18" s="1"/>
  <c r="N633" i="18" a="1"/>
  <c r="N633" i="18" s="1"/>
  <c r="N634" i="18" a="1"/>
  <c r="N634" i="18" s="1"/>
  <c r="N635" i="18" a="1"/>
  <c r="N635" i="18" s="1"/>
  <c r="N636" i="18" a="1"/>
  <c r="N636" i="18" s="1"/>
  <c r="N637" i="18" a="1"/>
  <c r="N637" i="18" s="1"/>
  <c r="N638" i="18" a="1"/>
  <c r="N638" i="18" s="1"/>
  <c r="N639" i="18" a="1"/>
  <c r="N639" i="18" s="1"/>
  <c r="N640" i="18" a="1"/>
  <c r="N640" i="18" s="1"/>
  <c r="N641" i="18" a="1"/>
  <c r="N641" i="18" s="1"/>
  <c r="N642" i="18" a="1"/>
  <c r="N642" i="18" s="1"/>
  <c r="N643" i="18" a="1"/>
  <c r="N643" i="18" s="1"/>
  <c r="N644" i="18" a="1"/>
  <c r="N644" i="18" s="1"/>
  <c r="N645" i="18" a="1"/>
  <c r="N645" i="18" s="1"/>
  <c r="N646" i="18" a="1"/>
  <c r="N646" i="18" s="1"/>
  <c r="N647" i="18" a="1"/>
  <c r="N647" i="18" s="1"/>
  <c r="N648" i="18" a="1"/>
  <c r="N648" i="18" s="1"/>
  <c r="N649" i="18" a="1"/>
  <c r="N649" i="18" s="1"/>
  <c r="N650" i="18" a="1"/>
  <c r="N650" i="18" s="1"/>
  <c r="N651" i="18" a="1"/>
  <c r="N651" i="18" s="1"/>
  <c r="N652" i="18" a="1"/>
  <c r="N652" i="18" s="1"/>
  <c r="N653" i="18" a="1"/>
  <c r="N653" i="18" s="1"/>
  <c r="N654" i="18" a="1"/>
  <c r="N654" i="18" s="1"/>
  <c r="N655" i="18" a="1"/>
  <c r="N655" i="18" s="1"/>
  <c r="N656" i="18" a="1"/>
  <c r="N656" i="18" s="1"/>
  <c r="N657" i="18" a="1"/>
  <c r="N657" i="18" s="1"/>
  <c r="N658" i="18" a="1"/>
  <c r="N658" i="18" s="1"/>
  <c r="N659" i="18" a="1"/>
  <c r="N659" i="18" s="1"/>
  <c r="N660" i="18" a="1"/>
  <c r="N660" i="18" s="1"/>
  <c r="N661" i="18" a="1"/>
  <c r="N661" i="18" s="1"/>
  <c r="N662" i="18" a="1"/>
  <c r="N662" i="18" s="1"/>
  <c r="N663" i="18" a="1"/>
  <c r="N663" i="18" s="1"/>
  <c r="N664" i="18" a="1"/>
  <c r="N664" i="18" s="1"/>
  <c r="N665" i="18" a="1"/>
  <c r="N665" i="18" s="1"/>
  <c r="N666" i="18" a="1"/>
  <c r="N666" i="18" s="1"/>
  <c r="N667" i="18" a="1"/>
  <c r="N667" i="18" s="1"/>
  <c r="N668" i="18" a="1"/>
  <c r="N668" i="18" s="1"/>
  <c r="N669" i="18" a="1"/>
  <c r="N669" i="18" s="1"/>
  <c r="N670" i="18" a="1"/>
  <c r="N670" i="18" s="1"/>
  <c r="N671" i="18" a="1"/>
  <c r="N671" i="18" s="1"/>
  <c r="N672" i="18" a="1"/>
  <c r="N672" i="18" s="1"/>
  <c r="N673" i="18" a="1"/>
  <c r="N673" i="18" s="1"/>
  <c r="N674" i="18" a="1"/>
  <c r="N674" i="18" s="1"/>
  <c r="N675" i="18" a="1"/>
  <c r="N675" i="18" s="1"/>
  <c r="N676" i="18" a="1"/>
  <c r="N676" i="18" s="1"/>
  <c r="N677" i="18" a="1"/>
  <c r="N677" i="18" s="1"/>
  <c r="N678" i="18" a="1"/>
  <c r="N678" i="18" s="1"/>
  <c r="N679" i="18" a="1"/>
  <c r="N679" i="18" s="1"/>
  <c r="N680" i="18" a="1"/>
  <c r="N680" i="18" s="1"/>
  <c r="N681" i="18" a="1"/>
  <c r="N681" i="18" s="1"/>
  <c r="N682" i="18" a="1"/>
  <c r="N682" i="18" s="1"/>
  <c r="N683" i="18" a="1"/>
  <c r="N683" i="18" s="1"/>
  <c r="N684" i="18" a="1"/>
  <c r="N684" i="18" s="1"/>
  <c r="N685" i="18" a="1"/>
  <c r="N685" i="18" s="1"/>
  <c r="N686" i="18" a="1"/>
  <c r="N686" i="18" s="1"/>
  <c r="N687" i="18" a="1"/>
  <c r="N687" i="18" s="1"/>
  <c r="N688" i="18" a="1"/>
  <c r="N688" i="18" s="1"/>
  <c r="N689" i="18" a="1"/>
  <c r="N689" i="18" s="1"/>
  <c r="N690" i="18" a="1"/>
  <c r="N690" i="18" s="1"/>
  <c r="N691" i="18" a="1"/>
  <c r="N691" i="18" s="1"/>
  <c r="N692" i="18" a="1"/>
  <c r="N692" i="18" s="1"/>
  <c r="N693" i="18" a="1"/>
  <c r="N693" i="18" s="1"/>
  <c r="N694" i="18" a="1"/>
  <c r="N694" i="18" s="1"/>
  <c r="N695" i="18" a="1"/>
  <c r="N695" i="18" s="1"/>
  <c r="N696" i="18" a="1"/>
  <c r="N696" i="18" s="1"/>
  <c r="N697" i="18" a="1"/>
  <c r="N697" i="18" s="1"/>
  <c r="N698" i="18" a="1"/>
  <c r="N698" i="18" s="1"/>
  <c r="N699" i="18" a="1"/>
  <c r="N699" i="18" s="1"/>
  <c r="N700" i="18" a="1"/>
  <c r="N700" i="18" s="1"/>
  <c r="N701" i="18" a="1"/>
  <c r="N701" i="18" s="1"/>
  <c r="N702" i="18" a="1"/>
  <c r="N702" i="18" s="1"/>
  <c r="N703" i="18" a="1"/>
  <c r="N703" i="18" s="1"/>
  <c r="N704" i="18" a="1"/>
  <c r="N704" i="18" s="1"/>
  <c r="N705" i="18" a="1"/>
  <c r="N705" i="18" s="1"/>
  <c r="N706" i="18" a="1"/>
  <c r="N706" i="18" s="1"/>
  <c r="N707" i="18" a="1"/>
  <c r="N707" i="18" s="1"/>
  <c r="N708" i="18" a="1"/>
  <c r="N708" i="18" s="1"/>
  <c r="N709" i="18" a="1"/>
  <c r="N709" i="18" s="1"/>
  <c r="N710" i="18" a="1"/>
  <c r="N710" i="18" s="1"/>
  <c r="N711" i="18" a="1"/>
  <c r="N711" i="18" s="1"/>
  <c r="N712" i="18" a="1"/>
  <c r="N712" i="18" s="1"/>
  <c r="N713" i="18" a="1"/>
  <c r="N713" i="18" s="1"/>
  <c r="N714" i="18" a="1"/>
  <c r="N714" i="18" s="1"/>
  <c r="N715" i="18" a="1"/>
  <c r="N715" i="18" s="1"/>
  <c r="N716" i="18" a="1"/>
  <c r="N716" i="18" s="1"/>
  <c r="N717" i="18" a="1"/>
  <c r="N717" i="18" s="1"/>
  <c r="N718" i="18" a="1"/>
  <c r="N718" i="18" s="1"/>
  <c r="N719" i="18" a="1"/>
  <c r="N719" i="18" s="1"/>
  <c r="N720" i="18" a="1"/>
  <c r="N720" i="18" s="1"/>
  <c r="N721" i="18" a="1"/>
  <c r="N721" i="18" s="1"/>
  <c r="Q2" i="18" a="1"/>
  <c r="Q2" i="18"/>
  <c r="Q3" i="18" a="1"/>
  <c r="Q3" i="18"/>
  <c r="Q4" i="18" a="1"/>
  <c r="Q4" i="18" s="1"/>
  <c r="Q5" i="18" a="1"/>
  <c r="Q5" i="18"/>
  <c r="Q6" i="18" a="1"/>
  <c r="Q6" i="18"/>
  <c r="Q7" i="18" a="1"/>
  <c r="Q7" i="18" s="1"/>
  <c r="Q8" i="18" a="1"/>
  <c r="Q8" i="18" s="1"/>
  <c r="Q9" i="18" a="1"/>
  <c r="Q9" i="18" s="1"/>
  <c r="Q10" i="18" a="1"/>
  <c r="Q10" i="18" s="1"/>
  <c r="Q11" i="18" a="1"/>
  <c r="Q11" i="18" s="1"/>
  <c r="Q12" i="18" a="1"/>
  <c r="Q12" i="18" s="1"/>
  <c r="Q13" i="18" a="1"/>
  <c r="Q13" i="18"/>
  <c r="Q14" i="18" a="1"/>
  <c r="Q14" i="18" s="1"/>
  <c r="Q15" i="18" a="1"/>
  <c r="Q15" i="18" s="1"/>
  <c r="Q16" i="18" a="1"/>
  <c r="Q16" i="18" s="1"/>
  <c r="Q17" i="18" a="1"/>
  <c r="Q17" i="18"/>
  <c r="Q18" i="18" a="1"/>
  <c r="Q18" i="18" s="1"/>
  <c r="Q19" i="18" a="1"/>
  <c r="Q19" i="18"/>
  <c r="Q20" i="18" a="1"/>
  <c r="Q20" i="18" s="1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/>
  <c r="Q47" i="18" a="1"/>
  <c r="Q47" i="18" s="1"/>
  <c r="Q48" i="18" a="1"/>
  <c r="Q48" i="18" s="1"/>
  <c r="Q49" i="18" a="1"/>
  <c r="Q49" i="18" s="1"/>
  <c r="Q50" i="18" a="1"/>
  <c r="Q50" i="18" s="1"/>
  <c r="Q51" i="18" a="1"/>
  <c r="Q51" i="18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/>
  <c r="Q65" i="18" a="1"/>
  <c r="Q65" i="18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/>
  <c r="Q78" i="18" a="1"/>
  <c r="Q78" i="18" s="1"/>
  <c r="Q79" i="18" a="1"/>
  <c r="Q79" i="18"/>
  <c r="Q80" i="18" a="1"/>
  <c r="Q80" i="18"/>
  <c r="Q81" i="18" a="1"/>
  <c r="Q81" i="18"/>
  <c r="Q82" i="18" a="1"/>
  <c r="Q82" i="18" s="1"/>
  <c r="Q83" i="18" a="1"/>
  <c r="Q83" i="18" s="1"/>
  <c r="Q84" i="18" a="1"/>
  <c r="Q84" i="18"/>
  <c r="Q85" i="18" a="1"/>
  <c r="Q85" i="18" s="1"/>
  <c r="Q86" i="18" a="1"/>
  <c r="Q86" i="18" s="1"/>
  <c r="Q87" i="18" a="1"/>
  <c r="Q87" i="18"/>
  <c r="Q88" i="18" a="1"/>
  <c r="Q88" i="18"/>
  <c r="Q89" i="18" a="1"/>
  <c r="Q89" i="18" s="1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/>
  <c r="Q96" i="18" a="1"/>
  <c r="Q96" i="18"/>
  <c r="Q97" i="18" a="1"/>
  <c r="Q97" i="18" s="1"/>
  <c r="Q98" i="18" a="1"/>
  <c r="Q98" i="18" s="1"/>
  <c r="Q99" i="18" a="1"/>
  <c r="Q99" i="18" s="1"/>
  <c r="Q100" i="18" a="1"/>
  <c r="Q100" i="18"/>
  <c r="Q101" i="18" a="1"/>
  <c r="Q101" i="18" s="1"/>
  <c r="Q102" i="18" a="1"/>
  <c r="Q102" i="18" s="1"/>
  <c r="Q103" i="18" a="1"/>
  <c r="Q103" i="18" s="1"/>
  <c r="Q104" i="18" a="1"/>
  <c r="Q104" i="18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/>
  <c r="Q113" i="18" a="1"/>
  <c r="Q113" i="18" s="1"/>
  <c r="Q114" i="18" a="1"/>
  <c r="Q114" i="18" s="1"/>
  <c r="Q115" i="18" a="1"/>
  <c r="Q115" i="18" s="1"/>
  <c r="Q116" i="18" a="1"/>
  <c r="Q116" i="18"/>
  <c r="Q117" i="18" a="1"/>
  <c r="Q117" i="18" s="1"/>
  <c r="Q118" i="18" a="1"/>
  <c r="Q118" i="18" s="1"/>
  <c r="Q119" i="18" a="1"/>
  <c r="Q119" i="18" s="1"/>
  <c r="Q120" i="18" a="1"/>
  <c r="Q120" i="18"/>
  <c r="Q121" i="18" a="1"/>
  <c r="Q121" i="18"/>
  <c r="Q122" i="18" a="1"/>
  <c r="Q122" i="18" s="1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/>
  <c r="Q133" i="18" a="1"/>
  <c r="Q133" i="18" s="1"/>
  <c r="Q134" i="18" a="1"/>
  <c r="Q134" i="18" s="1"/>
  <c r="Q135" i="18" a="1"/>
  <c r="Q135" i="18" s="1"/>
  <c r="Q136" i="18" a="1"/>
  <c r="Q136" i="18"/>
  <c r="Q137" i="18" a="1"/>
  <c r="Q137" i="18"/>
  <c r="Q138" i="18" a="1"/>
  <c r="Q138" i="18" s="1"/>
  <c r="Q139" i="18" a="1"/>
  <c r="Q139" i="18" s="1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/>
  <c r="Q146" i="18" a="1"/>
  <c r="Q146" i="18" s="1"/>
  <c r="Q147" i="18" a="1"/>
  <c r="Q147" i="18" s="1"/>
  <c r="Q148" i="18" a="1"/>
  <c r="Q148" i="18" s="1"/>
  <c r="Q149" i="18" a="1"/>
  <c r="Q149" i="18" s="1"/>
  <c r="Q150" i="18" a="1"/>
  <c r="Q150" i="18" s="1"/>
  <c r="Q151" i="18" a="1"/>
  <c r="Q151" i="18" s="1"/>
  <c r="Q152" i="18" a="1"/>
  <c r="Q152" i="18" s="1"/>
  <c r="Q153" i="18" a="1"/>
  <c r="Q153" i="18" s="1"/>
  <c r="Q154" i="18" a="1"/>
  <c r="Q154" i="18" s="1"/>
  <c r="Q155" i="18" a="1"/>
  <c r="Q155" i="18" s="1"/>
  <c r="Q156" i="18" a="1"/>
  <c r="Q156" i="18" s="1"/>
  <c r="Q157" i="18" a="1"/>
  <c r="Q157" i="18" s="1"/>
  <c r="Q158" i="18" a="1"/>
  <c r="Q158" i="18" s="1"/>
  <c r="Q159" i="18" a="1"/>
  <c r="Q159" i="18"/>
  <c r="Q160" i="18" a="1"/>
  <c r="Q160" i="18" s="1"/>
  <c r="Q161" i="18" a="1"/>
  <c r="Q161" i="18" s="1"/>
  <c r="Q162" i="18" a="1"/>
  <c r="Q162" i="18" s="1"/>
  <c r="Q163" i="18" a="1"/>
  <c r="Q163" i="18" s="1"/>
  <c r="Q164" i="18" a="1"/>
  <c r="Q164" i="18" s="1"/>
  <c r="Q165" i="18" a="1"/>
  <c r="Q165" i="18" s="1"/>
  <c r="Q166" i="18" a="1"/>
  <c r="Q166" i="18" s="1"/>
  <c r="Q167" i="18" a="1"/>
  <c r="Q167" i="18" s="1"/>
  <c r="Q168" i="18" a="1"/>
  <c r="Q168" i="18" s="1"/>
  <c r="Q169" i="18" a="1"/>
  <c r="Q169" i="18" s="1"/>
  <c r="Q170" i="18" a="1"/>
  <c r="Q170" i="18" s="1"/>
  <c r="Q171" i="18" a="1"/>
  <c r="Q171" i="18" s="1"/>
  <c r="Q172" i="18" a="1"/>
  <c r="Q172" i="18" s="1"/>
  <c r="Q173" i="18" a="1"/>
  <c r="Q173" i="18"/>
  <c r="Q174" i="18" a="1"/>
  <c r="Q174" i="18" s="1"/>
  <c r="Q175" i="18" a="1"/>
  <c r="Q175" i="18"/>
  <c r="Q176" i="18" a="1"/>
  <c r="Q176" i="18" s="1"/>
  <c r="Q177" i="18" a="1"/>
  <c r="Q177" i="18" s="1"/>
  <c r="Q178" i="18" a="1"/>
  <c r="Q178" i="18" s="1"/>
  <c r="Q179" i="18" a="1"/>
  <c r="Q179" i="18" s="1"/>
  <c r="Q180" i="18" a="1"/>
  <c r="Q180" i="18" s="1"/>
  <c r="Q181" i="18" a="1"/>
  <c r="Q181" i="18" s="1"/>
  <c r="Q182" i="18" a="1"/>
  <c r="Q182" i="18" s="1"/>
  <c r="Q183" i="18" a="1"/>
  <c r="Q183" i="18"/>
  <c r="Q184" i="18" a="1"/>
  <c r="Q184" i="18"/>
  <c r="Q185" i="18" a="1"/>
  <c r="Q185" i="18" s="1"/>
  <c r="Q186" i="18" a="1"/>
  <c r="Q186" i="18" s="1"/>
  <c r="Q187" i="18" a="1"/>
  <c r="Q187" i="18" s="1"/>
  <c r="Q188" i="18" a="1"/>
  <c r="Q188" i="18" s="1"/>
  <c r="Q189" i="18" a="1"/>
  <c r="Q189" i="18" s="1"/>
  <c r="Q190" i="18" a="1"/>
  <c r="Q190" i="18" s="1"/>
  <c r="Q191" i="18" a="1"/>
  <c r="Q191" i="18"/>
  <c r="Q192" i="18" a="1"/>
  <c r="Q192" i="18" s="1"/>
  <c r="Q193" i="18" a="1"/>
  <c r="Q193" i="18"/>
  <c r="Q194" i="18" a="1"/>
  <c r="Q194" i="18" s="1"/>
  <c r="Q195" i="18" a="1"/>
  <c r="Q195" i="18" s="1"/>
  <c r="Q196" i="18" a="1"/>
  <c r="Q196" i="18" s="1"/>
  <c r="Q197" i="18" a="1"/>
  <c r="Q197" i="18" s="1"/>
  <c r="Q198" i="18" a="1"/>
  <c r="Q198" i="18" s="1"/>
  <c r="Q199" i="18" a="1"/>
  <c r="Q199" i="18"/>
  <c r="Q200" i="18" a="1"/>
  <c r="Q200" i="18"/>
  <c r="Q201" i="18" a="1"/>
  <c r="Q201" i="18" s="1"/>
  <c r="Q202" i="18" a="1"/>
  <c r="Q202" i="18" s="1"/>
  <c r="Q203" i="18" a="1"/>
  <c r="Q203" i="18"/>
  <c r="Q204" i="18" a="1"/>
  <c r="Q204" i="18" s="1"/>
  <c r="Q205" i="18" a="1"/>
  <c r="Q205" i="18" s="1"/>
  <c r="Q206" i="18" a="1"/>
  <c r="Q206" i="18" s="1"/>
  <c r="Q207" i="18" a="1"/>
  <c r="Q207" i="18" s="1"/>
  <c r="Q208" i="18" a="1"/>
  <c r="Q208" i="18" s="1"/>
  <c r="Q209" i="18" a="1"/>
  <c r="Q209" i="18" s="1"/>
  <c r="Q210" i="18" a="1"/>
  <c r="Q210" i="18" s="1"/>
  <c r="Q211" i="18" a="1"/>
  <c r="Q211" i="18" s="1"/>
  <c r="Q212" i="18" a="1"/>
  <c r="Q212" i="18"/>
  <c r="Q213" i="18" a="1"/>
  <c r="Q213" i="18" s="1"/>
  <c r="Q214" i="18" a="1"/>
  <c r="Q214" i="18" s="1"/>
  <c r="Q215" i="18" a="1"/>
  <c r="Q215" i="18" s="1"/>
  <c r="Q216" i="18" a="1"/>
  <c r="Q216" i="18"/>
  <c r="Q217" i="18" a="1"/>
  <c r="Q217" i="18"/>
  <c r="Q218" i="18" a="1"/>
  <c r="Q218" i="18" s="1"/>
  <c r="Q219" i="18" a="1"/>
  <c r="Q219" i="18"/>
  <c r="Q220" i="18" a="1"/>
  <c r="Q220" i="18" s="1"/>
  <c r="Q221" i="18" a="1"/>
  <c r="Q221" i="18" s="1"/>
  <c r="Q222" i="18" a="1"/>
  <c r="Q222" i="18" s="1"/>
  <c r="Q223" i="18" a="1"/>
  <c r="Q223" i="18"/>
  <c r="Q224" i="18" a="1"/>
  <c r="Q224" i="18" s="1"/>
  <c r="Q225" i="18" a="1"/>
  <c r="Q225" i="18" s="1"/>
  <c r="Q226" i="18" a="1"/>
  <c r="Q226" i="18" s="1"/>
  <c r="Q227" i="18" a="1"/>
  <c r="Q227" i="18" s="1"/>
  <c r="Q228" i="18" a="1"/>
  <c r="Q228" i="18" s="1"/>
  <c r="Q229" i="18" a="1"/>
  <c r="Q229" i="18" s="1"/>
  <c r="Q230" i="18" a="1"/>
  <c r="Q230" i="18" s="1"/>
  <c r="Q231" i="18" a="1"/>
  <c r="Q231" i="18" s="1"/>
  <c r="Q232" i="18" a="1"/>
  <c r="Q232" i="18" s="1"/>
  <c r="Q233" i="18" a="1"/>
  <c r="Q233" i="18" s="1"/>
  <c r="Q234" i="18" a="1"/>
  <c r="Q234" i="18" s="1"/>
  <c r="Q235" i="18" a="1"/>
  <c r="Q235" i="18" s="1"/>
  <c r="Q236" i="18" a="1"/>
  <c r="Q236" i="18" s="1"/>
  <c r="Q237" i="18" a="1"/>
  <c r="Q237" i="18" s="1"/>
  <c r="Q238" i="18" a="1"/>
  <c r="Q238" i="18" s="1"/>
  <c r="Q239" i="18" a="1"/>
  <c r="Q239" i="18" s="1"/>
  <c r="Q240" i="18" a="1"/>
  <c r="Q240" i="18" s="1"/>
  <c r="Q241" i="18" a="1"/>
  <c r="Q241" i="18" s="1"/>
  <c r="Q242" i="18" a="1"/>
  <c r="Q242" i="18" s="1"/>
  <c r="Q243" i="18" a="1"/>
  <c r="Q243" i="18" s="1"/>
  <c r="Q244" i="18" a="1"/>
  <c r="Q244" i="18"/>
  <c r="Q245" i="18" a="1"/>
  <c r="Q245" i="18" s="1"/>
  <c r="Q246" i="18" a="1"/>
  <c r="Q246" i="18" s="1"/>
  <c r="Q247" i="18" a="1"/>
  <c r="Q247" i="18" s="1"/>
  <c r="Q248" i="18" a="1"/>
  <c r="Q248" i="18"/>
  <c r="Q249" i="18" a="1"/>
  <c r="Q249" i="18" s="1"/>
  <c r="Q250" i="18" a="1"/>
  <c r="Q250" i="18" s="1"/>
  <c r="Q251" i="18" a="1"/>
  <c r="Q251" i="18" s="1"/>
  <c r="Q252" i="18" a="1"/>
  <c r="Q252" i="18" s="1"/>
  <c r="Q253" i="18" a="1"/>
  <c r="Q253" i="18" s="1"/>
  <c r="Q254" i="18" a="1"/>
  <c r="Q254" i="18" s="1"/>
  <c r="Q255" i="18" a="1"/>
  <c r="Q255" i="18" s="1"/>
  <c r="Q256" i="18" a="1"/>
  <c r="Q256" i="18" s="1"/>
  <c r="Q257" i="18" a="1"/>
  <c r="Q257" i="18" s="1"/>
  <c r="Q258" i="18" a="1"/>
  <c r="Q258" i="18" s="1"/>
  <c r="Q259" i="18" a="1"/>
  <c r="Q259" i="18" s="1"/>
  <c r="Q260" i="18" a="1"/>
  <c r="Q260" i="18" s="1"/>
  <c r="Q261" i="18" a="1"/>
  <c r="Q261" i="18" s="1"/>
  <c r="Q262" i="18" a="1"/>
  <c r="Q262" i="18" s="1"/>
  <c r="Q263" i="18" a="1"/>
  <c r="Q263" i="18" s="1"/>
  <c r="Q264" i="18" a="1"/>
  <c r="Q264" i="18" s="1"/>
  <c r="Q265" i="18" a="1"/>
  <c r="Q265" i="18"/>
  <c r="Q266" i="18" a="1"/>
  <c r="Q266" i="18" s="1"/>
  <c r="Q267" i="18" a="1"/>
  <c r="Q267" i="18" s="1"/>
  <c r="Q268" i="18" a="1"/>
  <c r="Q268" i="18" s="1"/>
  <c r="Q269" i="18" a="1"/>
  <c r="Q269" i="18" s="1"/>
  <c r="Q270" i="18" a="1"/>
  <c r="Q270" i="18" s="1"/>
  <c r="Q271" i="18" a="1"/>
  <c r="Q271" i="18"/>
  <c r="Q272" i="18" a="1"/>
  <c r="Q272" i="18" s="1"/>
  <c r="Q273" i="18" a="1"/>
  <c r="Q273" i="18" s="1"/>
  <c r="Q274" i="18" a="1"/>
  <c r="Q274" i="18" s="1"/>
  <c r="Q275" i="18" a="1"/>
  <c r="Q275" i="18" s="1"/>
  <c r="Q276" i="18" a="1"/>
  <c r="Q276" i="18" s="1"/>
  <c r="Q277" i="18" a="1"/>
  <c r="Q277" i="18" s="1"/>
  <c r="Q278" i="18" a="1"/>
  <c r="Q278" i="18" s="1"/>
  <c r="Q279" i="18" a="1"/>
  <c r="Q279" i="18"/>
  <c r="Q280" i="18" a="1"/>
  <c r="Q280" i="18"/>
  <c r="Q281" i="18" a="1"/>
  <c r="Q281" i="18" s="1"/>
  <c r="Q282" i="18" a="1"/>
  <c r="Q282" i="18" s="1"/>
  <c r="Q283" i="18" a="1"/>
  <c r="Q283" i="18" s="1"/>
  <c r="Q284" i="18" a="1"/>
  <c r="Q284" i="18" s="1"/>
  <c r="Q285" i="18" a="1"/>
  <c r="Q285" i="18"/>
  <c r="Q286" i="18" a="1"/>
  <c r="Q286" i="18" s="1"/>
  <c r="Q287" i="18" a="1"/>
  <c r="Q287" i="18"/>
  <c r="Q288" i="18" a="1"/>
  <c r="Q288" i="18" s="1"/>
  <c r="Q289" i="18" a="1"/>
  <c r="Q289" i="18"/>
  <c r="Q290" i="18" a="1"/>
  <c r="Q290" i="18" s="1"/>
  <c r="Q291" i="18" a="1"/>
  <c r="Q291" i="18" s="1"/>
  <c r="Q292" i="18" a="1"/>
  <c r="Q292" i="18" s="1"/>
  <c r="Q293" i="18" a="1"/>
  <c r="Q293" i="18" s="1"/>
  <c r="Q294" i="18" a="1"/>
  <c r="Q294" i="18" s="1"/>
  <c r="Q295" i="18" a="1"/>
  <c r="Q295" i="18" s="1"/>
  <c r="Q296" i="18" a="1"/>
  <c r="Q296" i="18"/>
  <c r="Q297" i="18" a="1"/>
  <c r="Q297" i="18" s="1"/>
  <c r="Q298" i="18" a="1"/>
  <c r="Q298" i="18" s="1"/>
  <c r="Q299" i="18" a="1"/>
  <c r="Q299" i="18"/>
  <c r="Q300" i="18" a="1"/>
  <c r="Q300" i="18" s="1"/>
  <c r="Q301" i="18" a="1"/>
  <c r="Q301" i="18" s="1"/>
  <c r="Q302" i="18" a="1"/>
  <c r="Q302" i="18" s="1"/>
  <c r="Q303" i="18" a="1"/>
  <c r="Q303" i="18"/>
  <c r="Q304" i="18" a="1"/>
  <c r="Q304" i="18" s="1"/>
  <c r="Q305" i="18" a="1"/>
  <c r="Q305" i="18"/>
  <c r="Q306" i="18" a="1"/>
  <c r="Q306" i="18" s="1"/>
  <c r="Q307" i="18" a="1"/>
  <c r="Q307" i="18" s="1"/>
  <c r="Q308" i="18" a="1"/>
  <c r="Q308" i="18" s="1"/>
  <c r="Q309" i="18" a="1"/>
  <c r="Q309" i="18" s="1"/>
  <c r="Q310" i="18" a="1"/>
  <c r="Q310" i="18" s="1"/>
  <c r="Q311" i="18" a="1"/>
  <c r="Q311" i="18"/>
  <c r="Q312" i="18" a="1"/>
  <c r="Q312" i="18" s="1"/>
  <c r="Q313" i="18" a="1"/>
  <c r="Q313" i="18" s="1"/>
  <c r="Q314" i="18" a="1"/>
  <c r="Q314" i="18" s="1"/>
  <c r="Q315" i="18" a="1"/>
  <c r="Q315" i="18" s="1"/>
  <c r="Q316" i="18" a="1"/>
  <c r="Q316" i="18" s="1"/>
  <c r="Q317" i="18" a="1"/>
  <c r="Q317" i="18" s="1"/>
  <c r="Q318" i="18" a="1"/>
  <c r="Q318" i="18" s="1"/>
  <c r="Q319" i="18" a="1"/>
  <c r="Q319" i="18" s="1"/>
  <c r="Q320" i="18" a="1"/>
  <c r="Q320" i="18" s="1"/>
  <c r="Q321" i="18" a="1"/>
  <c r="Q321" i="18"/>
  <c r="Q322" i="18" a="1"/>
  <c r="Q322" i="18" s="1"/>
  <c r="Q323" i="18" a="1"/>
  <c r="Q323" i="18" s="1"/>
  <c r="Q324" i="18" a="1"/>
  <c r="Q324" i="18" s="1"/>
  <c r="Q325" i="18" a="1"/>
  <c r="Q325" i="18" s="1"/>
  <c r="Q326" i="18" a="1"/>
  <c r="Q326" i="18" s="1"/>
  <c r="Q327" i="18" a="1"/>
  <c r="Q327" i="18" s="1"/>
  <c r="Q328" i="18" a="1"/>
  <c r="Q328" i="18"/>
  <c r="Q329" i="18" a="1"/>
  <c r="Q329" i="18" s="1"/>
  <c r="Q330" i="18" a="1"/>
  <c r="Q330" i="18" s="1"/>
  <c r="Q331" i="18" a="1"/>
  <c r="Q331" i="18" s="1"/>
  <c r="Q332" i="18" a="1"/>
  <c r="Q332" i="18" s="1"/>
  <c r="Q333" i="18" a="1"/>
  <c r="Q333" i="18" s="1"/>
  <c r="Q334" i="18" a="1"/>
  <c r="Q334" i="18" s="1"/>
  <c r="Q335" i="18" a="1"/>
  <c r="Q335" i="18" s="1"/>
  <c r="Q336" i="18" a="1"/>
  <c r="Q336" i="18"/>
  <c r="Q337" i="18" a="1"/>
  <c r="Q337" i="18"/>
  <c r="Q338" i="18" a="1"/>
  <c r="Q338" i="18" s="1"/>
  <c r="Q339" i="18" a="1"/>
  <c r="Q339" i="18" s="1"/>
  <c r="Q340" i="18" a="1"/>
  <c r="Q340" i="18" s="1"/>
  <c r="Q341" i="18" a="1"/>
  <c r="Q341" i="18" s="1"/>
  <c r="Q342" i="18" a="1"/>
  <c r="Q342" i="18" s="1"/>
  <c r="Q343" i="18" a="1"/>
  <c r="Q343" i="18"/>
  <c r="Q344" i="18" a="1"/>
  <c r="Q344" i="18" s="1"/>
  <c r="Q345" i="18" a="1"/>
  <c r="Q345" i="18" s="1"/>
  <c r="Q346" i="18" a="1"/>
  <c r="Q346" i="18" s="1"/>
  <c r="Q347" i="18" a="1"/>
  <c r="Q347" i="18" s="1"/>
  <c r="Q348" i="18" a="1"/>
  <c r="Q348" i="18" s="1"/>
  <c r="Q349" i="18" a="1"/>
  <c r="Q349" i="18" s="1"/>
  <c r="Q350" i="18" a="1"/>
  <c r="Q350" i="18" s="1"/>
  <c r="Q351" i="18" a="1"/>
  <c r="Q351" i="18"/>
  <c r="Q352" i="18" a="1"/>
  <c r="Q352" i="18"/>
  <c r="Q353" i="18" a="1"/>
  <c r="Q353" i="18" s="1"/>
  <c r="Q354" i="18" a="1"/>
  <c r="Q354" i="18" s="1"/>
  <c r="Q355" i="18" a="1"/>
  <c r="Q355" i="18" s="1"/>
  <c r="Q356" i="18" a="1"/>
  <c r="Q356" i="18" s="1"/>
  <c r="Q357" i="18" a="1"/>
  <c r="Q357" i="18" s="1"/>
  <c r="Q358" i="18" a="1"/>
  <c r="Q358" i="18" s="1"/>
  <c r="Q359" i="18" a="1"/>
  <c r="Q359" i="18" s="1"/>
  <c r="Q360" i="18" a="1"/>
  <c r="Q360" i="18" s="1"/>
  <c r="Q361" i="18" a="1"/>
  <c r="Q361" i="18" s="1"/>
  <c r="Q362" i="18" a="1"/>
  <c r="Q362" i="18" s="1"/>
  <c r="Q363" i="18" a="1"/>
  <c r="Q363" i="18" s="1"/>
  <c r="Q364" i="18" a="1"/>
  <c r="Q364" i="18" s="1"/>
  <c r="Q365" i="18" a="1"/>
  <c r="Q365" i="18" s="1"/>
  <c r="Q366" i="18" a="1"/>
  <c r="Q366" i="18" s="1"/>
  <c r="Q367" i="18" a="1"/>
  <c r="Q367" i="18" s="1"/>
  <c r="Q368" i="18" a="1"/>
  <c r="Q368" i="18"/>
  <c r="Q369" i="18" a="1"/>
  <c r="Q369" i="18"/>
  <c r="Q370" i="18" a="1"/>
  <c r="Q370" i="18" s="1"/>
  <c r="Q371" i="18" a="1"/>
  <c r="Q371" i="18" s="1"/>
  <c r="Q372" i="18" a="1"/>
  <c r="Q372" i="18" s="1"/>
  <c r="Q373" i="18" a="1"/>
  <c r="Q373" i="18" s="1"/>
  <c r="Q374" i="18" a="1"/>
  <c r="Q374" i="18" s="1"/>
  <c r="Q375" i="18" a="1"/>
  <c r="Q375" i="18" s="1"/>
  <c r="Q376" i="18" a="1"/>
  <c r="Q376" i="18" s="1"/>
  <c r="Q377" i="18" a="1"/>
  <c r="Q377" i="18"/>
  <c r="Q378" i="18" a="1"/>
  <c r="Q378" i="18" s="1"/>
  <c r="Q379" i="18" a="1"/>
  <c r="Q379" i="18" s="1"/>
  <c r="Q380" i="18" a="1"/>
  <c r="Q380" i="18" s="1"/>
  <c r="Q381" i="18" a="1"/>
  <c r="Q381" i="18"/>
  <c r="Q382" i="18" a="1"/>
  <c r="Q382" i="18" s="1"/>
  <c r="Q383" i="18" a="1"/>
  <c r="Q383" i="18"/>
  <c r="Q384" i="18" a="1"/>
  <c r="Q384" i="18" s="1"/>
  <c r="Q385" i="18" a="1"/>
  <c r="Q385" i="18"/>
  <c r="Q386" i="18" a="1"/>
  <c r="Q386" i="18" s="1"/>
  <c r="Q387" i="18" a="1"/>
  <c r="Q387" i="18" s="1"/>
  <c r="Q388" i="18" a="1"/>
  <c r="Q388" i="18" s="1"/>
  <c r="Q389" i="18" a="1"/>
  <c r="Q389" i="18" s="1"/>
  <c r="Q390" i="18" a="1"/>
  <c r="Q390" i="18" s="1"/>
  <c r="Q391" i="18" a="1"/>
  <c r="Q391" i="18" s="1"/>
  <c r="Q392" i="18" a="1"/>
  <c r="Q392" i="18"/>
  <c r="Q393" i="18" a="1"/>
  <c r="Q393" i="18"/>
  <c r="Q394" i="18" a="1"/>
  <c r="Q394" i="18" s="1"/>
  <c r="Q395" i="18" a="1"/>
  <c r="Q395" i="18" s="1"/>
  <c r="Q396" i="18" a="1"/>
  <c r="Q396" i="18" s="1"/>
  <c r="Q397" i="18" a="1"/>
  <c r="Q397" i="18" s="1"/>
  <c r="Q398" i="18" a="1"/>
  <c r="Q398" i="18" s="1"/>
  <c r="Q399" i="18" a="1"/>
  <c r="Q399" i="18" s="1"/>
  <c r="Q400" i="18" a="1"/>
  <c r="Q400" i="18" s="1"/>
  <c r="Q401" i="18" a="1"/>
  <c r="Q401" i="18"/>
  <c r="Q402" i="18" a="1"/>
  <c r="Q402" i="18" s="1"/>
  <c r="Q403" i="18" a="1"/>
  <c r="Q403" i="18" s="1"/>
  <c r="Q404" i="18" a="1"/>
  <c r="Q404" i="18" s="1"/>
  <c r="Q405" i="18" a="1"/>
  <c r="Q405" i="18" s="1"/>
  <c r="Q406" i="18" a="1"/>
  <c r="Q406" i="18" s="1"/>
  <c r="Q407" i="18" a="1"/>
  <c r="Q407" i="18" s="1"/>
  <c r="Q408" i="18" a="1"/>
  <c r="Q408" i="18"/>
  <c r="Q409" i="18" a="1"/>
  <c r="Q409" i="18" s="1"/>
  <c r="Q410" i="18" a="1"/>
  <c r="Q410" i="18" s="1"/>
  <c r="Q411" i="18" a="1"/>
  <c r="Q411" i="18" s="1"/>
  <c r="Q412" i="18" a="1"/>
  <c r="Q412" i="18" s="1"/>
  <c r="Q413" i="18" a="1"/>
  <c r="Q413" i="18" s="1"/>
  <c r="Q414" i="18" a="1"/>
  <c r="Q414" i="18" s="1"/>
  <c r="Q415" i="18" a="1"/>
  <c r="Q415" i="18" s="1"/>
  <c r="Q416" i="18" a="1"/>
  <c r="Q416" i="18" s="1"/>
  <c r="Q417" i="18" a="1"/>
  <c r="Q417" i="18" s="1"/>
  <c r="Q418" i="18" a="1"/>
  <c r="Q418" i="18" s="1"/>
  <c r="Q419" i="18" a="1"/>
  <c r="Q419" i="18" s="1"/>
  <c r="Q420" i="18" a="1"/>
  <c r="Q420" i="18" s="1"/>
  <c r="Q421" i="18" a="1"/>
  <c r="Q421" i="18" s="1"/>
  <c r="Q422" i="18" a="1"/>
  <c r="Q422" i="18" s="1"/>
  <c r="Q423" i="18" a="1"/>
  <c r="Q423" i="18" s="1"/>
  <c r="Q424" i="18" a="1"/>
  <c r="Q424" i="18" s="1"/>
  <c r="Q425" i="18" a="1"/>
  <c r="Q425" i="18" s="1"/>
  <c r="Q426" i="18" a="1"/>
  <c r="Q426" i="18" s="1"/>
  <c r="Q427" i="18" a="1"/>
  <c r="Q427" i="18"/>
  <c r="Q428" i="18" a="1"/>
  <c r="Q428" i="18" s="1"/>
  <c r="Q429" i="18" a="1"/>
  <c r="Q429" i="18"/>
  <c r="Q430" i="18" a="1"/>
  <c r="Q430" i="18" s="1"/>
  <c r="Q431" i="18" a="1"/>
  <c r="Q431" i="18" s="1"/>
  <c r="Q432" i="18" a="1"/>
  <c r="Q432" i="18" s="1"/>
  <c r="Q433" i="18" a="1"/>
  <c r="Q433" i="18"/>
  <c r="Q434" i="18" a="1"/>
  <c r="Q434" i="18" s="1"/>
  <c r="Q435" i="18" a="1"/>
  <c r="Q435" i="18" s="1"/>
  <c r="Q436" i="18" a="1"/>
  <c r="Q436" i="18" s="1"/>
  <c r="Q437" i="18" a="1"/>
  <c r="Q437" i="18" s="1"/>
  <c r="Q438" i="18" a="1"/>
  <c r="Q438" i="18" s="1"/>
  <c r="Q439" i="18" a="1"/>
  <c r="Q439" i="18" s="1"/>
  <c r="Q440" i="18" a="1"/>
  <c r="Q440" i="18"/>
  <c r="Q441" i="18" a="1"/>
  <c r="Q441" i="18" s="1"/>
  <c r="Q442" i="18" a="1"/>
  <c r="Q442" i="18" s="1"/>
  <c r="Q443" i="18" a="1"/>
  <c r="Q443" i="18" s="1"/>
  <c r="Q444" i="18" a="1"/>
  <c r="Q444" i="18" s="1"/>
  <c r="Q445" i="18" a="1"/>
  <c r="Q445" i="18" s="1"/>
  <c r="Q446" i="18" a="1"/>
  <c r="Q446" i="18" s="1"/>
  <c r="Q447" i="18" a="1"/>
  <c r="Q447" i="18"/>
  <c r="Q448" i="18" a="1"/>
  <c r="Q448" i="18" s="1"/>
  <c r="Q449" i="18" a="1"/>
  <c r="Q449" i="18" s="1"/>
  <c r="Q450" i="18" a="1"/>
  <c r="Q450" i="18" s="1"/>
  <c r="Q451" i="18" a="1"/>
  <c r="Q451" i="18" s="1"/>
  <c r="Q452" i="18" a="1"/>
  <c r="Q452" i="18" s="1"/>
  <c r="Q453" i="18" a="1"/>
  <c r="Q453" i="18" s="1"/>
  <c r="Q454" i="18" a="1"/>
  <c r="Q454" i="18" s="1"/>
  <c r="Q455" i="18" a="1"/>
  <c r="Q455" i="18" s="1"/>
  <c r="Q456" i="18" a="1"/>
  <c r="Q456" i="18" s="1"/>
  <c r="Q457" i="18" a="1"/>
  <c r="Q457" i="18" s="1"/>
  <c r="Q458" i="18" a="1"/>
  <c r="Q458" i="18" s="1"/>
  <c r="Q459" i="18" a="1"/>
  <c r="Q459" i="18"/>
  <c r="Q460" i="18" a="1"/>
  <c r="Q460" i="18" s="1"/>
  <c r="Q461" i="18" a="1"/>
  <c r="Q461" i="18" s="1"/>
  <c r="Q462" i="18" a="1"/>
  <c r="Q462" i="18" s="1"/>
  <c r="Q463" i="18" a="1"/>
  <c r="Q463" i="18"/>
  <c r="Q464" i="18" a="1"/>
  <c r="Q464" i="18" s="1"/>
  <c r="Q465" i="18" a="1"/>
  <c r="Q465" i="18"/>
  <c r="Q466" i="18" a="1"/>
  <c r="Q466" i="18" s="1"/>
  <c r="Q467" i="18" a="1"/>
  <c r="Q467" i="18" s="1"/>
  <c r="Q468" i="18" a="1"/>
  <c r="Q468" i="18"/>
  <c r="Q469" i="18" a="1"/>
  <c r="Q469" i="18" s="1"/>
  <c r="Q470" i="18" a="1"/>
  <c r="Q470" i="18" s="1"/>
  <c r="Q471" i="18" a="1"/>
  <c r="Q471" i="18"/>
  <c r="Q472" i="18" a="1"/>
  <c r="Q472" i="18"/>
  <c r="Q473" i="18" a="1"/>
  <c r="Q473" i="18"/>
  <c r="Q474" i="18" a="1"/>
  <c r="Q474" i="18" s="1"/>
  <c r="Q475" i="18" a="1"/>
  <c r="Q475" i="18" s="1"/>
  <c r="Q476" i="18" a="1"/>
  <c r="Q476" i="18" s="1"/>
  <c r="Q477" i="18" a="1"/>
  <c r="Q477" i="18" s="1"/>
  <c r="Q478" i="18" a="1"/>
  <c r="Q478" i="18" s="1"/>
  <c r="Q479" i="18" a="1"/>
  <c r="Q479" i="18" s="1"/>
  <c r="Q480" i="18" a="1"/>
  <c r="Q480" i="18" s="1"/>
  <c r="Q481" i="18" a="1"/>
  <c r="Q481" i="18"/>
  <c r="Q482" i="18" a="1"/>
  <c r="Q482" i="18" s="1"/>
  <c r="Q483" i="18" a="1"/>
  <c r="Q483" i="18" s="1"/>
  <c r="Q484" i="18" a="1"/>
  <c r="Q484" i="18" s="1"/>
  <c r="Q485" i="18" a="1"/>
  <c r="Q485" i="18" s="1"/>
  <c r="Q486" i="18" a="1"/>
  <c r="Q486" i="18" s="1"/>
  <c r="Q487" i="18" a="1"/>
  <c r="Q487" i="18" s="1"/>
  <c r="Q488" i="18" a="1"/>
  <c r="Q488" i="18"/>
  <c r="Q489" i="18" a="1"/>
  <c r="Q489" i="18" s="1"/>
  <c r="Q490" i="18" a="1"/>
  <c r="Q490" i="18" s="1"/>
  <c r="Q491" i="18" a="1"/>
  <c r="Q491" i="18" s="1"/>
  <c r="Q492" i="18" a="1"/>
  <c r="Q492" i="18" s="1"/>
  <c r="Q493" i="18" a="1"/>
  <c r="Q493" i="18" s="1"/>
  <c r="Q494" i="18" a="1"/>
  <c r="Q494" i="18" s="1"/>
  <c r="Q495" i="18" a="1"/>
  <c r="Q495" i="18"/>
  <c r="Q496" i="18" a="1"/>
  <c r="Q496" i="18" s="1"/>
  <c r="Q497" i="18" a="1"/>
  <c r="Q497" i="18"/>
  <c r="Q498" i="18" a="1"/>
  <c r="Q498" i="18" s="1"/>
  <c r="Q499" i="18" a="1"/>
  <c r="Q499" i="18" s="1"/>
  <c r="Q500" i="18" a="1"/>
  <c r="Q500" i="18" s="1"/>
  <c r="Q501" i="18" a="1"/>
  <c r="Q501" i="18" s="1"/>
  <c r="Q502" i="18" a="1"/>
  <c r="Q502" i="18" s="1"/>
  <c r="Q503" i="18" a="1"/>
  <c r="Q503" i="18" s="1"/>
  <c r="Q504" i="18" a="1"/>
  <c r="Q504" i="18" s="1"/>
  <c r="Q505" i="18" a="1"/>
  <c r="Q505" i="18"/>
  <c r="Q506" i="18" a="1"/>
  <c r="Q506" i="18" s="1"/>
  <c r="Q507" i="18" a="1"/>
  <c r="Q507" i="18" s="1"/>
  <c r="Q508" i="18" a="1"/>
  <c r="Q508" i="18" s="1"/>
  <c r="Q509" i="18" a="1"/>
  <c r="Q509" i="18"/>
  <c r="Q510" i="18" a="1"/>
  <c r="Q510" i="18" s="1"/>
  <c r="Q511" i="18" a="1"/>
  <c r="Q511" i="18"/>
  <c r="Q512" i="18" a="1"/>
  <c r="Q512" i="18" s="1"/>
  <c r="Q513" i="18" a="1"/>
  <c r="Q513" i="18"/>
  <c r="Q514" i="18" a="1"/>
  <c r="Q514" i="18" s="1"/>
  <c r="Q515" i="18" a="1"/>
  <c r="Q515" i="18" s="1"/>
  <c r="Q516" i="18" a="1"/>
  <c r="Q516" i="18" s="1"/>
  <c r="Q517" i="18" a="1"/>
  <c r="Q517" i="18" s="1"/>
  <c r="Q518" i="18" a="1"/>
  <c r="Q518" i="18" s="1"/>
  <c r="Q519" i="18" a="1"/>
  <c r="Q519" i="18" s="1"/>
  <c r="Q520" i="18" a="1"/>
  <c r="Q520" i="18" s="1"/>
  <c r="Q521" i="18" a="1"/>
  <c r="Q521" i="18"/>
  <c r="Q522" i="18" a="1"/>
  <c r="Q522" i="18" s="1"/>
  <c r="Q523" i="18" a="1"/>
  <c r="Q523" i="18"/>
  <c r="Q524" i="18" a="1"/>
  <c r="Q524" i="18" s="1"/>
  <c r="Q525" i="18" a="1"/>
  <c r="Q525" i="18"/>
  <c r="Q526" i="18" a="1"/>
  <c r="Q526" i="18" s="1"/>
  <c r="Q527" i="18" a="1"/>
  <c r="Q527" i="18" s="1"/>
  <c r="Q528" i="18" a="1"/>
  <c r="Q528" i="18" s="1"/>
  <c r="Q529" i="18" a="1"/>
  <c r="Q529" i="18"/>
  <c r="Q530" i="18" a="1"/>
  <c r="Q530" i="18" s="1"/>
  <c r="Q531" i="18" a="1"/>
  <c r="Q531" i="18" s="1"/>
  <c r="Q532" i="18" a="1"/>
  <c r="Q532" i="18" s="1"/>
  <c r="Q533" i="18" a="1"/>
  <c r="Q533" i="18" s="1"/>
  <c r="Q534" i="18" a="1"/>
  <c r="Q534" i="18" s="1"/>
  <c r="Q535" i="18" a="1"/>
  <c r="Q535" i="18" s="1"/>
  <c r="Q536" i="18" a="1"/>
  <c r="Q536" i="18" s="1"/>
  <c r="Q537" i="18" a="1"/>
  <c r="Q537" i="18"/>
  <c r="Q538" i="18" a="1"/>
  <c r="Q538" i="18" s="1"/>
  <c r="Q539" i="18" a="1"/>
  <c r="Q539" i="18"/>
  <c r="Q540" i="18" a="1"/>
  <c r="Q540" i="18" s="1"/>
  <c r="Q541" i="18" a="1"/>
  <c r="Q541" i="18"/>
  <c r="Q542" i="18" a="1"/>
  <c r="Q542" i="18" s="1"/>
  <c r="Q543" i="18" a="1"/>
  <c r="Q543" i="18" s="1"/>
  <c r="Q544" i="18" a="1"/>
  <c r="Q544" i="18" s="1"/>
  <c r="Q545" i="18" a="1"/>
  <c r="Q545" i="18"/>
  <c r="Q546" i="18" a="1"/>
  <c r="Q546" i="18" s="1"/>
  <c r="Q547" i="18" a="1"/>
  <c r="Q547" i="18" s="1"/>
  <c r="Q548" i="18" a="1"/>
  <c r="Q548" i="18" s="1"/>
  <c r="Q549" i="18" a="1"/>
  <c r="Q549" i="18" s="1"/>
  <c r="Q550" i="18" a="1"/>
  <c r="Q550" i="18" s="1"/>
  <c r="Q551" i="18" a="1"/>
  <c r="Q551" i="18" s="1"/>
  <c r="Q552" i="18" a="1"/>
  <c r="Q552" i="18" s="1"/>
  <c r="Q553" i="18" a="1"/>
  <c r="Q553" i="18"/>
  <c r="Q554" i="18" a="1"/>
  <c r="Q554" i="18" s="1"/>
  <c r="Q555" i="18" a="1"/>
  <c r="Q555" i="18"/>
  <c r="Q556" i="18" a="1"/>
  <c r="Q556" i="18" s="1"/>
  <c r="Q557" i="18" a="1"/>
  <c r="Q557" i="18"/>
  <c r="Q558" i="18" a="1"/>
  <c r="Q558" i="18" s="1"/>
  <c r="Q559" i="18" a="1"/>
  <c r="Q559" i="18" s="1"/>
  <c r="Q560" i="18" a="1"/>
  <c r="Q560" i="18" s="1"/>
  <c r="Q561" i="18" a="1"/>
  <c r="Q561" i="18"/>
  <c r="Q562" i="18" a="1"/>
  <c r="Q562" i="18" s="1"/>
  <c r="Q563" i="18" a="1"/>
  <c r="Q563" i="18" s="1"/>
  <c r="Q564" i="18" a="1"/>
  <c r="Q564" i="18" s="1"/>
  <c r="Q565" i="18" a="1"/>
  <c r="Q565" i="18" s="1"/>
  <c r="Q566" i="18" a="1"/>
  <c r="Q566" i="18" s="1"/>
  <c r="Q567" i="18" a="1"/>
  <c r="Q567" i="18" s="1"/>
  <c r="Q568" i="18" a="1"/>
  <c r="Q568" i="18" s="1"/>
  <c r="Q569" i="18" a="1"/>
  <c r="Q569" i="18"/>
  <c r="Q570" i="18" a="1"/>
  <c r="Q570" i="18" s="1"/>
  <c r="Q571" i="18" a="1"/>
  <c r="Q571" i="18"/>
  <c r="Q572" i="18" a="1"/>
  <c r="Q572" i="18" s="1"/>
  <c r="Q573" i="18" a="1"/>
  <c r="Q573" i="18"/>
  <c r="Q574" i="18" a="1"/>
  <c r="Q574" i="18" s="1"/>
  <c r="Q575" i="18" a="1"/>
  <c r="Q575" i="18"/>
  <c r="Q576" i="18" a="1"/>
  <c r="Q576" i="18" s="1"/>
  <c r="Q577" i="18" a="1"/>
  <c r="Q577" i="18"/>
  <c r="Q578" i="18" a="1"/>
  <c r="Q578" i="18" s="1"/>
  <c r="Q579" i="18" a="1"/>
  <c r="Q579" i="18" s="1"/>
  <c r="Q580" i="18" a="1"/>
  <c r="Q580" i="18" s="1"/>
  <c r="Q581" i="18" a="1"/>
  <c r="Q581" i="18" s="1"/>
  <c r="Q582" i="18" a="1"/>
  <c r="Q582" i="18" s="1"/>
  <c r="Q583" i="18" a="1"/>
  <c r="Q583" i="18" s="1"/>
  <c r="Q584" i="18" a="1"/>
  <c r="Q584" i="18" s="1"/>
  <c r="Q585" i="18" a="1"/>
  <c r="Q585" i="18"/>
  <c r="Q586" i="18" a="1"/>
  <c r="Q586" i="18" s="1"/>
  <c r="Q587" i="18" a="1"/>
  <c r="Q587" i="18"/>
  <c r="Q588" i="18" a="1"/>
  <c r="Q588" i="18" s="1"/>
  <c r="Q589" i="18" a="1"/>
  <c r="Q589" i="18"/>
  <c r="Q590" i="18" a="1"/>
  <c r="Q590" i="18" s="1"/>
  <c r="Q591" i="18" a="1"/>
  <c r="Q591" i="18"/>
  <c r="Q592" i="18" a="1"/>
  <c r="Q592" i="18" s="1"/>
  <c r="Q593" i="18" a="1"/>
  <c r="Q593" i="18"/>
  <c r="Q594" i="18" a="1"/>
  <c r="Q594" i="18" s="1"/>
  <c r="Q595" i="18" a="1"/>
  <c r="Q595" i="18" s="1"/>
  <c r="Q596" i="18" a="1"/>
  <c r="Q596" i="18" s="1"/>
  <c r="Q597" i="18" a="1"/>
  <c r="Q597" i="18" s="1"/>
  <c r="Q598" i="18" a="1"/>
  <c r="Q598" i="18" s="1"/>
  <c r="Q599" i="18" a="1"/>
  <c r="Q599" i="18" s="1"/>
  <c r="Q600" i="18" a="1"/>
  <c r="Q600" i="18" s="1"/>
  <c r="Q601" i="18" a="1"/>
  <c r="Q601" i="18"/>
  <c r="Q602" i="18" a="1"/>
  <c r="Q602" i="18" s="1"/>
  <c r="Q603" i="18" a="1"/>
  <c r="Q603" i="18"/>
  <c r="Q604" i="18" a="1"/>
  <c r="Q604" i="18" s="1"/>
  <c r="Q605" i="18" a="1"/>
  <c r="Q605" i="18"/>
  <c r="Q606" i="18" a="1"/>
  <c r="Q606" i="18" s="1"/>
  <c r="Q607" i="18" a="1"/>
  <c r="Q607" i="18"/>
  <c r="Q608" i="18" a="1"/>
  <c r="Q608" i="18" s="1"/>
  <c r="Q609" i="18" a="1"/>
  <c r="Q609" i="18"/>
  <c r="Q610" i="18" a="1"/>
  <c r="Q610" i="18" s="1"/>
  <c r="Q611" i="18" a="1"/>
  <c r="Q611" i="18" s="1"/>
  <c r="Q612" i="18" a="1"/>
  <c r="Q612" i="18" s="1"/>
  <c r="Q613" i="18" a="1"/>
  <c r="Q613" i="18" s="1"/>
  <c r="Q614" i="18" a="1"/>
  <c r="Q614" i="18" s="1"/>
  <c r="Q615" i="18" a="1"/>
  <c r="Q615" i="18" s="1"/>
  <c r="Q616" i="18" a="1"/>
  <c r="Q616" i="18" s="1"/>
  <c r="Q617" i="18" a="1"/>
  <c r="Q617" i="18"/>
  <c r="Q618" i="18" a="1"/>
  <c r="Q618" i="18" s="1"/>
  <c r="Q619" i="18" a="1"/>
  <c r="Q619" i="18"/>
  <c r="Q620" i="18" a="1"/>
  <c r="Q620" i="18" s="1"/>
  <c r="Q621" i="18" a="1"/>
  <c r="Q621" i="18"/>
  <c r="Q622" i="18" a="1"/>
  <c r="Q622" i="18" s="1"/>
  <c r="Q623" i="18" a="1"/>
  <c r="Q623" i="18" s="1"/>
  <c r="Q624" i="18" a="1"/>
  <c r="Q624" i="18" s="1"/>
  <c r="Q625" i="18" a="1"/>
  <c r="Q625" i="18"/>
  <c r="Q626" i="18" a="1"/>
  <c r="Q626" i="18" s="1"/>
  <c r="Q627" i="18" a="1"/>
  <c r="Q627" i="18" s="1"/>
  <c r="Q628" i="18" a="1"/>
  <c r="Q628" i="18" s="1"/>
  <c r="Q629" i="18" a="1"/>
  <c r="Q629" i="18" s="1"/>
  <c r="Q630" i="18" a="1"/>
  <c r="Q630" i="18" s="1"/>
  <c r="Q631" i="18" a="1"/>
  <c r="Q631" i="18" s="1"/>
  <c r="Q632" i="18" a="1"/>
  <c r="Q632" i="18" s="1"/>
  <c r="Q633" i="18" a="1"/>
  <c r="Q633" i="18"/>
  <c r="Q634" i="18" a="1"/>
  <c r="Q634" i="18" s="1"/>
  <c r="Q635" i="18" a="1"/>
  <c r="Q635" i="18"/>
  <c r="Q636" i="18" a="1"/>
  <c r="Q636" i="18" s="1"/>
  <c r="Q637" i="18" a="1"/>
  <c r="Q637" i="18"/>
  <c r="Q638" i="18" a="1"/>
  <c r="Q638" i="18" s="1"/>
  <c r="Q639" i="18" a="1"/>
  <c r="Q639" i="18"/>
  <c r="Q640" i="18" a="1"/>
  <c r="Q640" i="18" s="1"/>
  <c r="Q641" i="18" a="1"/>
  <c r="Q641" i="18"/>
  <c r="Q642" i="18" a="1"/>
  <c r="Q642" i="18" s="1"/>
  <c r="Q643" i="18" a="1"/>
  <c r="Q643" i="18" s="1"/>
  <c r="Q644" i="18" a="1"/>
  <c r="Q644" i="18" s="1"/>
  <c r="Q645" i="18" a="1"/>
  <c r="Q645" i="18" s="1"/>
  <c r="Q646" i="18" a="1"/>
  <c r="Q646" i="18" s="1"/>
  <c r="Q647" i="18" a="1"/>
  <c r="Q647" i="18" s="1"/>
  <c r="Q648" i="18" a="1"/>
  <c r="Q648" i="18" s="1"/>
  <c r="Q649" i="18" a="1"/>
  <c r="Q649" i="18"/>
  <c r="Q650" i="18" a="1"/>
  <c r="Q650" i="18" s="1"/>
  <c r="Q651" i="18" a="1"/>
  <c r="Q651" i="18"/>
  <c r="Q652" i="18" a="1"/>
  <c r="Q652" i="18" s="1"/>
  <c r="Q653" i="18" a="1"/>
  <c r="Q653" i="18"/>
  <c r="Q654" i="18" a="1"/>
  <c r="Q654" i="18" s="1"/>
  <c r="Q655" i="18" a="1"/>
  <c r="Q655" i="18" s="1"/>
  <c r="Q656" i="18" a="1"/>
  <c r="Q656" i="18" s="1"/>
  <c r="Q657" i="18" a="1"/>
  <c r="Q657" i="18"/>
  <c r="Q658" i="18" a="1"/>
  <c r="Q658" i="18" s="1"/>
  <c r="Q659" i="18" a="1"/>
  <c r="Q659" i="18" s="1"/>
  <c r="Q660" i="18" a="1"/>
  <c r="Q660" i="18" s="1"/>
  <c r="Q661" i="18" a="1"/>
  <c r="Q661" i="18" s="1"/>
  <c r="Q662" i="18" a="1"/>
  <c r="Q662" i="18" s="1"/>
  <c r="Q663" i="18" a="1"/>
  <c r="Q663" i="18" s="1"/>
  <c r="Q664" i="18" a="1"/>
  <c r="Q664" i="18" s="1"/>
  <c r="Q665" i="18" a="1"/>
  <c r="Q665" i="18"/>
  <c r="Q666" i="18" a="1"/>
  <c r="Q666" i="18" s="1"/>
  <c r="Q667" i="18" a="1"/>
  <c r="Q667" i="18"/>
  <c r="Q668" i="18" a="1"/>
  <c r="Q668" i="18" s="1"/>
  <c r="Q669" i="18" a="1"/>
  <c r="Q669" i="18"/>
  <c r="Q670" i="18" a="1"/>
  <c r="Q670" i="18" s="1"/>
  <c r="Q671" i="18" a="1"/>
  <c r="Q671" i="18" s="1"/>
  <c r="Q672" i="18" a="1"/>
  <c r="Q672" i="18" s="1"/>
  <c r="Q673" i="18" a="1"/>
  <c r="Q673" i="18"/>
  <c r="Q674" i="18" a="1"/>
  <c r="Q674" i="18" s="1"/>
  <c r="Q675" i="18" a="1"/>
  <c r="Q675" i="18" s="1"/>
  <c r="Q676" i="18" a="1"/>
  <c r="Q676" i="18" s="1"/>
  <c r="Q677" i="18" a="1"/>
  <c r="Q677" i="18" s="1"/>
  <c r="Q678" i="18" a="1"/>
  <c r="Q678" i="18" s="1"/>
  <c r="Q679" i="18" a="1"/>
  <c r="Q679" i="18" s="1"/>
  <c r="Q680" i="18" a="1"/>
  <c r="Q680" i="18" s="1"/>
  <c r="Q681" i="18" a="1"/>
  <c r="Q681" i="18"/>
  <c r="Q682" i="18" a="1"/>
  <c r="Q682" i="18" s="1"/>
  <c r="Q683" i="18" a="1"/>
  <c r="Q683" i="18"/>
  <c r="Q684" i="18" a="1"/>
  <c r="Q684" i="18" s="1"/>
  <c r="Q685" i="18" a="1"/>
  <c r="Q685" i="18"/>
  <c r="Q686" i="18" a="1"/>
  <c r="Q686" i="18" s="1"/>
  <c r="Q687" i="18" a="1"/>
  <c r="Q687" i="18" s="1"/>
  <c r="Q688" i="18" a="1"/>
  <c r="Q688" i="18" s="1"/>
  <c r="Q689" i="18" a="1"/>
  <c r="Q689" i="18"/>
  <c r="Q690" i="18" a="1"/>
  <c r="Q690" i="18" s="1"/>
  <c r="Q691" i="18" a="1"/>
  <c r="Q691" i="18" s="1"/>
  <c r="Q692" i="18" a="1"/>
  <c r="Q692" i="18" s="1"/>
  <c r="Q693" i="18" a="1"/>
  <c r="Q693" i="18" s="1"/>
  <c r="Q694" i="18" a="1"/>
  <c r="Q694" i="18" s="1"/>
  <c r="Q695" i="18" a="1"/>
  <c r="Q695" i="18" s="1"/>
  <c r="Q696" i="18" a="1"/>
  <c r="Q696" i="18" s="1"/>
  <c r="Q697" i="18" a="1"/>
  <c r="Q697" i="18"/>
  <c r="Q698" i="18" a="1"/>
  <c r="Q698" i="18" s="1"/>
  <c r="Q699" i="18" a="1"/>
  <c r="Q699" i="18"/>
  <c r="Q700" i="18" a="1"/>
  <c r="Q700" i="18" s="1"/>
  <c r="Q701" i="18" a="1"/>
  <c r="Q701" i="18"/>
  <c r="Q702" i="18" a="1"/>
  <c r="Q702" i="18" s="1"/>
  <c r="Q703" i="18" a="1"/>
  <c r="Q703" i="18"/>
  <c r="Q704" i="18" a="1"/>
  <c r="Q704" i="18" s="1"/>
  <c r="Q705" i="18" a="1"/>
  <c r="Q705" i="18"/>
  <c r="Q706" i="18" a="1"/>
  <c r="Q706" i="18" s="1"/>
  <c r="Q707" i="18" a="1"/>
  <c r="Q707" i="18" s="1"/>
  <c r="Q708" i="18" a="1"/>
  <c r="Q708" i="18" s="1"/>
  <c r="Q709" i="18" a="1"/>
  <c r="Q709" i="18" s="1"/>
  <c r="Q710" i="18" a="1"/>
  <c r="Q710" i="18" s="1"/>
  <c r="Q711" i="18" a="1"/>
  <c r="Q711" i="18" s="1"/>
  <c r="Q712" i="18" a="1"/>
  <c r="Q712" i="18" s="1"/>
  <c r="Q713" i="18" a="1"/>
  <c r="Q713" i="18"/>
  <c r="Q714" i="18" a="1"/>
  <c r="Q714" i="18" s="1"/>
  <c r="Q715" i="18" a="1"/>
  <c r="Q715" i="18"/>
  <c r="Q716" i="18" a="1"/>
  <c r="Q716" i="18" s="1"/>
  <c r="Q717" i="18" a="1"/>
  <c r="Q717" i="18"/>
  <c r="Q718" i="18" a="1"/>
  <c r="Q718" i="18" s="1"/>
  <c r="Q719" i="18" a="1"/>
  <c r="Q719" i="18"/>
  <c r="Q720" i="18" a="1"/>
  <c r="Q720" i="18" s="1"/>
  <c r="Q721" i="18" a="1"/>
  <c r="Q721" i="18"/>
  <c r="S12" i="18" a="1"/>
  <c r="S12" i="18" s="1"/>
  <c r="S114" i="18" a="1"/>
  <c r="S114" i="18" s="1"/>
  <c r="S158" i="18" a="1"/>
  <c r="S158" i="18" s="1"/>
  <c r="S202" i="18" a="1"/>
  <c r="S202" i="18" s="1"/>
  <c r="S216" i="18" a="1"/>
  <c r="S216" i="18" s="1"/>
  <c r="S243" i="18" a="1"/>
  <c r="S243" i="18" s="1"/>
  <c r="S248" i="18" a="1"/>
  <c r="S248" i="18" s="1"/>
  <c r="S255" i="18" a="1"/>
  <c r="S255" i="18" s="1"/>
  <c r="S266" i="18" a="1"/>
  <c r="S266" i="18" s="1"/>
  <c r="S271" i="18" a="1"/>
  <c r="S271" i="18" s="1"/>
  <c r="S277" i="18" a="1"/>
  <c r="S277" i="18" s="1"/>
  <c r="S289" i="18" a="1"/>
  <c r="S289" i="18" s="1"/>
  <c r="S294" i="18" a="1"/>
  <c r="S294" i="18" s="1"/>
  <c r="S301" i="18" a="1"/>
  <c r="S301" i="18" s="1"/>
  <c r="S306" i="18" a="1"/>
  <c r="S306" i="18" s="1"/>
  <c r="S318" i="18" a="1"/>
  <c r="S318" i="18" s="1"/>
  <c r="S330" i="18" a="1"/>
  <c r="S330" i="18" s="1"/>
  <c r="S335" i="18" a="1"/>
  <c r="S335" i="18" s="1"/>
  <c r="S341" i="18" a="1"/>
  <c r="S341" i="18" s="1"/>
  <c r="S353" i="18" a="1"/>
  <c r="S353" i="18" s="1"/>
  <c r="S358" i="18" a="1"/>
  <c r="S358" i="18" s="1"/>
  <c r="S365" i="18" a="1"/>
  <c r="S365" i="18" s="1"/>
  <c r="S370" i="18" a="1"/>
  <c r="S370" i="18" s="1"/>
  <c r="S375" i="18" a="1"/>
  <c r="S375" i="18" s="1"/>
  <c r="S388" i="18" a="1"/>
  <c r="S388" i="18" s="1"/>
  <c r="S395" i="18" a="1"/>
  <c r="S395" i="18" s="1"/>
  <c r="S403" i="18" a="1"/>
  <c r="S403" i="18" s="1"/>
  <c r="S410" i="18" a="1"/>
  <c r="S410" i="18" s="1"/>
  <c r="S417" i="18" a="1"/>
  <c r="S417" i="18" s="1"/>
  <c r="S425" i="18" a="1"/>
  <c r="S425" i="18" s="1"/>
  <c r="S433" i="18" a="1"/>
  <c r="S433" i="18" s="1"/>
  <c r="S441" i="18" a="1"/>
  <c r="S441" i="18" s="1"/>
  <c r="S447" i="18" a="1"/>
  <c r="S447" i="18" s="1"/>
  <c r="S455" i="18" a="1"/>
  <c r="S455" i="18" s="1"/>
  <c r="S463" i="18" a="1"/>
  <c r="S463" i="18" s="1"/>
  <c r="S471" i="18" a="1"/>
  <c r="S471" i="18" s="1"/>
  <c r="S485" i="18" a="1"/>
  <c r="S485" i="18" s="1"/>
  <c r="S492" i="18" a="1"/>
  <c r="S492" i="18" s="1"/>
  <c r="S500" i="18" a="1"/>
  <c r="S500" i="18" s="1"/>
  <c r="S507" i="18" a="1"/>
  <c r="S507" i="18" s="1"/>
  <c r="S514" i="18" a="1"/>
  <c r="S514" i="18" s="1"/>
  <c r="S521" i="18" a="1"/>
  <c r="S521" i="18" s="1"/>
  <c r="S529" i="18" a="1"/>
  <c r="S529" i="18" s="1"/>
  <c r="S537" i="18" a="1"/>
  <c r="S537" i="18" s="1"/>
  <c r="S543" i="18" a="1"/>
  <c r="S543" i="18" s="1"/>
  <c r="S550" i="18" a="1"/>
  <c r="S550" i="18" s="1"/>
  <c r="S558" i="18" a="1"/>
  <c r="S558" i="18" s="1"/>
  <c r="S566" i="18" a="1"/>
  <c r="S566" i="18" s="1"/>
  <c r="S581" i="18" a="1"/>
  <c r="S581" i="18" s="1"/>
  <c r="S588" i="18" a="1"/>
  <c r="S588" i="18" s="1"/>
  <c r="S596" i="18" a="1"/>
  <c r="S596" i="18" s="1"/>
  <c r="S604" i="18" a="1"/>
  <c r="S604" i="18" s="1"/>
  <c r="S611" i="18" a="1"/>
  <c r="S611" i="18" s="1"/>
  <c r="S618" i="18" a="1"/>
  <c r="S618" i="18" s="1"/>
  <c r="S626" i="18" a="1"/>
  <c r="S626" i="18" s="1"/>
  <c r="S634" i="18" a="1"/>
  <c r="S634" i="18" s="1"/>
  <c r="S641" i="18" a="1"/>
  <c r="S641" i="18" s="1"/>
  <c r="S648" i="18" a="1"/>
  <c r="S648" i="18" s="1"/>
  <c r="S656" i="18" a="1"/>
  <c r="S656" i="18" s="1"/>
  <c r="S664" i="18" a="1"/>
  <c r="S664" i="18" s="1"/>
  <c r="S671" i="18" a="1"/>
  <c r="S671" i="18" s="1"/>
  <c r="S678" i="18" a="1"/>
  <c r="S678" i="18" s="1"/>
  <c r="S686" i="18" a="1"/>
  <c r="S686" i="18" s="1"/>
  <c r="S694" i="18" a="1"/>
  <c r="S694" i="18" s="1"/>
  <c r="S709" i="18" a="1"/>
  <c r="S709" i="18" s="1"/>
  <c r="S716" i="18" a="1"/>
  <c r="S716" i="18" s="1"/>
  <c r="T4" i="18" a="1"/>
  <c r="T4" i="18" s="1"/>
  <c r="T12" i="18" a="1"/>
  <c r="T12" i="18" s="1"/>
  <c r="T19" i="18" a="1"/>
  <c r="T19" i="18" s="1"/>
  <c r="T26" i="18" a="1"/>
  <c r="T26" i="18" s="1"/>
  <c r="T34" i="18" a="1"/>
  <c r="T34" i="18" s="1"/>
  <c r="T42" i="18" a="1"/>
  <c r="T42" i="18" s="1"/>
  <c r="T49" i="18" a="1"/>
  <c r="T49" i="18" s="1"/>
  <c r="T56" i="18" a="1"/>
  <c r="T56" i="18" s="1"/>
  <c r="T63" i="18" a="1"/>
  <c r="T63" i="18" s="1"/>
  <c r="T71" i="18" a="1"/>
  <c r="T71" i="18" s="1"/>
  <c r="T78" i="18" a="1"/>
  <c r="T78" i="18" s="1"/>
  <c r="T93" i="18" a="1"/>
  <c r="T93" i="18" s="1"/>
  <c r="T101" i="18" a="1"/>
  <c r="T101" i="18" s="1"/>
  <c r="T109" i="18" a="1"/>
  <c r="T109" i="18" s="1"/>
  <c r="T116" i="18" a="1"/>
  <c r="T116" i="18" s="1"/>
  <c r="T123" i="18" a="1"/>
  <c r="T123" i="18" s="1"/>
  <c r="T131" i="18" a="1"/>
  <c r="T131" i="18" s="1"/>
  <c r="T139" i="18" a="1"/>
  <c r="T139" i="18" s="1"/>
  <c r="T146" i="18" a="1"/>
  <c r="T146" i="18" s="1"/>
  <c r="T153" i="18" a="1"/>
  <c r="T153" i="18" s="1"/>
  <c r="T156" i="18" a="1"/>
  <c r="T156" i="18" s="1"/>
  <c r="T159" i="18" a="1"/>
  <c r="T159" i="18" s="1"/>
  <c r="T163" i="18" a="1"/>
  <c r="T163" i="18" s="1"/>
  <c r="T166" i="18" a="1"/>
  <c r="T166" i="18" s="1"/>
  <c r="T178" i="18" a="1"/>
  <c r="T178" i="18" s="1"/>
  <c r="T183" i="18" a="1"/>
  <c r="T183" i="18" s="1"/>
  <c r="T185" i="18" a="1"/>
  <c r="T185" i="18" s="1"/>
  <c r="T188" i="18" a="1"/>
  <c r="T188" i="18" s="1"/>
  <c r="T191" i="18" a="1"/>
  <c r="T191" i="18" s="1"/>
  <c r="T195" i="18" a="1"/>
  <c r="T195" i="18" s="1"/>
  <c r="T198" i="18" a="1"/>
  <c r="T198" i="18" s="1"/>
  <c r="T202" i="18" a="1"/>
  <c r="T202" i="18" s="1"/>
  <c r="T206" i="18" a="1"/>
  <c r="T206" i="18" s="1"/>
  <c r="T208" i="18" a="1"/>
  <c r="T208" i="18" s="1"/>
  <c r="T210" i="18" a="1"/>
  <c r="T210" i="18" s="1"/>
  <c r="T213" i="18" a="1"/>
  <c r="T213" i="18" s="1"/>
  <c r="T215" i="18" a="1"/>
  <c r="T215" i="18" s="1"/>
  <c r="T216" i="18" a="1"/>
  <c r="T216" i="18" s="1"/>
  <c r="T217" i="18" a="1"/>
  <c r="T217" i="18" s="1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 s="1"/>
  <c r="T227" i="18" a="1"/>
  <c r="T227" i="18" s="1"/>
  <c r="T228" i="18" a="1"/>
  <c r="T228" i="18" s="1"/>
  <c r="T229" i="18" a="1"/>
  <c r="T229" i="18" s="1"/>
  <c r="T230" i="18" a="1"/>
  <c r="T230" i="18" s="1"/>
  <c r="T232" i="18" a="1"/>
  <c r="T232" i="18" s="1"/>
  <c r="T233" i="18" a="1"/>
  <c r="T233" i="18"/>
  <c r="T234" i="18" a="1"/>
  <c r="T234" i="18" s="1"/>
  <c r="T235" i="18" a="1"/>
  <c r="T235" i="18"/>
  <c r="T237" i="18" a="1"/>
  <c r="T237" i="18" s="1"/>
  <c r="T238" i="18" a="1"/>
  <c r="T238" i="18" s="1"/>
  <c r="T239" i="18" a="1"/>
  <c r="T239" i="18"/>
  <c r="T240" i="18" a="1"/>
  <c r="T240" i="18" s="1"/>
  <c r="T241" i="18" a="1"/>
  <c r="T241" i="18" s="1"/>
  <c r="T242" i="18" a="1"/>
  <c r="T242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 s="1"/>
  <c r="T250" i="18" a="1"/>
  <c r="T250" i="18" s="1"/>
  <c r="T251" i="18" a="1"/>
  <c r="T251" i="18" s="1"/>
  <c r="T252" i="18" a="1"/>
  <c r="T252" i="18" s="1"/>
  <c r="T253" i="18" a="1"/>
  <c r="T253" i="18" s="1"/>
  <c r="T254" i="18" a="1"/>
  <c r="T254" i="18" s="1"/>
  <c r="T255" i="18" a="1"/>
  <c r="T255" i="18"/>
  <c r="T256" i="18" a="1"/>
  <c r="T256" i="18" s="1"/>
  <c r="T257" i="18" a="1"/>
  <c r="T257" i="18" s="1"/>
  <c r="T258" i="18" a="1"/>
  <c r="T258" i="18" s="1"/>
  <c r="T259" i="18" a="1"/>
  <c r="T259" i="18" s="1"/>
  <c r="T260" i="18" a="1"/>
  <c r="T260" i="18" s="1"/>
  <c r="T261" i="18" a="1"/>
  <c r="T261" i="18" s="1"/>
  <c r="T262" i="18" a="1"/>
  <c r="T262" i="18" s="1"/>
  <c r="T263" i="18" a="1"/>
  <c r="T263" i="18"/>
  <c r="T264" i="18" a="1"/>
  <c r="T264" i="18" s="1"/>
  <c r="T265" i="18" a="1"/>
  <c r="T265" i="18" s="1"/>
  <c r="T266" i="18" a="1"/>
  <c r="T266" i="18" s="1"/>
  <c r="T267" i="18" a="1"/>
  <c r="T267" i="18" s="1"/>
  <c r="T268" i="18" a="1"/>
  <c r="T268" i="18" s="1"/>
  <c r="T269" i="18" a="1"/>
  <c r="T269" i="18" s="1"/>
  <c r="T270" i="18" a="1"/>
  <c r="T270" i="18" s="1"/>
  <c r="T271" i="18" a="1"/>
  <c r="T271" i="18" s="1"/>
  <c r="T272" i="18" a="1"/>
  <c r="T272" i="18" s="1"/>
  <c r="T273" i="18" a="1"/>
  <c r="T273" i="18" s="1"/>
  <c r="T274" i="18" a="1"/>
  <c r="T274" i="18" s="1"/>
  <c r="T275" i="18" a="1"/>
  <c r="T275" i="18" s="1"/>
  <c r="T276" i="18" a="1"/>
  <c r="T276" i="18" s="1"/>
  <c r="T277" i="18" a="1"/>
  <c r="T277" i="18" s="1"/>
  <c r="T278" i="18" a="1"/>
  <c r="T278" i="18" s="1"/>
  <c r="T279" i="18" a="1"/>
  <c r="T279" i="18"/>
  <c r="T280" i="18" a="1"/>
  <c r="T280" i="18" s="1"/>
  <c r="T281" i="18" a="1"/>
  <c r="T281" i="18"/>
  <c r="T282" i="18" a="1"/>
  <c r="T282" i="18" s="1"/>
  <c r="T283" i="18" a="1"/>
  <c r="T283" i="18" s="1"/>
  <c r="T284" i="18" a="1"/>
  <c r="T284" i="18" s="1"/>
  <c r="T285" i="18" a="1"/>
  <c r="T285" i="18" s="1"/>
  <c r="T286" i="18" a="1"/>
  <c r="T286" i="18" s="1"/>
  <c r="T287" i="18" a="1"/>
  <c r="T287" i="18" s="1"/>
  <c r="T288" i="18" a="1"/>
  <c r="T288" i="18" s="1"/>
  <c r="T289" i="18" a="1"/>
  <c r="T289" i="18" s="1"/>
  <c r="T290" i="18" a="1"/>
  <c r="T290" i="18" s="1"/>
  <c r="T291" i="18" a="1"/>
  <c r="T291" i="18" s="1"/>
  <c r="T292" i="18" a="1"/>
  <c r="T292" i="18" s="1"/>
  <c r="T293" i="18" a="1"/>
  <c r="T293" i="18" s="1"/>
  <c r="T294" i="18" a="1"/>
  <c r="T294" i="18" s="1"/>
  <c r="T295" i="18" a="1"/>
  <c r="T295" i="18"/>
  <c r="T296" i="18" a="1"/>
  <c r="T296" i="18" s="1"/>
  <c r="T297" i="18" a="1"/>
  <c r="T297" i="18"/>
  <c r="T298" i="18" a="1"/>
  <c r="T298" i="18" s="1"/>
  <c r="T299" i="18" a="1"/>
  <c r="T299" i="18"/>
  <c r="T300" i="18" a="1"/>
  <c r="T300" i="18" s="1"/>
  <c r="T301" i="18" a="1"/>
  <c r="T301" i="18" s="1"/>
  <c r="T302" i="18" a="1"/>
  <c r="T302" i="18" s="1"/>
  <c r="T303" i="18" a="1"/>
  <c r="T303" i="18" s="1"/>
  <c r="T304" i="18" a="1"/>
  <c r="T304" i="18" s="1"/>
  <c r="T305" i="18" a="1"/>
  <c r="T305" i="18" s="1"/>
  <c r="T306" i="18" a="1"/>
  <c r="T306" i="18" s="1"/>
  <c r="T307" i="18" a="1"/>
  <c r="T307" i="18" s="1"/>
  <c r="T308" i="18" a="1"/>
  <c r="T308" i="18" s="1"/>
  <c r="T309" i="18" a="1"/>
  <c r="T309" i="18" s="1"/>
  <c r="T310" i="18" a="1"/>
  <c r="T310" i="18" s="1"/>
  <c r="T311" i="18" a="1"/>
  <c r="T311" i="18"/>
  <c r="T312" i="18" a="1"/>
  <c r="T312" i="18" s="1"/>
  <c r="T313" i="18" a="1"/>
  <c r="T313" i="18"/>
  <c r="T314" i="18" a="1"/>
  <c r="T314" i="18" s="1"/>
  <c r="T315" i="18" a="1"/>
  <c r="T315" i="18"/>
  <c r="T316" i="18" a="1"/>
  <c r="T316" i="18" s="1"/>
  <c r="T317" i="18" a="1"/>
  <c r="T317" i="18"/>
  <c r="T318" i="18" a="1"/>
  <c r="T318" i="18" s="1"/>
  <c r="T319" i="18" a="1"/>
  <c r="T319" i="18" s="1"/>
  <c r="T320" i="18" a="1"/>
  <c r="T320" i="18" s="1"/>
  <c r="T321" i="18" a="1"/>
  <c r="T321" i="18" s="1"/>
  <c r="T322" i="18" a="1"/>
  <c r="T322" i="18" s="1"/>
  <c r="T323" i="18" a="1"/>
  <c r="T323" i="18" s="1"/>
  <c r="T324" i="18" a="1"/>
  <c r="T324" i="18" s="1"/>
  <c r="T325" i="18" a="1"/>
  <c r="T325" i="18" s="1"/>
  <c r="T326" i="18" a="1"/>
  <c r="T326" i="18" s="1"/>
  <c r="T327" i="18" a="1"/>
  <c r="T327" i="18"/>
  <c r="T328" i="18" a="1"/>
  <c r="T328" i="18" s="1"/>
  <c r="T329" i="18" a="1"/>
  <c r="T329" i="18"/>
  <c r="T330" i="18" a="1"/>
  <c r="T330" i="18" s="1"/>
  <c r="T331" i="18" a="1"/>
  <c r="T331" i="18"/>
  <c r="T332" i="18" a="1"/>
  <c r="T332" i="18" s="1"/>
  <c r="T333" i="18" a="1"/>
  <c r="T333" i="18"/>
  <c r="T334" i="18" a="1"/>
  <c r="T334" i="18" s="1"/>
  <c r="T335" i="18" a="1"/>
  <c r="T335" i="18"/>
  <c r="T336" i="18" a="1"/>
  <c r="T336" i="18" s="1"/>
  <c r="T337" i="18" a="1"/>
  <c r="T337" i="18" s="1"/>
  <c r="T338" i="18" a="1"/>
  <c r="T338" i="18" s="1"/>
  <c r="T339" i="18" a="1"/>
  <c r="T339" i="18" s="1"/>
  <c r="T340" i="18" a="1"/>
  <c r="T340" i="18" s="1"/>
  <c r="T341" i="18" a="1"/>
  <c r="T341" i="18" s="1"/>
  <c r="T342" i="18" a="1"/>
  <c r="T342" i="18" s="1"/>
  <c r="T343" i="18" a="1"/>
  <c r="T343" i="18" s="1"/>
  <c r="T344" i="18" a="1"/>
  <c r="T344" i="18" s="1"/>
  <c r="T345" i="18" a="1"/>
  <c r="T345" i="18"/>
  <c r="T346" i="18" a="1"/>
  <c r="T346" i="18" s="1"/>
  <c r="T347" i="18" a="1"/>
  <c r="T347" i="18"/>
  <c r="T348" i="18" a="1"/>
  <c r="T348" i="18" s="1"/>
  <c r="T349" i="18" a="1"/>
  <c r="T349" i="18"/>
  <c r="T350" i="18" a="1"/>
  <c r="T350" i="18" s="1"/>
  <c r="T351" i="18" a="1"/>
  <c r="T351" i="18"/>
  <c r="T352" i="18" a="1"/>
  <c r="T352" i="18" s="1"/>
  <c r="T353" i="18" a="1"/>
  <c r="T353" i="18" s="1"/>
  <c r="T354" i="18" a="1"/>
  <c r="T354" i="18" s="1"/>
  <c r="T355" i="18" a="1"/>
  <c r="T355" i="18" s="1"/>
  <c r="T356" i="18" a="1"/>
  <c r="T356" i="18" s="1"/>
  <c r="T357" i="18" a="1"/>
  <c r="T357" i="18" s="1"/>
  <c r="T358" i="18" a="1"/>
  <c r="T358" i="18" s="1"/>
  <c r="T359" i="18" a="1"/>
  <c r="T359" i="18" s="1"/>
  <c r="T360" i="18" a="1"/>
  <c r="T360" i="18" s="1"/>
  <c r="T361" i="18" a="1"/>
  <c r="T361" i="18" s="1"/>
  <c r="T362" i="18" a="1"/>
  <c r="T362" i="18" s="1"/>
  <c r="T363" i="18" a="1"/>
  <c r="T363" i="18"/>
  <c r="T364" i="18" a="1"/>
  <c r="T364" i="18" s="1"/>
  <c r="T365" i="18" a="1"/>
  <c r="T365" i="18"/>
  <c r="T366" i="18" a="1"/>
  <c r="T366" i="18" s="1"/>
  <c r="T367" i="18" a="1"/>
  <c r="T367" i="18"/>
  <c r="T368" i="18" a="1"/>
  <c r="T368" i="18" s="1"/>
  <c r="T369" i="18" a="1"/>
  <c r="T369" i="18" s="1"/>
  <c r="T370" i="18" a="1"/>
  <c r="T370" i="18" s="1"/>
  <c r="T371" i="18" a="1"/>
  <c r="T371" i="18" s="1"/>
  <c r="T372" i="18" a="1"/>
  <c r="T372" i="18" s="1"/>
  <c r="T373" i="18" a="1"/>
  <c r="T373" i="18" s="1"/>
  <c r="T374" i="18" a="1"/>
  <c r="T374" i="18" s="1"/>
  <c r="T375" i="18" a="1"/>
  <c r="T375" i="18" s="1"/>
  <c r="T376" i="18" a="1"/>
  <c r="T376" i="18" s="1"/>
  <c r="T377" i="18" a="1"/>
  <c r="T377" i="18" s="1"/>
  <c r="T378" i="18" a="1"/>
  <c r="T378" i="18" s="1"/>
  <c r="T379" i="18" a="1"/>
  <c r="T379" i="18" s="1"/>
  <c r="T380" i="18" a="1"/>
  <c r="T380" i="18" s="1"/>
  <c r="T381" i="18" a="1"/>
  <c r="T381" i="18" s="1"/>
  <c r="T382" i="18" a="1"/>
  <c r="T382" i="18" s="1"/>
  <c r="T383" i="18" a="1"/>
  <c r="T383" i="18"/>
  <c r="T384" i="18" a="1"/>
  <c r="T384" i="18" s="1"/>
  <c r="T385" i="18" a="1"/>
  <c r="T385" i="18" s="1"/>
  <c r="T386" i="18" a="1"/>
  <c r="T386" i="18" s="1"/>
  <c r="T387" i="18" a="1"/>
  <c r="T387" i="18" s="1"/>
  <c r="T388" i="18" a="1"/>
  <c r="T388" i="18" s="1"/>
  <c r="T389" i="18" a="1"/>
  <c r="T389" i="18" s="1"/>
  <c r="T390" i="18" a="1"/>
  <c r="T390" i="18" s="1"/>
  <c r="T391" i="18" a="1"/>
  <c r="T391" i="18"/>
  <c r="T392" i="18" a="1"/>
  <c r="T392" i="18" s="1"/>
  <c r="T393" i="18" a="1"/>
  <c r="T393" i="18" s="1"/>
  <c r="T394" i="18" a="1"/>
  <c r="T394" i="18" s="1"/>
  <c r="T395" i="18" a="1"/>
  <c r="T395" i="18" s="1"/>
  <c r="T396" i="18" a="1"/>
  <c r="T396" i="18" s="1"/>
  <c r="T397" i="18" a="1"/>
  <c r="T397" i="18" s="1"/>
  <c r="T398" i="18" a="1"/>
  <c r="T398" i="18" s="1"/>
  <c r="T399" i="18" a="1"/>
  <c r="T399" i="18" s="1"/>
  <c r="T400" i="18" a="1"/>
  <c r="T400" i="18" s="1"/>
  <c r="T401" i="18" a="1"/>
  <c r="T401" i="18" s="1"/>
  <c r="T402" i="18" a="1"/>
  <c r="T402" i="18" s="1"/>
  <c r="T403" i="18" a="1"/>
  <c r="T403" i="18" s="1"/>
  <c r="T404" i="18" a="1"/>
  <c r="T404" i="18" s="1"/>
  <c r="T405" i="18" a="1"/>
  <c r="T405" i="18" s="1"/>
  <c r="T406" i="18" a="1"/>
  <c r="T406" i="18" s="1"/>
  <c r="T407" i="18" a="1"/>
  <c r="T407" i="18"/>
  <c r="T408" i="18" a="1"/>
  <c r="T408" i="18" s="1"/>
  <c r="T409" i="18" a="1"/>
  <c r="T409" i="18"/>
  <c r="T410" i="18" a="1"/>
  <c r="T410" i="18" s="1"/>
  <c r="T411" i="18" a="1"/>
  <c r="T411" i="18" s="1"/>
  <c r="T412" i="18" a="1"/>
  <c r="T412" i="18" s="1"/>
  <c r="T413" i="18" a="1"/>
  <c r="T413" i="18" s="1"/>
  <c r="T414" i="18" a="1"/>
  <c r="T414" i="18" s="1"/>
  <c r="T415" i="18" a="1"/>
  <c r="T415" i="18" s="1"/>
  <c r="T416" i="18" a="1"/>
  <c r="T416" i="18" s="1"/>
  <c r="T417" i="18" a="1"/>
  <c r="T417" i="18" s="1"/>
  <c r="T418" i="18" a="1"/>
  <c r="T418" i="18" s="1"/>
  <c r="T419" i="18" a="1"/>
  <c r="T419" i="18" s="1"/>
  <c r="T420" i="18" a="1"/>
  <c r="T420" i="18" s="1"/>
  <c r="T421" i="18" a="1"/>
  <c r="T421" i="18" s="1"/>
  <c r="T422" i="18" a="1"/>
  <c r="T422" i="18" s="1"/>
  <c r="T423" i="18" a="1"/>
  <c r="T423" i="18"/>
  <c r="T424" i="18" a="1"/>
  <c r="T424" i="18" s="1"/>
  <c r="T425" i="18" a="1"/>
  <c r="T425" i="18"/>
  <c r="T426" i="18" a="1"/>
  <c r="T426" i="18" s="1"/>
  <c r="T427" i="18" a="1"/>
  <c r="T427" i="18"/>
  <c r="T428" i="18" a="1"/>
  <c r="T428" i="18" s="1"/>
  <c r="T429" i="18" a="1"/>
  <c r="T429" i="18" s="1"/>
  <c r="T430" i="18" a="1"/>
  <c r="T430" i="18" s="1"/>
  <c r="T431" i="18" a="1"/>
  <c r="T431" i="18" s="1"/>
  <c r="T432" i="18" a="1"/>
  <c r="T432" i="18" s="1"/>
  <c r="T433" i="18" a="1"/>
  <c r="T433" i="18" s="1"/>
  <c r="T434" i="18" a="1"/>
  <c r="T434" i="18" s="1"/>
  <c r="T435" i="18" a="1"/>
  <c r="T435" i="18" s="1"/>
  <c r="T436" i="18" a="1"/>
  <c r="T436" i="18" s="1"/>
  <c r="T437" i="18" a="1"/>
  <c r="T437" i="18" s="1"/>
  <c r="T438" i="18" a="1"/>
  <c r="T438" i="18" s="1"/>
  <c r="T439" i="18" a="1"/>
  <c r="T439" i="18"/>
  <c r="T440" i="18" a="1"/>
  <c r="T440" i="18" s="1"/>
  <c r="T441" i="18" a="1"/>
  <c r="T441" i="18"/>
  <c r="T442" i="18" a="1"/>
  <c r="T442" i="18" s="1"/>
  <c r="T443" i="18" a="1"/>
  <c r="T443" i="18"/>
  <c r="T444" i="18" a="1"/>
  <c r="T444" i="18" s="1"/>
  <c r="T445" i="18" a="1"/>
  <c r="T445" i="18"/>
  <c r="T446" i="18" a="1"/>
  <c r="T446" i="18" s="1"/>
  <c r="T447" i="18" a="1"/>
  <c r="T447" i="18" s="1"/>
  <c r="T448" i="18" a="1"/>
  <c r="T448" i="18" s="1"/>
  <c r="T449" i="18" a="1"/>
  <c r="T449" i="18" s="1"/>
  <c r="T450" i="18" a="1"/>
  <c r="T450" i="18" s="1"/>
  <c r="T451" i="18" a="1"/>
  <c r="T451" i="18" s="1"/>
  <c r="T452" i="18" a="1"/>
  <c r="T452" i="18" s="1"/>
  <c r="T453" i="18" a="1"/>
  <c r="T453" i="18" s="1"/>
  <c r="T454" i="18" a="1"/>
  <c r="T454" i="18" s="1"/>
  <c r="T455" i="18" a="1"/>
  <c r="T455" i="18"/>
  <c r="T456" i="18" a="1"/>
  <c r="T456" i="18" s="1"/>
  <c r="T457" i="18" a="1"/>
  <c r="T457" i="18"/>
  <c r="T458" i="18" a="1"/>
  <c r="T458" i="18" s="1"/>
  <c r="T459" i="18" a="1"/>
  <c r="T459" i="18"/>
  <c r="T460" i="18" a="1"/>
  <c r="T460" i="18" s="1"/>
  <c r="T461" i="18" a="1"/>
  <c r="T461" i="18"/>
  <c r="T462" i="18" a="1"/>
  <c r="T462" i="18" s="1"/>
  <c r="T463" i="18" a="1"/>
  <c r="T463" i="18"/>
  <c r="T464" i="18" a="1"/>
  <c r="T464" i="18" s="1"/>
  <c r="T465" i="18" a="1"/>
  <c r="T465" i="18" s="1"/>
  <c r="T466" i="18" a="1"/>
  <c r="T466" i="18" s="1"/>
  <c r="T467" i="18" a="1"/>
  <c r="T467" i="18" s="1"/>
  <c r="T468" i="18" a="1"/>
  <c r="T468" i="18" s="1"/>
  <c r="T469" i="18" a="1"/>
  <c r="T469" i="18" s="1"/>
  <c r="T470" i="18" a="1"/>
  <c r="T470" i="18" s="1"/>
  <c r="T471" i="18" a="1"/>
  <c r="T471" i="18" s="1"/>
  <c r="T472" i="18" a="1"/>
  <c r="T472" i="18" s="1"/>
  <c r="T473" i="18" a="1"/>
  <c r="T473" i="18"/>
  <c r="T474" i="18" a="1"/>
  <c r="T474" i="18" s="1"/>
  <c r="T475" i="18" a="1"/>
  <c r="T475" i="18"/>
  <c r="T476" i="18" a="1"/>
  <c r="T476" i="18" s="1"/>
  <c r="T477" i="18" a="1"/>
  <c r="T477" i="18"/>
  <c r="T478" i="18" a="1"/>
  <c r="T478" i="18" s="1"/>
  <c r="T479" i="18" a="1"/>
  <c r="T479" i="18"/>
  <c r="T480" i="18" a="1"/>
  <c r="T480" i="18" s="1"/>
  <c r="T481" i="18" a="1"/>
  <c r="T481" i="18" s="1"/>
  <c r="T482" i="18" a="1"/>
  <c r="T482" i="18" s="1"/>
  <c r="T483" i="18" a="1"/>
  <c r="T483" i="18" s="1"/>
  <c r="T484" i="18" a="1"/>
  <c r="T484" i="18" s="1"/>
  <c r="T485" i="18" a="1"/>
  <c r="T485" i="18" s="1"/>
  <c r="T486" i="18" a="1"/>
  <c r="T486" i="18" s="1"/>
  <c r="T487" i="18" a="1"/>
  <c r="T487" i="18" s="1"/>
  <c r="T488" i="18" a="1"/>
  <c r="T488" i="18" s="1"/>
  <c r="T489" i="18" a="1"/>
  <c r="T489" i="18" s="1"/>
  <c r="T490" i="18" a="1"/>
  <c r="T490" i="18" s="1"/>
  <c r="T491" i="18" a="1"/>
  <c r="T491" i="18" s="1"/>
  <c r="T492" i="18" a="1"/>
  <c r="T492" i="18" s="1"/>
  <c r="T493" i="18" a="1"/>
  <c r="T493" i="18"/>
  <c r="T494" i="18" a="1"/>
  <c r="T494" i="18" s="1"/>
  <c r="T495" i="18" a="1"/>
  <c r="T495" i="18"/>
  <c r="T496" i="18" a="1"/>
  <c r="T496" i="18" s="1"/>
  <c r="T497" i="18" a="1"/>
  <c r="T497" i="18" s="1"/>
  <c r="T498" i="18" a="1"/>
  <c r="T498" i="18" s="1"/>
  <c r="T499" i="18" a="1"/>
  <c r="T499" i="18" s="1"/>
  <c r="T500" i="18" a="1"/>
  <c r="T500" i="18" s="1"/>
  <c r="T501" i="18" a="1"/>
  <c r="T501" i="18" s="1"/>
  <c r="T502" i="18" a="1"/>
  <c r="T502" i="18" s="1"/>
  <c r="T503" i="18" a="1"/>
  <c r="T503" i="18" s="1"/>
  <c r="T504" i="18" a="1"/>
  <c r="T504" i="18" s="1"/>
  <c r="T505" i="18" a="1"/>
  <c r="T505" i="18" s="1"/>
  <c r="T506" i="18" a="1"/>
  <c r="T506" i="18" s="1"/>
  <c r="T507" i="18" a="1"/>
  <c r="T507" i="18" s="1"/>
  <c r="T508" i="18" a="1"/>
  <c r="T508" i="18" s="1"/>
  <c r="T509" i="18" a="1"/>
  <c r="T509" i="18" s="1"/>
  <c r="T510" i="18" a="1"/>
  <c r="T510" i="18" s="1"/>
  <c r="T511" i="18" a="1"/>
  <c r="T511" i="18"/>
  <c r="T512" i="18" a="1"/>
  <c r="T512" i="18" s="1"/>
  <c r="T513" i="18" a="1"/>
  <c r="T513" i="18" s="1"/>
  <c r="T514" i="18" a="1"/>
  <c r="T514" i="18" s="1"/>
  <c r="T515" i="18" a="1"/>
  <c r="T515" i="18" s="1"/>
  <c r="T516" i="18" a="1"/>
  <c r="T516" i="18" s="1"/>
  <c r="T517" i="18" a="1"/>
  <c r="T517" i="18" s="1"/>
  <c r="T518" i="18" a="1"/>
  <c r="T518" i="18" s="1"/>
  <c r="T519" i="18" a="1"/>
  <c r="T519" i="18"/>
  <c r="T520" i="18" a="1"/>
  <c r="T520" i="18" s="1"/>
  <c r="T521" i="18" a="1"/>
  <c r="T521" i="18" s="1"/>
  <c r="T522" i="18" a="1"/>
  <c r="T522" i="18" s="1"/>
  <c r="T523" i="18" a="1"/>
  <c r="T523" i="18" s="1"/>
  <c r="T524" i="18" a="1"/>
  <c r="T524" i="18" s="1"/>
  <c r="T525" i="18" a="1"/>
  <c r="T525" i="18" s="1"/>
  <c r="T526" i="18" a="1"/>
  <c r="T526" i="18" s="1"/>
  <c r="T527" i="18" a="1"/>
  <c r="T527" i="18" s="1"/>
  <c r="T528" i="18" a="1"/>
  <c r="T528" i="18" s="1"/>
  <c r="T529" i="18" a="1"/>
  <c r="T529" i="18" s="1"/>
  <c r="T530" i="18" a="1"/>
  <c r="T530" i="18" s="1"/>
  <c r="T531" i="18" a="1"/>
  <c r="T531" i="18" s="1"/>
  <c r="T532" i="18" a="1"/>
  <c r="T532" i="18" s="1"/>
  <c r="T533" i="18" a="1"/>
  <c r="T533" i="18" s="1"/>
  <c r="T534" i="18" a="1"/>
  <c r="T534" i="18" s="1"/>
  <c r="T535" i="18" a="1"/>
  <c r="T535" i="18"/>
  <c r="T536" i="18" a="1"/>
  <c r="T536" i="18" s="1"/>
  <c r="T537" i="18" a="1"/>
  <c r="T537" i="18"/>
  <c r="T538" i="18" a="1"/>
  <c r="T538" i="18" s="1"/>
  <c r="T539" i="18" a="1"/>
  <c r="T539" i="18" s="1"/>
  <c r="T540" i="18" a="1"/>
  <c r="T540" i="18" s="1"/>
  <c r="T541" i="18" a="1"/>
  <c r="T541" i="18" s="1"/>
  <c r="T542" i="18" a="1"/>
  <c r="T542" i="18" s="1"/>
  <c r="T543" i="18" a="1"/>
  <c r="T543" i="18" s="1"/>
  <c r="T544" i="18" a="1"/>
  <c r="T544" i="18" s="1"/>
  <c r="T545" i="18" a="1"/>
  <c r="T545" i="18" s="1"/>
  <c r="T546" i="18" a="1"/>
  <c r="T546" i="18" s="1"/>
  <c r="T547" i="18" a="1"/>
  <c r="T547" i="18" s="1"/>
  <c r="T548" i="18" a="1"/>
  <c r="T548" i="18" s="1"/>
  <c r="T549" i="18" a="1"/>
  <c r="T549" i="18" s="1"/>
  <c r="T550" i="18" a="1"/>
  <c r="T550" i="18" s="1"/>
  <c r="T551" i="18" a="1"/>
  <c r="T551" i="18"/>
  <c r="T552" i="18" a="1"/>
  <c r="T552" i="18" s="1"/>
  <c r="T553" i="18" a="1"/>
  <c r="T553" i="18"/>
  <c r="T554" i="18" a="1"/>
  <c r="T554" i="18" s="1"/>
  <c r="T555" i="18" a="1"/>
  <c r="T555" i="18"/>
  <c r="T556" i="18" a="1"/>
  <c r="T556" i="18" s="1"/>
  <c r="T557" i="18" a="1"/>
  <c r="T557" i="18" s="1"/>
  <c r="T558" i="18" a="1"/>
  <c r="T558" i="18" s="1"/>
  <c r="T559" i="18" a="1"/>
  <c r="T559" i="18" s="1"/>
  <c r="T560" i="18" a="1"/>
  <c r="T560" i="18" s="1"/>
  <c r="T561" i="18" a="1"/>
  <c r="T561" i="18" s="1"/>
  <c r="T562" i="18" a="1"/>
  <c r="T562" i="18" s="1"/>
  <c r="T563" i="18" a="1"/>
  <c r="T563" i="18" s="1"/>
  <c r="T564" i="18" a="1"/>
  <c r="T564" i="18" s="1"/>
  <c r="T565" i="18" a="1"/>
  <c r="T565" i="18" s="1"/>
  <c r="T566" i="18" a="1"/>
  <c r="T566" i="18" s="1"/>
  <c r="T567" i="18" a="1"/>
  <c r="T567" i="18"/>
  <c r="T568" i="18" a="1"/>
  <c r="T568" i="18" s="1"/>
  <c r="T569" i="18" a="1"/>
  <c r="T569" i="18"/>
  <c r="T570" i="18" a="1"/>
  <c r="T570" i="18" s="1"/>
  <c r="T571" i="18" a="1"/>
  <c r="T571" i="18"/>
  <c r="T572" i="18" a="1"/>
  <c r="T572" i="18" s="1"/>
  <c r="T573" i="18" a="1"/>
  <c r="T573" i="18"/>
  <c r="T574" i="18" a="1"/>
  <c r="T574" i="18" s="1"/>
  <c r="T575" i="18" a="1"/>
  <c r="T575" i="18" s="1"/>
  <c r="T576" i="18" a="1"/>
  <c r="T576" i="18" s="1"/>
  <c r="T577" i="18" a="1"/>
  <c r="T577" i="18" s="1"/>
  <c r="T578" i="18" a="1"/>
  <c r="T578" i="18" s="1"/>
  <c r="T579" i="18" a="1"/>
  <c r="T579" i="18" s="1"/>
  <c r="T580" i="18" a="1"/>
  <c r="T580" i="18" s="1"/>
  <c r="T581" i="18" a="1"/>
  <c r="T581" i="18" s="1"/>
  <c r="T582" i="18" a="1"/>
  <c r="T582" i="18" s="1"/>
  <c r="T583" i="18" a="1"/>
  <c r="T583" i="18"/>
  <c r="T584" i="18" a="1"/>
  <c r="T584" i="18" s="1"/>
  <c r="T585" i="18" a="1"/>
  <c r="T585" i="18"/>
  <c r="T586" i="18" a="1"/>
  <c r="T586" i="18" s="1"/>
  <c r="T587" i="18" a="1"/>
  <c r="T587" i="18"/>
  <c r="T588" i="18" a="1"/>
  <c r="T588" i="18" s="1"/>
  <c r="T589" i="18" a="1"/>
  <c r="T589" i="18"/>
  <c r="T590" i="18" a="1"/>
  <c r="T590" i="18" s="1"/>
  <c r="T591" i="18" a="1"/>
  <c r="T591" i="18" s="1"/>
  <c r="T592" i="18" a="1"/>
  <c r="T592" i="18" s="1"/>
  <c r="T593" i="18" a="1"/>
  <c r="T593" i="18" s="1"/>
  <c r="T594" i="18" a="1"/>
  <c r="T594" i="18" s="1"/>
  <c r="T595" i="18" a="1"/>
  <c r="T595" i="18" s="1"/>
  <c r="T596" i="18" a="1"/>
  <c r="T596" i="18" s="1"/>
  <c r="T597" i="18" a="1"/>
  <c r="T597" i="18" s="1"/>
  <c r="T598" i="18" a="1"/>
  <c r="T598" i="18" s="1"/>
  <c r="T599" i="18" a="1"/>
  <c r="T599" i="18" s="1"/>
  <c r="T600" i="18" a="1"/>
  <c r="T600" i="18" s="1"/>
  <c r="T601" i="18" a="1"/>
  <c r="T601" i="18"/>
  <c r="T602" i="18" a="1"/>
  <c r="T602" i="18" s="1"/>
  <c r="T603" i="18" a="1"/>
  <c r="T603" i="18"/>
  <c r="T604" i="18" a="1"/>
  <c r="T604" i="18" s="1"/>
  <c r="T605" i="18" a="1"/>
  <c r="T605" i="18"/>
  <c r="T606" i="18" a="1"/>
  <c r="T606" i="18" s="1"/>
  <c r="T607" i="18" a="1"/>
  <c r="T607" i="18"/>
  <c r="T608" i="18" a="1"/>
  <c r="T608" i="18" s="1"/>
  <c r="T609" i="18" a="1"/>
  <c r="T609" i="18" s="1"/>
  <c r="T610" i="18" a="1"/>
  <c r="T610" i="18" s="1"/>
  <c r="T611" i="18" a="1"/>
  <c r="T611" i="18" s="1"/>
  <c r="T612" i="18" a="1"/>
  <c r="T612" i="18" s="1"/>
  <c r="T613" i="18" a="1"/>
  <c r="T613" i="18" s="1"/>
  <c r="T614" i="18" a="1"/>
  <c r="T614" i="18" s="1"/>
  <c r="T615" i="18" a="1"/>
  <c r="T615" i="18" s="1"/>
  <c r="T616" i="18" a="1"/>
  <c r="T616" i="18" s="1"/>
  <c r="T617" i="18" a="1"/>
  <c r="T617" i="18" s="1"/>
  <c r="T618" i="18" a="1"/>
  <c r="T618" i="18" s="1"/>
  <c r="T619" i="18" a="1"/>
  <c r="T619" i="18" s="1"/>
  <c r="T620" i="18" a="1"/>
  <c r="T620" i="18" s="1"/>
  <c r="T621" i="18" a="1"/>
  <c r="T621" i="18"/>
  <c r="T622" i="18" a="1"/>
  <c r="T622" i="18" s="1"/>
  <c r="T623" i="18" a="1"/>
  <c r="T623" i="18"/>
  <c r="T624" i="18" a="1"/>
  <c r="T624" i="18" s="1"/>
  <c r="T625" i="18" a="1"/>
  <c r="T625" i="18" s="1"/>
  <c r="T626" i="18" a="1"/>
  <c r="T626" i="18" s="1"/>
  <c r="T627" i="18" a="1"/>
  <c r="T627" i="18" s="1"/>
  <c r="T628" i="18" a="1"/>
  <c r="T628" i="18" s="1"/>
  <c r="T629" i="18" a="1"/>
  <c r="T629" i="18" s="1"/>
  <c r="T630" i="18" a="1"/>
  <c r="T630" i="18" s="1"/>
  <c r="T631" i="18" a="1"/>
  <c r="T631" i="18" s="1"/>
  <c r="T632" i="18" a="1"/>
  <c r="T632" i="18" s="1"/>
  <c r="T633" i="18" a="1"/>
  <c r="T633" i="18" s="1"/>
  <c r="T634" i="18" a="1"/>
  <c r="T634" i="18" s="1"/>
  <c r="T635" i="18" a="1"/>
  <c r="T635" i="18" s="1"/>
  <c r="T636" i="18" a="1"/>
  <c r="T636" i="18" s="1"/>
  <c r="T637" i="18" a="1"/>
  <c r="T637" i="18" s="1"/>
  <c r="T638" i="18" a="1"/>
  <c r="T638" i="18" s="1"/>
  <c r="T639" i="18" a="1"/>
  <c r="T639" i="18"/>
  <c r="T640" i="18" a="1"/>
  <c r="T640" i="18" s="1"/>
  <c r="T641" i="18" a="1"/>
  <c r="T641" i="18" s="1"/>
  <c r="T642" i="18" a="1"/>
  <c r="T642" i="18" s="1"/>
  <c r="T643" i="18" a="1"/>
  <c r="T643" i="18" s="1"/>
  <c r="T644" i="18" a="1"/>
  <c r="T644" i="18" s="1"/>
  <c r="T645" i="18" a="1"/>
  <c r="T645" i="18" s="1"/>
  <c r="T646" i="18" a="1"/>
  <c r="T646" i="18" s="1"/>
  <c r="T647" i="18" a="1"/>
  <c r="T647" i="18"/>
  <c r="T648" i="18" a="1"/>
  <c r="T648" i="18" s="1"/>
  <c r="T649" i="18" a="1"/>
  <c r="T649" i="18" s="1"/>
  <c r="T650" i="18" a="1"/>
  <c r="T650" i="18" s="1"/>
  <c r="T651" i="18" a="1"/>
  <c r="T651" i="18" s="1"/>
  <c r="T652" i="18" a="1"/>
  <c r="T652" i="18" s="1"/>
  <c r="T653" i="18" a="1"/>
  <c r="T653" i="18" s="1"/>
  <c r="T654" i="18" a="1"/>
  <c r="T654" i="18" s="1"/>
  <c r="T655" i="18" a="1"/>
  <c r="T655" i="18" s="1"/>
  <c r="T656" i="18" a="1"/>
  <c r="T656" i="18" s="1"/>
  <c r="T657" i="18" a="1"/>
  <c r="T657" i="18" s="1"/>
  <c r="T658" i="18" a="1"/>
  <c r="T658" i="18" s="1"/>
  <c r="T659" i="18" a="1"/>
  <c r="T659" i="18" s="1"/>
  <c r="T660" i="18" a="1"/>
  <c r="T660" i="18" s="1"/>
  <c r="T661" i="18" a="1"/>
  <c r="T661" i="18" s="1"/>
  <c r="T662" i="18" a="1"/>
  <c r="T662" i="18" s="1"/>
  <c r="T663" i="18" a="1"/>
  <c r="T663" i="18"/>
  <c r="T664" i="18" a="1"/>
  <c r="T664" i="18" s="1"/>
  <c r="T665" i="18" a="1"/>
  <c r="T665" i="18"/>
  <c r="T666" i="18" a="1"/>
  <c r="T666" i="18" s="1"/>
  <c r="T667" i="18" a="1"/>
  <c r="T667" i="18" s="1"/>
  <c r="T668" i="18" a="1"/>
  <c r="T668" i="18" s="1"/>
  <c r="T669" i="18" a="1"/>
  <c r="T669" i="18" s="1"/>
  <c r="T670" i="18" a="1"/>
  <c r="T670" i="18" s="1"/>
  <c r="T671" i="18" a="1"/>
  <c r="T671" i="18" s="1"/>
  <c r="T672" i="18" a="1"/>
  <c r="T672" i="18" s="1"/>
  <c r="T673" i="18" a="1"/>
  <c r="T673" i="18" s="1"/>
  <c r="T674" i="18" a="1"/>
  <c r="T674" i="18" s="1"/>
  <c r="T675" i="18" a="1"/>
  <c r="T675" i="18" s="1"/>
  <c r="T676" i="18" a="1"/>
  <c r="T676" i="18" s="1"/>
  <c r="T677" i="18" a="1"/>
  <c r="T677" i="18" s="1"/>
  <c r="T678" i="18" a="1"/>
  <c r="T678" i="18" s="1"/>
  <c r="T679" i="18" a="1"/>
  <c r="T679" i="18"/>
  <c r="T680" i="18" a="1"/>
  <c r="T680" i="18" s="1"/>
  <c r="T681" i="18" a="1"/>
  <c r="T681" i="18"/>
  <c r="T682" i="18" a="1"/>
  <c r="T682" i="18" s="1"/>
  <c r="T683" i="18" a="1"/>
  <c r="T683" i="18" s="1"/>
  <c r="T684" i="18" a="1"/>
  <c r="T684" i="18" s="1"/>
  <c r="T685" i="18" a="1"/>
  <c r="T685" i="18" s="1"/>
  <c r="T686" i="18" a="1"/>
  <c r="T686" i="18" s="1"/>
  <c r="T687" i="18" a="1"/>
  <c r="T687" i="18" s="1"/>
  <c r="T688" i="18" a="1"/>
  <c r="T688" i="18" s="1"/>
  <c r="T689" i="18" a="1"/>
  <c r="T689" i="18" s="1"/>
  <c r="T690" i="18" a="1"/>
  <c r="T690" i="18" s="1"/>
  <c r="T691" i="18" a="1"/>
  <c r="T691" i="18" s="1"/>
  <c r="T692" i="18" a="1"/>
  <c r="T692" i="18" s="1"/>
  <c r="T693" i="18" a="1"/>
  <c r="T693" i="18" s="1"/>
  <c r="T694" i="18" a="1"/>
  <c r="T694" i="18" s="1"/>
  <c r="T695" i="18" a="1"/>
  <c r="T695" i="18"/>
  <c r="T696" i="18" a="1"/>
  <c r="T696" i="18" s="1"/>
  <c r="T697" i="18" a="1"/>
  <c r="T697" i="18"/>
  <c r="T698" i="18" a="1"/>
  <c r="T698" i="18" s="1"/>
  <c r="T699" i="18" a="1"/>
  <c r="T699" i="18" s="1"/>
  <c r="T700" i="18" a="1"/>
  <c r="T700" i="18" s="1"/>
  <c r="T701" i="18" a="1"/>
  <c r="T701" i="18"/>
  <c r="T702" i="18" a="1"/>
  <c r="T702" i="18" s="1"/>
  <c r="T703" i="18" a="1"/>
  <c r="T703" i="18" s="1"/>
  <c r="T704" i="18" a="1"/>
  <c r="T704" i="18" s="1"/>
  <c r="T705" i="18" a="1"/>
  <c r="T705" i="18" s="1"/>
  <c r="T706" i="18" a="1"/>
  <c r="T706" i="18" s="1"/>
  <c r="T707" i="18" a="1"/>
  <c r="T707" i="18" s="1"/>
  <c r="T708" i="18" a="1"/>
  <c r="T708" i="18" s="1"/>
  <c r="T709" i="18" a="1"/>
  <c r="T709" i="18" s="1"/>
  <c r="T710" i="18" a="1"/>
  <c r="T710" i="18" s="1"/>
  <c r="T711" i="18" a="1"/>
  <c r="T711" i="18"/>
  <c r="T712" i="18" a="1"/>
  <c r="T712" i="18" s="1"/>
  <c r="T713" i="18" a="1"/>
  <c r="T713" i="18"/>
  <c r="T714" i="18" a="1"/>
  <c r="T714" i="18" s="1"/>
  <c r="T715" i="18" a="1"/>
  <c r="T715" i="18"/>
  <c r="T716" i="18" a="1"/>
  <c r="T716" i="18" s="1"/>
  <c r="T717" i="18" a="1"/>
  <c r="T717" i="18" s="1"/>
  <c r="T718" i="18" a="1"/>
  <c r="T718" i="18" s="1"/>
  <c r="T719" i="18" a="1"/>
  <c r="T719" i="18"/>
  <c r="T720" i="18" a="1"/>
  <c r="T720" i="18" s="1"/>
  <c r="T721" i="18" a="1"/>
  <c r="T721" i="18" s="1"/>
  <c r="L2" i="17"/>
  <c r="L32" i="17"/>
  <c r="L33" i="17"/>
  <c r="L34" i="17"/>
  <c r="L35" i="17"/>
  <c r="L36" i="17"/>
  <c r="L37" i="17"/>
  <c r="L212" i="17"/>
  <c r="L302" i="17"/>
  <c r="L242" i="17"/>
  <c r="L272" i="17"/>
  <c r="L332" i="17"/>
  <c r="L422" i="17"/>
  <c r="L362" i="17"/>
  <c r="L392" i="17"/>
  <c r="L452" i="17"/>
  <c r="L3" i="17"/>
  <c r="L38" i="17"/>
  <c r="L39" i="17"/>
  <c r="L40" i="17"/>
  <c r="L41" i="17"/>
  <c r="L42" i="17"/>
  <c r="L43" i="17"/>
  <c r="L213" i="17"/>
  <c r="L303" i="17"/>
  <c r="L243" i="17"/>
  <c r="L273" i="17"/>
  <c r="L333" i="17"/>
  <c r="L423" i="17"/>
  <c r="L363" i="17"/>
  <c r="L393" i="17"/>
  <c r="L453" i="17"/>
  <c r="L4" i="17"/>
  <c r="L44" i="17"/>
  <c r="L45" i="17"/>
  <c r="L46" i="17"/>
  <c r="L47" i="17"/>
  <c r="L48" i="17"/>
  <c r="L49" i="17"/>
  <c r="L214" i="17"/>
  <c r="L304" i="17"/>
  <c r="L244" i="17"/>
  <c r="L274" i="17"/>
  <c r="L334" i="17"/>
  <c r="L424" i="17"/>
  <c r="L364" i="17"/>
  <c r="L394" i="17"/>
  <c r="L454" i="17"/>
  <c r="L5" i="17"/>
  <c r="L50" i="17"/>
  <c r="L51" i="17"/>
  <c r="L52" i="17"/>
  <c r="L53" i="17"/>
  <c r="L54" i="17"/>
  <c r="L55" i="17"/>
  <c r="L215" i="17"/>
  <c r="L305" i="17"/>
  <c r="L245" i="17"/>
  <c r="L275" i="17"/>
  <c r="L335" i="17"/>
  <c r="L425" i="17"/>
  <c r="L365" i="17"/>
  <c r="L395" i="17"/>
  <c r="L455" i="17"/>
  <c r="L6" i="17"/>
  <c r="L56" i="17"/>
  <c r="L57" i="17"/>
  <c r="L58" i="17"/>
  <c r="L59" i="17"/>
  <c r="L60" i="17"/>
  <c r="L61" i="17"/>
  <c r="L216" i="17"/>
  <c r="L306" i="17"/>
  <c r="L246" i="17"/>
  <c r="L276" i="17"/>
  <c r="L336" i="17"/>
  <c r="L426" i="17"/>
  <c r="L366" i="17"/>
  <c r="L396" i="17"/>
  <c r="L456" i="17"/>
  <c r="L7" i="17"/>
  <c r="L62" i="17"/>
  <c r="L63" i="17"/>
  <c r="L64" i="17"/>
  <c r="L65" i="17"/>
  <c r="L66" i="17"/>
  <c r="L67" i="17"/>
  <c r="L217" i="17"/>
  <c r="L307" i="17"/>
  <c r="L247" i="17"/>
  <c r="L277" i="17"/>
  <c r="L337" i="17"/>
  <c r="L427" i="17"/>
  <c r="L367" i="17"/>
  <c r="L397" i="17"/>
  <c r="L457" i="17"/>
  <c r="L8" i="17"/>
  <c r="L68" i="17"/>
  <c r="L69" i="17"/>
  <c r="L70" i="17"/>
  <c r="L71" i="17"/>
  <c r="L72" i="17"/>
  <c r="L73" i="17"/>
  <c r="L218" i="17"/>
  <c r="L308" i="17"/>
  <c r="L248" i="17"/>
  <c r="L278" i="17"/>
  <c r="L338" i="17"/>
  <c r="L428" i="17"/>
  <c r="L368" i="17"/>
  <c r="L398" i="17"/>
  <c r="L458" i="17"/>
  <c r="L9" i="17"/>
  <c r="L74" i="17"/>
  <c r="L75" i="17"/>
  <c r="L76" i="17"/>
  <c r="L77" i="17"/>
  <c r="L78" i="17"/>
  <c r="L79" i="17"/>
  <c r="L219" i="17"/>
  <c r="L309" i="17"/>
  <c r="L249" i="17"/>
  <c r="L279" i="17"/>
  <c r="L339" i="17"/>
  <c r="L429" i="17"/>
  <c r="L369" i="17"/>
  <c r="L399" i="17"/>
  <c r="L459" i="17"/>
  <c r="L10" i="17"/>
  <c r="L80" i="17"/>
  <c r="L81" i="17"/>
  <c r="L82" i="17"/>
  <c r="L83" i="17"/>
  <c r="L84" i="17"/>
  <c r="L85" i="17"/>
  <c r="L220" i="17"/>
  <c r="L310" i="17"/>
  <c r="L250" i="17"/>
  <c r="L280" i="17"/>
  <c r="L340" i="17"/>
  <c r="L430" i="17"/>
  <c r="L370" i="17"/>
  <c r="L400" i="17"/>
  <c r="L460" i="17"/>
  <c r="L11" i="17"/>
  <c r="L86" i="17"/>
  <c r="L87" i="17"/>
  <c r="L88" i="17"/>
  <c r="L89" i="17"/>
  <c r="L90" i="17"/>
  <c r="L91" i="17"/>
  <c r="L221" i="17"/>
  <c r="L311" i="17"/>
  <c r="L251" i="17"/>
  <c r="L281" i="17"/>
  <c r="L341" i="17"/>
  <c r="L431" i="17"/>
  <c r="L371" i="17"/>
  <c r="L401" i="17"/>
  <c r="L461" i="17"/>
  <c r="L12" i="17"/>
  <c r="L92" i="17"/>
  <c r="L93" i="17"/>
  <c r="L94" i="17"/>
  <c r="L95" i="17"/>
  <c r="L96" i="17"/>
  <c r="L97" i="17"/>
  <c r="L222" i="17"/>
  <c r="L312" i="17"/>
  <c r="L252" i="17"/>
  <c r="L282" i="17"/>
  <c r="L342" i="17"/>
  <c r="L432" i="17"/>
  <c r="L372" i="17"/>
  <c r="L402" i="17"/>
  <c r="L462" i="17"/>
  <c r="L13" i="17"/>
  <c r="L98" i="17"/>
  <c r="L99" i="17"/>
  <c r="L100" i="17"/>
  <c r="L101" i="17"/>
  <c r="L102" i="17"/>
  <c r="L103" i="17"/>
  <c r="L223" i="17"/>
  <c r="L313" i="17"/>
  <c r="L253" i="17"/>
  <c r="L283" i="17"/>
  <c r="L343" i="17"/>
  <c r="L433" i="17"/>
  <c r="L373" i="17"/>
  <c r="L403" i="17"/>
  <c r="L463" i="17"/>
  <c r="L14" i="17"/>
  <c r="L104" i="17"/>
  <c r="L105" i="17"/>
  <c r="L106" i="17"/>
  <c r="L107" i="17"/>
  <c r="L108" i="17"/>
  <c r="L109" i="17"/>
  <c r="L224" i="17"/>
  <c r="L314" i="17"/>
  <c r="L254" i="17"/>
  <c r="L284" i="17"/>
  <c r="L344" i="17"/>
  <c r="L434" i="17"/>
  <c r="L374" i="17"/>
  <c r="L404" i="17"/>
  <c r="L464" i="17"/>
  <c r="L15" i="17"/>
  <c r="L110" i="17"/>
  <c r="L111" i="17"/>
  <c r="L112" i="17"/>
  <c r="L113" i="17"/>
  <c r="L114" i="17"/>
  <c r="L115" i="17"/>
  <c r="L225" i="17"/>
  <c r="L315" i="17"/>
  <c r="L255" i="17"/>
  <c r="L285" i="17"/>
  <c r="L345" i="17"/>
  <c r="L435" i="17"/>
  <c r="L375" i="17"/>
  <c r="L405" i="17"/>
  <c r="L465" i="17"/>
  <c r="L16" i="17"/>
  <c r="L116" i="17"/>
  <c r="L117" i="17"/>
  <c r="L118" i="17"/>
  <c r="L119" i="17"/>
  <c r="L120" i="17"/>
  <c r="L121" i="17"/>
  <c r="L226" i="17"/>
  <c r="L316" i="17"/>
  <c r="L256" i="17"/>
  <c r="L286" i="17"/>
  <c r="L346" i="17"/>
  <c r="L436" i="17"/>
  <c r="L376" i="17"/>
  <c r="L406" i="17"/>
  <c r="L466" i="17"/>
  <c r="L17" i="17"/>
  <c r="L122" i="17"/>
  <c r="L123" i="17"/>
  <c r="L124" i="17"/>
  <c r="L125" i="17"/>
  <c r="L126" i="17"/>
  <c r="L127" i="17"/>
  <c r="L227" i="17"/>
  <c r="L317" i="17"/>
  <c r="L257" i="17"/>
  <c r="L287" i="17"/>
  <c r="L347" i="17"/>
  <c r="L437" i="17"/>
  <c r="L377" i="17"/>
  <c r="L407" i="17"/>
  <c r="L467" i="17"/>
  <c r="L18" i="17"/>
  <c r="L128" i="17"/>
  <c r="L129" i="17"/>
  <c r="L130" i="17"/>
  <c r="L131" i="17"/>
  <c r="L132" i="17"/>
  <c r="L133" i="17"/>
  <c r="L228" i="17"/>
  <c r="L318" i="17"/>
  <c r="L258" i="17"/>
  <c r="L288" i="17"/>
  <c r="L348" i="17"/>
  <c r="L438" i="17"/>
  <c r="L378" i="17"/>
  <c r="L408" i="17"/>
  <c r="L468" i="17"/>
  <c r="L19" i="17"/>
  <c r="L134" i="17"/>
  <c r="L135" i="17"/>
  <c r="L136" i="17"/>
  <c r="L137" i="17"/>
  <c r="L138" i="17"/>
  <c r="L139" i="17"/>
  <c r="L229" i="17"/>
  <c r="N392" i="17" s="1" a="1"/>
  <c r="N392" i="17" s="1"/>
  <c r="L319" i="17"/>
  <c r="L259" i="17"/>
  <c r="L289" i="17"/>
  <c r="L349" i="17"/>
  <c r="L439" i="17"/>
  <c r="L379" i="17"/>
  <c r="L409" i="17"/>
  <c r="L469" i="17"/>
  <c r="L20" i="17"/>
  <c r="L140" i="17"/>
  <c r="L141" i="17"/>
  <c r="L142" i="17"/>
  <c r="L143" i="17"/>
  <c r="L144" i="17"/>
  <c r="L145" i="17"/>
  <c r="L230" i="17"/>
  <c r="L320" i="17"/>
  <c r="L260" i="17"/>
  <c r="L290" i="17"/>
  <c r="L350" i="17"/>
  <c r="L440" i="17"/>
  <c r="L380" i="17"/>
  <c r="L410" i="17"/>
  <c r="L470" i="17"/>
  <c r="L21" i="17"/>
  <c r="L146" i="17"/>
  <c r="L147" i="17"/>
  <c r="L148" i="17"/>
  <c r="L149" i="17"/>
  <c r="L150" i="17"/>
  <c r="L151" i="17"/>
  <c r="L231" i="17"/>
  <c r="L321" i="17"/>
  <c r="L261" i="17"/>
  <c r="L291" i="17"/>
  <c r="L351" i="17"/>
  <c r="L441" i="17"/>
  <c r="L381" i="17"/>
  <c r="L411" i="17"/>
  <c r="L471" i="17"/>
  <c r="L22" i="17"/>
  <c r="L152" i="17"/>
  <c r="L153" i="17"/>
  <c r="L154" i="17"/>
  <c r="L155" i="17"/>
  <c r="L156" i="17"/>
  <c r="L157" i="17"/>
  <c r="L232" i="17"/>
  <c r="L322" i="17"/>
  <c r="L262" i="17"/>
  <c r="L292" i="17"/>
  <c r="L352" i="17"/>
  <c r="L442" i="17"/>
  <c r="L382" i="17"/>
  <c r="L412" i="17"/>
  <c r="L472" i="17"/>
  <c r="L23" i="17"/>
  <c r="L158" i="17"/>
  <c r="L159" i="17"/>
  <c r="L160" i="17"/>
  <c r="L161" i="17"/>
  <c r="L162" i="17"/>
  <c r="L163" i="17"/>
  <c r="L233" i="17"/>
  <c r="L323" i="17"/>
  <c r="L263" i="17"/>
  <c r="L293" i="17"/>
  <c r="L353" i="17"/>
  <c r="L443" i="17"/>
  <c r="L383" i="17"/>
  <c r="L413" i="17"/>
  <c r="L473" i="17"/>
  <c r="L24" i="17"/>
  <c r="L164" i="17"/>
  <c r="L165" i="17"/>
  <c r="L166" i="17"/>
  <c r="L167" i="17"/>
  <c r="L168" i="17"/>
  <c r="L169" i="17"/>
  <c r="L234" i="17"/>
  <c r="L324" i="17"/>
  <c r="L264" i="17"/>
  <c r="L294" i="17"/>
  <c r="L354" i="17"/>
  <c r="L444" i="17"/>
  <c r="L384" i="17"/>
  <c r="L414" i="17"/>
  <c r="L474" i="17"/>
  <c r="L25" i="17"/>
  <c r="L170" i="17"/>
  <c r="L171" i="17"/>
  <c r="L172" i="17"/>
  <c r="L173" i="17"/>
  <c r="L174" i="17"/>
  <c r="L175" i="17"/>
  <c r="L235" i="17"/>
  <c r="L325" i="17"/>
  <c r="L265" i="17"/>
  <c r="L295" i="17"/>
  <c r="L355" i="17"/>
  <c r="L445" i="17"/>
  <c r="L385" i="17"/>
  <c r="L415" i="17"/>
  <c r="L475" i="17"/>
  <c r="L26" i="17"/>
  <c r="L176" i="17"/>
  <c r="L177" i="17"/>
  <c r="L178" i="17"/>
  <c r="L179" i="17"/>
  <c r="L180" i="17"/>
  <c r="L181" i="17"/>
  <c r="L236" i="17"/>
  <c r="L326" i="17"/>
  <c r="L266" i="17"/>
  <c r="L296" i="17"/>
  <c r="L356" i="17"/>
  <c r="L446" i="17"/>
  <c r="L386" i="17"/>
  <c r="L416" i="17"/>
  <c r="L476" i="17"/>
  <c r="L27" i="17"/>
  <c r="L182" i="17"/>
  <c r="L183" i="17"/>
  <c r="L184" i="17"/>
  <c r="L185" i="17"/>
  <c r="L186" i="17"/>
  <c r="L187" i="17"/>
  <c r="L237" i="17"/>
  <c r="L327" i="17"/>
  <c r="L267" i="17"/>
  <c r="L297" i="17"/>
  <c r="L357" i="17"/>
  <c r="L447" i="17"/>
  <c r="L387" i="17"/>
  <c r="L417" i="17"/>
  <c r="L477" i="17"/>
  <c r="L28" i="17"/>
  <c r="L188" i="17"/>
  <c r="L189" i="17"/>
  <c r="L190" i="17"/>
  <c r="L191" i="17"/>
  <c r="L192" i="17"/>
  <c r="L193" i="17"/>
  <c r="L238" i="17"/>
  <c r="N303" i="17" s="1" a="1"/>
  <c r="N303" i="17" s="1"/>
  <c r="L328" i="17"/>
  <c r="L268" i="17"/>
  <c r="L298" i="17"/>
  <c r="L358" i="17"/>
  <c r="L448" i="17"/>
  <c r="L388" i="17"/>
  <c r="L418" i="17"/>
  <c r="L478" i="17"/>
  <c r="L29" i="17"/>
  <c r="L194" i="17"/>
  <c r="L195" i="17"/>
  <c r="L196" i="17"/>
  <c r="L197" i="17"/>
  <c r="L198" i="17"/>
  <c r="L199" i="17"/>
  <c r="L239" i="17"/>
  <c r="L329" i="17"/>
  <c r="L269" i="17"/>
  <c r="L299" i="17"/>
  <c r="L359" i="17"/>
  <c r="L449" i="17"/>
  <c r="L389" i="17"/>
  <c r="L419" i="17"/>
  <c r="L479" i="17"/>
  <c r="L30" i="17"/>
  <c r="L200" i="17"/>
  <c r="L201" i="17"/>
  <c r="L202" i="17"/>
  <c r="L203" i="17"/>
  <c r="L204" i="17"/>
  <c r="L205" i="17"/>
  <c r="L240" i="17"/>
  <c r="L330" i="17"/>
  <c r="L270" i="17"/>
  <c r="L300" i="17"/>
  <c r="L360" i="17"/>
  <c r="L450" i="17"/>
  <c r="L390" i="17"/>
  <c r="L420" i="17"/>
  <c r="L480" i="17"/>
  <c r="L31" i="17"/>
  <c r="L206" i="17"/>
  <c r="L207" i="17"/>
  <c r="L208" i="17"/>
  <c r="L209" i="17"/>
  <c r="L210" i="17"/>
  <c r="L211" i="17"/>
  <c r="L241" i="17"/>
  <c r="L331" i="17"/>
  <c r="L271" i="17"/>
  <c r="L301" i="17"/>
  <c r="L361" i="17"/>
  <c r="L451" i="17"/>
  <c r="L391" i="17"/>
  <c r="L421" i="17"/>
  <c r="L481" i="17"/>
  <c r="M2" i="17" a="1"/>
  <c r="M2" i="17" s="1"/>
  <c r="M32" i="17" a="1"/>
  <c r="M32" i="17" s="1"/>
  <c r="M33" i="17" a="1"/>
  <c r="M33" i="17" s="1"/>
  <c r="M34" i="17" a="1"/>
  <c r="M34" i="17" s="1"/>
  <c r="M35" i="17" a="1"/>
  <c r="M35" i="17"/>
  <c r="M36" i="17" a="1"/>
  <c r="M36" i="17" s="1"/>
  <c r="M37" i="17" a="1"/>
  <c r="M37" i="17" s="1"/>
  <c r="M212" i="17" a="1"/>
  <c r="M212" i="17" s="1"/>
  <c r="M302" i="17" a="1"/>
  <c r="M302" i="17" s="1"/>
  <c r="M242" i="17" a="1"/>
  <c r="M242" i="17" s="1"/>
  <c r="M272" i="17" a="1"/>
  <c r="M272" i="17" s="1"/>
  <c r="M332" i="17" a="1"/>
  <c r="M332" i="17" s="1"/>
  <c r="M422" i="17" a="1"/>
  <c r="M422" i="17" s="1"/>
  <c r="M362" i="17" a="1"/>
  <c r="M362" i="17" s="1"/>
  <c r="M392" i="17" a="1"/>
  <c r="M392" i="17"/>
  <c r="M452" i="17" a="1"/>
  <c r="M452" i="17" s="1"/>
  <c r="M3" i="17" a="1"/>
  <c r="M3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213" i="17" a="1"/>
  <c r="M213" i="17" s="1"/>
  <c r="M303" i="17" a="1"/>
  <c r="M303" i="17"/>
  <c r="M243" i="17" a="1"/>
  <c r="M243" i="17" s="1"/>
  <c r="M273" i="17" a="1"/>
  <c r="M273" i="17" s="1"/>
  <c r="M333" i="17" a="1"/>
  <c r="M333" i="17" s="1"/>
  <c r="M423" i="17" a="1"/>
  <c r="M423" i="17" s="1"/>
  <c r="M363" i="17" a="1"/>
  <c r="M363" i="17" s="1"/>
  <c r="M393" i="17" a="1"/>
  <c r="M393" i="17" s="1"/>
  <c r="M453" i="17" a="1"/>
  <c r="M453" i="17" s="1"/>
  <c r="M4" i="17" a="1"/>
  <c r="M4" i="17" s="1"/>
  <c r="M44" i="17" a="1"/>
  <c r="M44" i="17" s="1"/>
  <c r="M45" i="17" a="1"/>
  <c r="M45" i="17" s="1"/>
  <c r="M46" i="17" a="1"/>
  <c r="M46" i="17" s="1"/>
  <c r="M47" i="17" a="1"/>
  <c r="M47" i="17"/>
  <c r="M48" i="17" a="1"/>
  <c r="M48" i="17" s="1"/>
  <c r="M49" i="17" a="1"/>
  <c r="M49" i="17" s="1"/>
  <c r="M214" i="17" a="1"/>
  <c r="M214" i="17" s="1"/>
  <c r="M304" i="17" a="1"/>
  <c r="M304" i="17" s="1"/>
  <c r="M244" i="17" a="1"/>
  <c r="M244" i="17" s="1"/>
  <c r="M274" i="17" a="1"/>
  <c r="M274" i="17" s="1"/>
  <c r="M334" i="17" a="1"/>
  <c r="M334" i="17" s="1"/>
  <c r="M424" i="17" a="1"/>
  <c r="M424" i="17" s="1"/>
  <c r="M364" i="17" a="1"/>
  <c r="M364" i="17" s="1"/>
  <c r="M394" i="17" a="1"/>
  <c r="M394" i="17" s="1"/>
  <c r="M454" i="17" a="1"/>
  <c r="M454" i="17" s="1"/>
  <c r="M5" i="17" a="1"/>
  <c r="M5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215" i="17" a="1"/>
  <c r="M215" i="17" s="1"/>
  <c r="M305" i="17" a="1"/>
  <c r="M305" i="17" s="1"/>
  <c r="M245" i="17" a="1"/>
  <c r="M245" i="17" s="1"/>
  <c r="M275" i="17" a="1"/>
  <c r="M275" i="17" s="1"/>
  <c r="M335" i="17" a="1"/>
  <c r="M335" i="17" s="1"/>
  <c r="M425" i="17" a="1"/>
  <c r="M425" i="17" s="1"/>
  <c r="M365" i="17" a="1"/>
  <c r="M365" i="17" s="1"/>
  <c r="M395" i="17" a="1"/>
  <c r="M395" i="17" s="1"/>
  <c r="M455" i="17" a="1"/>
  <c r="M455" i="17" s="1"/>
  <c r="M6" i="17" a="1"/>
  <c r="M6" i="17" s="1"/>
  <c r="M56" i="17" a="1"/>
  <c r="M56" i="17"/>
  <c r="M57" i="17" a="1"/>
  <c r="M57" i="17"/>
  <c r="M58" i="17" a="1"/>
  <c r="M58" i="17" s="1"/>
  <c r="M59" i="17" a="1"/>
  <c r="M59" i="17" s="1"/>
  <c r="M60" i="17" a="1"/>
  <c r="M60" i="17" s="1"/>
  <c r="M61" i="17" a="1"/>
  <c r="M61" i="17" s="1"/>
  <c r="M216" i="17" a="1"/>
  <c r="M216" i="17" s="1"/>
  <c r="M306" i="17" a="1"/>
  <c r="M306" i="17" s="1"/>
  <c r="M246" i="17" a="1"/>
  <c r="M246" i="17" s="1"/>
  <c r="M276" i="17" a="1"/>
  <c r="M276" i="17" s="1"/>
  <c r="M336" i="17" a="1"/>
  <c r="M336" i="17" s="1"/>
  <c r="M426" i="17" a="1"/>
  <c r="M426" i="17" s="1"/>
  <c r="M366" i="17" a="1"/>
  <c r="M366" i="17" s="1"/>
  <c r="M396" i="17" a="1"/>
  <c r="M396" i="17" s="1"/>
  <c r="M456" i="17" a="1"/>
  <c r="M456" i="17" s="1"/>
  <c r="M7" i="17" a="1"/>
  <c r="M7" i="17"/>
  <c r="M62" i="17" a="1"/>
  <c r="M62" i="17" s="1"/>
  <c r="M63" i="17" a="1"/>
  <c r="M63" i="17" s="1"/>
  <c r="M64" i="17" a="1"/>
  <c r="M64" i="17" s="1"/>
  <c r="M65" i="17" a="1"/>
  <c r="M65" i="17" s="1"/>
  <c r="M66" i="17" a="1"/>
  <c r="M66" i="17" s="1"/>
  <c r="M67" i="17" a="1"/>
  <c r="M67" i="17"/>
  <c r="M217" i="17" a="1"/>
  <c r="M217" i="17" s="1"/>
  <c r="M307" i="17" a="1"/>
  <c r="M307" i="17" s="1"/>
  <c r="M247" i="17" a="1"/>
  <c r="M247" i="17" s="1"/>
  <c r="M277" i="17" a="1"/>
  <c r="M277" i="17" s="1"/>
  <c r="M337" i="17" a="1"/>
  <c r="M337" i="17" s="1"/>
  <c r="M427" i="17" a="1"/>
  <c r="M427" i="17" s="1"/>
  <c r="M367" i="17" a="1"/>
  <c r="M367" i="17" s="1"/>
  <c r="M397" i="17" a="1"/>
  <c r="M397" i="17" s="1"/>
  <c r="M457" i="17" a="1"/>
  <c r="M457" i="17" s="1"/>
  <c r="M8" i="17" a="1"/>
  <c r="M8" i="17" s="1"/>
  <c r="M68" i="17" a="1"/>
  <c r="M68" i="17" s="1"/>
  <c r="M69" i="17" a="1"/>
  <c r="M69" i="17" s="1"/>
  <c r="M70" i="17" a="1"/>
  <c r="M70" i="17" s="1"/>
  <c r="M71" i="17" a="1"/>
  <c r="M71" i="17"/>
  <c r="M72" i="17" a="1"/>
  <c r="M72" i="17" s="1"/>
  <c r="M73" i="17" a="1"/>
  <c r="M73" i="17" s="1"/>
  <c r="M218" i="17" a="1"/>
  <c r="M218" i="17" s="1"/>
  <c r="M308" i="17" a="1"/>
  <c r="M308" i="17" s="1"/>
  <c r="M248" i="17" a="1"/>
  <c r="M248" i="17"/>
  <c r="M278" i="17" a="1"/>
  <c r="M278" i="17" s="1"/>
  <c r="M338" i="17" a="1"/>
  <c r="M338" i="17" s="1"/>
  <c r="M428" i="17" a="1"/>
  <c r="M428" i="17" s="1"/>
  <c r="M368" i="17" a="1"/>
  <c r="M368" i="17" s="1"/>
  <c r="M398" i="17" a="1"/>
  <c r="M398" i="17" s="1"/>
  <c r="M458" i="17" a="1"/>
  <c r="M458" i="17" s="1"/>
  <c r="M9" i="17" a="1"/>
  <c r="M9" i="17" s="1"/>
  <c r="M74" i="17" a="1"/>
  <c r="M74" i="17" s="1"/>
  <c r="M75" i="17" a="1"/>
  <c r="M75" i="17" s="1"/>
  <c r="M76" i="17" a="1"/>
  <c r="M76" i="17" s="1"/>
  <c r="M77" i="17" a="1"/>
  <c r="M77" i="17"/>
  <c r="M78" i="17" a="1"/>
  <c r="M78" i="17" s="1"/>
  <c r="M79" i="17" a="1"/>
  <c r="M79" i="17" s="1"/>
  <c r="M219" i="17" a="1"/>
  <c r="M219" i="17" s="1"/>
  <c r="M309" i="17" a="1"/>
  <c r="M309" i="17" s="1"/>
  <c r="M249" i="17" a="1"/>
  <c r="M249" i="17" s="1"/>
  <c r="M279" i="17" a="1"/>
  <c r="M279" i="17" s="1"/>
  <c r="M339" i="17" a="1"/>
  <c r="M339" i="17" s="1"/>
  <c r="M429" i="17" a="1"/>
  <c r="M429" i="17" s="1"/>
  <c r="M369" i="17" a="1"/>
  <c r="M369" i="17" s="1"/>
  <c r="M399" i="17" a="1"/>
  <c r="M399" i="17" s="1"/>
  <c r="M459" i="17" a="1"/>
  <c r="M459" i="17" s="1"/>
  <c r="M10" i="17" a="1"/>
  <c r="M10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/>
  <c r="M85" i="17" a="1"/>
  <c r="M85" i="17" s="1"/>
  <c r="M220" i="17" a="1"/>
  <c r="M220" i="17" s="1"/>
  <c r="M310" i="17" a="1"/>
  <c r="M310" i="17" s="1"/>
  <c r="M250" i="17" a="1"/>
  <c r="M250" i="17" s="1"/>
  <c r="M280" i="17" a="1"/>
  <c r="M280" i="17" s="1"/>
  <c r="M340" i="17" a="1"/>
  <c r="M340" i="17" s="1"/>
  <c r="M430" i="17" a="1"/>
  <c r="M430" i="17" s="1"/>
  <c r="M370" i="17" a="1"/>
  <c r="M370" i="17" s="1"/>
  <c r="M400" i="17" a="1"/>
  <c r="M400" i="17" s="1"/>
  <c r="M460" i="17" a="1"/>
  <c r="M460" i="17" s="1"/>
  <c r="M11" i="17" a="1"/>
  <c r="M11" i="17" s="1"/>
  <c r="M86" i="17" a="1"/>
  <c r="M86" i="17" s="1"/>
  <c r="M87" i="17" a="1"/>
  <c r="M87" i="17" s="1"/>
  <c r="M88" i="17" a="1"/>
  <c r="M88" i="17" s="1"/>
  <c r="M89" i="17" a="1"/>
  <c r="M89" i="17" s="1"/>
  <c r="M90" i="17" a="1"/>
  <c r="M90" i="17" s="1"/>
  <c r="M91" i="17" a="1"/>
  <c r="M91" i="17" s="1"/>
  <c r="M221" i="17" a="1"/>
  <c r="M221" i="17" s="1"/>
  <c r="M311" i="17" a="1"/>
  <c r="M311" i="17" s="1"/>
  <c r="M251" i="17" a="1"/>
  <c r="M251" i="17" s="1"/>
  <c r="M281" i="17" a="1"/>
  <c r="M281" i="17" s="1"/>
  <c r="M341" i="17" a="1"/>
  <c r="M341" i="17" s="1"/>
  <c r="M431" i="17" a="1"/>
  <c r="M431" i="17" s="1"/>
  <c r="M371" i="17" a="1"/>
  <c r="M371" i="17" s="1"/>
  <c r="M401" i="17" a="1"/>
  <c r="M401" i="17" s="1"/>
  <c r="M461" i="17" a="1"/>
  <c r="M461" i="17" s="1"/>
  <c r="M12" i="17" a="1"/>
  <c r="M12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 s="1"/>
  <c r="M222" i="17" a="1"/>
  <c r="M222" i="17" s="1"/>
  <c r="M312" i="17" a="1"/>
  <c r="M312" i="17" s="1"/>
  <c r="M252" i="17" a="1"/>
  <c r="M252" i="17" s="1"/>
  <c r="M282" i="17" a="1"/>
  <c r="M282" i="17" s="1"/>
  <c r="M342" i="17" a="1"/>
  <c r="M342" i="17" s="1"/>
  <c r="M432" i="17" a="1"/>
  <c r="M432" i="17" s="1"/>
  <c r="M372" i="17" a="1"/>
  <c r="M372" i="17" s="1"/>
  <c r="M402" i="17" a="1"/>
  <c r="M402" i="17" s="1"/>
  <c r="M462" i="17" a="1"/>
  <c r="M462" i="17" s="1"/>
  <c r="M13" i="17" a="1"/>
  <c r="M13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223" i="17" a="1"/>
  <c r="M223" i="17" s="1"/>
  <c r="M313" i="17" a="1"/>
  <c r="M313" i="17" s="1"/>
  <c r="M253" i="17" a="1"/>
  <c r="M253" i="17" s="1"/>
  <c r="M283" i="17" a="1"/>
  <c r="M283" i="17" s="1"/>
  <c r="M343" i="17" a="1"/>
  <c r="M343" i="17" s="1"/>
  <c r="M433" i="17" a="1"/>
  <c r="M433" i="17" s="1"/>
  <c r="M373" i="17" a="1"/>
  <c r="M373" i="17"/>
  <c r="M403" i="17" a="1"/>
  <c r="M403" i="17" s="1"/>
  <c r="M463" i="17" a="1"/>
  <c r="M463" i="17" s="1"/>
  <c r="M14" i="17" a="1"/>
  <c r="M14" i="17" s="1"/>
  <c r="M104" i="17" a="1"/>
  <c r="M104" i="17" s="1"/>
  <c r="M105" i="17" a="1"/>
  <c r="M105" i="17"/>
  <c r="M106" i="17" a="1"/>
  <c r="M106" i="17" s="1"/>
  <c r="M107" i="17" a="1"/>
  <c r="M107" i="17" s="1"/>
  <c r="M108" i="17" a="1"/>
  <c r="M108" i="17" s="1"/>
  <c r="M109" i="17" a="1"/>
  <c r="M109" i="17" s="1"/>
  <c r="M224" i="17" a="1"/>
  <c r="M224" i="17" s="1"/>
  <c r="M314" i="17" a="1"/>
  <c r="M314" i="17" s="1"/>
  <c r="M254" i="17" a="1"/>
  <c r="M254" i="17" s="1"/>
  <c r="M284" i="17" a="1"/>
  <c r="M284" i="17" s="1"/>
  <c r="M344" i="17" a="1"/>
  <c r="M344" i="17" s="1"/>
  <c r="M434" i="17" a="1"/>
  <c r="M434" i="17" s="1"/>
  <c r="M374" i="17" a="1"/>
  <c r="M374" i="17" s="1"/>
  <c r="M404" i="17" a="1"/>
  <c r="M404" i="17" s="1"/>
  <c r="M464" i="17" a="1"/>
  <c r="M464" i="17" s="1"/>
  <c r="M15" i="17" a="1"/>
  <c r="M15" i="17" s="1"/>
  <c r="M110" i="17" a="1"/>
  <c r="M110" i="17" s="1"/>
  <c r="M111" i="17" a="1"/>
  <c r="M111" i="17"/>
  <c r="M112" i="17" a="1"/>
  <c r="M112" i="17" s="1"/>
  <c r="M113" i="17" a="1"/>
  <c r="M113" i="17" s="1"/>
  <c r="M114" i="17" a="1"/>
  <c r="M114" i="17" s="1"/>
  <c r="M115" i="17" a="1"/>
  <c r="M115" i="17" s="1"/>
  <c r="M225" i="17" a="1"/>
  <c r="M225" i="17" s="1"/>
  <c r="M315" i="17" a="1"/>
  <c r="M315" i="17" s="1"/>
  <c r="M255" i="17" a="1"/>
  <c r="M255" i="17" s="1"/>
  <c r="M285" i="17" a="1"/>
  <c r="M285" i="17" s="1"/>
  <c r="M345" i="17" a="1"/>
  <c r="M345" i="17" s="1"/>
  <c r="M435" i="17" a="1"/>
  <c r="M435" i="17" s="1"/>
  <c r="M375" i="17" a="1"/>
  <c r="M375" i="17" s="1"/>
  <c r="M405" i="17" a="1"/>
  <c r="M405" i="17" s="1"/>
  <c r="M465" i="17" a="1"/>
  <c r="M465" i="17" s="1"/>
  <c r="M16" i="17" a="1"/>
  <c r="M16" i="17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/>
  <c r="M121" i="17" a="1"/>
  <c r="M121" i="17" s="1"/>
  <c r="M226" i="17" a="1"/>
  <c r="M226" i="17" s="1"/>
  <c r="M316" i="17" a="1"/>
  <c r="M316" i="17" s="1"/>
  <c r="M256" i="17" a="1"/>
  <c r="M256" i="17" s="1"/>
  <c r="M286" i="17" a="1"/>
  <c r="M286" i="17" s="1"/>
  <c r="M346" i="17" a="1"/>
  <c r="M346" i="17" s="1"/>
  <c r="M436" i="17" a="1"/>
  <c r="M436" i="17" s="1"/>
  <c r="M376" i="17" a="1"/>
  <c r="M376" i="17" s="1"/>
  <c r="M406" i="17" a="1"/>
  <c r="M406" i="17" s="1"/>
  <c r="M466" i="17" a="1"/>
  <c r="M466" i="17" s="1"/>
  <c r="M17" i="17" a="1"/>
  <c r="M17" i="17" s="1"/>
  <c r="M122" i="17" a="1"/>
  <c r="M122" i="17" s="1"/>
  <c r="M123" i="17" a="1"/>
  <c r="M123" i="17"/>
  <c r="M124" i="17" a="1"/>
  <c r="M124" i="17" s="1"/>
  <c r="M125" i="17" a="1"/>
  <c r="M125" i="17" s="1"/>
  <c r="M126" i="17" a="1"/>
  <c r="M126" i="17" s="1"/>
  <c r="M127" i="17" a="1"/>
  <c r="M127" i="17" s="1"/>
  <c r="M227" i="17" a="1"/>
  <c r="M227" i="17" s="1"/>
  <c r="M317" i="17" a="1"/>
  <c r="M317" i="17" s="1"/>
  <c r="M257" i="17" a="1"/>
  <c r="M257" i="17" s="1"/>
  <c r="M287" i="17" a="1"/>
  <c r="M287" i="17" s="1"/>
  <c r="M347" i="17" a="1"/>
  <c r="M347" i="17" s="1"/>
  <c r="M437" i="17" a="1"/>
  <c r="M437" i="17" s="1"/>
  <c r="M377" i="17" a="1"/>
  <c r="M377" i="17" s="1"/>
  <c r="M407" i="17" a="1"/>
  <c r="M407" i="17" s="1"/>
  <c r="M467" i="17" a="1"/>
  <c r="M467" i="17" s="1"/>
  <c r="M18" i="17" a="1"/>
  <c r="M18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228" i="17" a="1"/>
  <c r="M228" i="17" s="1"/>
  <c r="M318" i="17" a="1"/>
  <c r="M318" i="17" s="1"/>
  <c r="M258" i="17" a="1"/>
  <c r="M258" i="17" s="1"/>
  <c r="M288" i="17" a="1"/>
  <c r="M288" i="17" s="1"/>
  <c r="M348" i="17" a="1"/>
  <c r="M348" i="17" s="1"/>
  <c r="M438" i="17" a="1"/>
  <c r="M438" i="17" s="1"/>
  <c r="M378" i="17" a="1"/>
  <c r="M378" i="17" s="1"/>
  <c r="M408" i="17" a="1"/>
  <c r="M408" i="17" s="1"/>
  <c r="M468" i="17" a="1"/>
  <c r="M468" i="17" s="1"/>
  <c r="M19" i="17" a="1"/>
  <c r="M19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229" i="17" a="1"/>
  <c r="M229" i="17" s="1"/>
  <c r="M319" i="17" a="1"/>
  <c r="M319" i="17" s="1"/>
  <c r="M259" i="17" a="1"/>
  <c r="M259" i="17" s="1"/>
  <c r="M289" i="17" a="1"/>
  <c r="M289" i="17" s="1"/>
  <c r="M349" i="17" a="1"/>
  <c r="M349" i="17" s="1"/>
  <c r="M439" i="17" a="1"/>
  <c r="M439" i="17" s="1"/>
  <c r="M379" i="17" a="1"/>
  <c r="M379" i="17" s="1"/>
  <c r="M409" i="17" a="1"/>
  <c r="M409" i="17" s="1"/>
  <c r="M469" i="17" a="1"/>
  <c r="M469" i="17" s="1"/>
  <c r="M20" i="17" a="1"/>
  <c r="M20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/>
  <c r="M145" i="17" a="1"/>
  <c r="M145" i="17" s="1"/>
  <c r="M230" i="17" a="1"/>
  <c r="M230" i="17" s="1"/>
  <c r="M320" i="17" a="1"/>
  <c r="M320" i="17" s="1"/>
  <c r="M260" i="17" a="1"/>
  <c r="M260" i="17" s="1"/>
  <c r="M290" i="17" a="1"/>
  <c r="M290" i="17" s="1"/>
  <c r="M350" i="17" a="1"/>
  <c r="M350" i="17" s="1"/>
  <c r="M440" i="17" a="1"/>
  <c r="M440" i="17" s="1"/>
  <c r="M380" i="17" a="1"/>
  <c r="M380" i="17" s="1"/>
  <c r="M410" i="17" a="1"/>
  <c r="M410" i="17" s="1"/>
  <c r="M470" i="17" a="1"/>
  <c r="M470" i="17" s="1"/>
  <c r="M21" i="17" a="1"/>
  <c r="M21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231" i="17" a="1"/>
  <c r="M231" i="17" s="1"/>
  <c r="M321" i="17" a="1"/>
  <c r="M321" i="17" s="1"/>
  <c r="M261" i="17" a="1"/>
  <c r="M261" i="17" s="1"/>
  <c r="M291" i="17" a="1"/>
  <c r="M291" i="17" s="1"/>
  <c r="M351" i="17" a="1"/>
  <c r="M351" i="17" s="1"/>
  <c r="M441" i="17" a="1"/>
  <c r="M441" i="17" s="1"/>
  <c r="M381" i="17" a="1"/>
  <c r="M381" i="17" s="1"/>
  <c r="M411" i="17" a="1"/>
  <c r="M411" i="17" s="1"/>
  <c r="M471" i="17" a="1"/>
  <c r="M471" i="17" s="1"/>
  <c r="M22" i="17" a="1"/>
  <c r="M22" i="17" s="1"/>
  <c r="M152" i="17" a="1"/>
  <c r="M152" i="17" s="1"/>
  <c r="M153" i="17" a="1"/>
  <c r="M153" i="17" s="1"/>
  <c r="M154" i="17" a="1"/>
  <c r="M154" i="17" s="1"/>
  <c r="M155" i="17" a="1"/>
  <c r="M155" i="17"/>
  <c r="M156" i="17" a="1"/>
  <c r="M156" i="17" s="1"/>
  <c r="M157" i="17" a="1"/>
  <c r="M157" i="17"/>
  <c r="M232" i="17" a="1"/>
  <c r="M232" i="17" s="1"/>
  <c r="M322" i="17" a="1"/>
  <c r="M322" i="17" s="1"/>
  <c r="M262" i="17" a="1"/>
  <c r="M262" i="17" s="1"/>
  <c r="M292" i="17" a="1"/>
  <c r="M292" i="17" s="1"/>
  <c r="M352" i="17" a="1"/>
  <c r="M352" i="17" s="1"/>
  <c r="M442" i="17" a="1"/>
  <c r="M442" i="17" s="1"/>
  <c r="M382" i="17" a="1"/>
  <c r="M382" i="17" s="1"/>
  <c r="M412" i="17" a="1"/>
  <c r="M412" i="17" s="1"/>
  <c r="M472" i="17" a="1"/>
  <c r="M472" i="17" s="1"/>
  <c r="M23" i="17" a="1"/>
  <c r="M23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233" i="17" a="1"/>
  <c r="M233" i="17" s="1"/>
  <c r="M323" i="17" a="1"/>
  <c r="M323" i="17" s="1"/>
  <c r="M263" i="17" a="1"/>
  <c r="M263" i="17" s="1"/>
  <c r="M293" i="17" a="1"/>
  <c r="M293" i="17" s="1"/>
  <c r="M353" i="17" a="1"/>
  <c r="M353" i="17" s="1"/>
  <c r="M443" i="17" a="1"/>
  <c r="M443" i="17" s="1"/>
  <c r="M383" i="17" a="1"/>
  <c r="M383" i="17" s="1"/>
  <c r="M413" i="17" a="1"/>
  <c r="M413" i="17" s="1"/>
  <c r="M473" i="17" a="1"/>
  <c r="M473" i="17" s="1"/>
  <c r="M24" i="17" a="1"/>
  <c r="M24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234" i="17" a="1"/>
  <c r="M234" i="17" s="1"/>
  <c r="M324" i="17" a="1"/>
  <c r="M324" i="17"/>
  <c r="M264" i="17" a="1"/>
  <c r="M264" i="17" s="1"/>
  <c r="M294" i="17" a="1"/>
  <c r="M294" i="17" s="1"/>
  <c r="M354" i="17" a="1"/>
  <c r="M354" i="17" s="1"/>
  <c r="M444" i="17" a="1"/>
  <c r="M444" i="17" s="1"/>
  <c r="M384" i="17" a="1"/>
  <c r="M384" i="17" s="1"/>
  <c r="M414" i="17" a="1"/>
  <c r="M414" i="17"/>
  <c r="M474" i="17" a="1"/>
  <c r="M474" i="17" s="1"/>
  <c r="M25" i="17" a="1"/>
  <c r="M25" i="17" s="1"/>
  <c r="M170" i="17" a="1"/>
  <c r="M170" i="17" s="1"/>
  <c r="M171" i="17" a="1"/>
  <c r="M171" i="17"/>
  <c r="M172" i="17" a="1"/>
  <c r="M172" i="17" s="1"/>
  <c r="M173" i="17" a="1"/>
  <c r="M173" i="17" s="1"/>
  <c r="M174" i="17" a="1"/>
  <c r="M174" i="17" s="1"/>
  <c r="M175" i="17" a="1"/>
  <c r="M175" i="17" s="1"/>
  <c r="M235" i="17" a="1"/>
  <c r="M235" i="17" s="1"/>
  <c r="M325" i="17" a="1"/>
  <c r="M325" i="17" s="1"/>
  <c r="M265" i="17" a="1"/>
  <c r="M265" i="17" s="1"/>
  <c r="M295" i="17" a="1"/>
  <c r="M295" i="17" s="1"/>
  <c r="M355" i="17" a="1"/>
  <c r="M355" i="17" s="1"/>
  <c r="M445" i="17" a="1"/>
  <c r="M445" i="17" s="1"/>
  <c r="M385" i="17" a="1"/>
  <c r="M385" i="17" s="1"/>
  <c r="M415" i="17" a="1"/>
  <c r="M415" i="17" s="1"/>
  <c r="M475" i="17" a="1"/>
  <c r="M475" i="17" s="1"/>
  <c r="M26" i="17" a="1"/>
  <c r="M26" i="17" s="1"/>
  <c r="M176" i="17" a="1"/>
  <c r="M176" i="17" s="1"/>
  <c r="M177" i="17" a="1"/>
  <c r="M177" i="17" s="1"/>
  <c r="M178" i="17" a="1"/>
  <c r="M178" i="17" s="1"/>
  <c r="M179" i="17" a="1"/>
  <c r="M179" i="17" s="1"/>
  <c r="M180" i="17" a="1"/>
  <c r="M180" i="17" s="1"/>
  <c r="M181" i="17" a="1"/>
  <c r="M181" i="17" s="1"/>
  <c r="M236" i="17" a="1"/>
  <c r="M236" i="17" s="1"/>
  <c r="M326" i="17" a="1"/>
  <c r="M326" i="17" s="1"/>
  <c r="M266" i="17" a="1"/>
  <c r="M266" i="17" s="1"/>
  <c r="M296" i="17" a="1"/>
  <c r="M296" i="17" s="1"/>
  <c r="M356" i="17" a="1"/>
  <c r="M356" i="17" s="1"/>
  <c r="M446" i="17" a="1"/>
  <c r="M446" i="17" s="1"/>
  <c r="M386" i="17" a="1"/>
  <c r="M386" i="17" s="1"/>
  <c r="M416" i="17" a="1"/>
  <c r="M416" i="17" s="1"/>
  <c r="M476" i="17" a="1"/>
  <c r="M476" i="17"/>
  <c r="M27" i="17" a="1"/>
  <c r="M27" i="17" s="1"/>
  <c r="M182" i="17" a="1"/>
  <c r="M182" i="17" s="1"/>
  <c r="M183" i="17" a="1"/>
  <c r="M183" i="17" s="1"/>
  <c r="M184" i="17" a="1"/>
  <c r="M184" i="17" s="1"/>
  <c r="M185" i="17" a="1"/>
  <c r="M185" i="17" s="1"/>
  <c r="M186" i="17" a="1"/>
  <c r="M186" i="17" s="1"/>
  <c r="M187" i="17" a="1"/>
  <c r="M187" i="17"/>
  <c r="M237" i="17" a="1"/>
  <c r="M237" i="17" s="1"/>
  <c r="M327" i="17" a="1"/>
  <c r="M327" i="17" s="1"/>
  <c r="M267" i="17" a="1"/>
  <c r="M267" i="17" s="1"/>
  <c r="M297" i="17" a="1"/>
  <c r="M297" i="17" s="1"/>
  <c r="M357" i="17" a="1"/>
  <c r="M357" i="17"/>
  <c r="M447" i="17" a="1"/>
  <c r="M447" i="17" s="1"/>
  <c r="M387" i="17" a="1"/>
  <c r="M387" i="17" s="1"/>
  <c r="M417" i="17" a="1"/>
  <c r="M417" i="17" s="1"/>
  <c r="M477" i="17" a="1"/>
  <c r="M477" i="17" s="1"/>
  <c r="M28" i="17" a="1"/>
  <c r="M28" i="17" s="1"/>
  <c r="M188" i="17" a="1"/>
  <c r="M188" i="17" s="1"/>
  <c r="M189" i="17" a="1"/>
  <c r="M189" i="17" s="1"/>
  <c r="M190" i="17" a="1"/>
  <c r="M190" i="17" s="1"/>
  <c r="M191" i="17" a="1"/>
  <c r="M191" i="17" s="1"/>
  <c r="M192" i="17" a="1"/>
  <c r="M192" i="17" s="1"/>
  <c r="M193" i="17" a="1"/>
  <c r="M193" i="17" s="1"/>
  <c r="M238" i="17" a="1"/>
  <c r="M238" i="17" s="1"/>
  <c r="M328" i="17" a="1"/>
  <c r="M328" i="17" s="1"/>
  <c r="M268" i="17" a="1"/>
  <c r="M268" i="17" s="1"/>
  <c r="M298" i="17" a="1"/>
  <c r="M298" i="17" s="1"/>
  <c r="M358" i="17" a="1"/>
  <c r="M358" i="17" s="1"/>
  <c r="M448" i="17" a="1"/>
  <c r="M448" i="17" s="1"/>
  <c r="M388" i="17" a="1"/>
  <c r="M388" i="17" s="1"/>
  <c r="M418" i="17" a="1"/>
  <c r="M418" i="17" s="1"/>
  <c r="M478" i="17" a="1"/>
  <c r="M478" i="17"/>
  <c r="M29" i="17" a="1"/>
  <c r="M29" i="17" s="1"/>
  <c r="M194" i="17" a="1"/>
  <c r="M194" i="17" s="1"/>
  <c r="M195" i="17" a="1"/>
  <c r="M195" i="17" s="1"/>
  <c r="M196" i="17" a="1"/>
  <c r="M196" i="17" s="1"/>
  <c r="M197" i="17" a="1"/>
  <c r="M197" i="17" s="1"/>
  <c r="M198" i="17" a="1"/>
  <c r="M198" i="17" s="1"/>
  <c r="M199" i="17" a="1"/>
  <c r="M199" i="17" s="1"/>
  <c r="M239" i="17" a="1"/>
  <c r="M239" i="17" s="1"/>
  <c r="M329" i="17" a="1"/>
  <c r="M329" i="17" s="1"/>
  <c r="M269" i="17" a="1"/>
  <c r="M269" i="17" s="1"/>
  <c r="M299" i="17" a="1"/>
  <c r="M299" i="17" s="1"/>
  <c r="M359" i="17" a="1"/>
  <c r="M359" i="17" s="1"/>
  <c r="M449" i="17" a="1"/>
  <c r="M449" i="17" s="1"/>
  <c r="M389" i="17" a="1"/>
  <c r="M389" i="17" s="1"/>
  <c r="M419" i="17" a="1"/>
  <c r="M419" i="17" s="1"/>
  <c r="M479" i="17" a="1"/>
  <c r="M479" i="17" s="1"/>
  <c r="M30" i="17" a="1"/>
  <c r="M30" i="17" s="1"/>
  <c r="M200" i="17" a="1"/>
  <c r="M200" i="17" s="1"/>
  <c r="M201" i="17" a="1"/>
  <c r="M201" i="17" s="1"/>
  <c r="M202" i="17" a="1"/>
  <c r="M202" i="17" s="1"/>
  <c r="M203" i="17" a="1"/>
  <c r="M203" i="17"/>
  <c r="M204" i="17" a="1"/>
  <c r="M204" i="17" s="1"/>
  <c r="M205" i="17" a="1"/>
  <c r="M205" i="17"/>
  <c r="M240" i="17" a="1"/>
  <c r="M240" i="17" s="1"/>
  <c r="M330" i="17" a="1"/>
  <c r="M330" i="17" s="1"/>
  <c r="M270" i="17" a="1"/>
  <c r="M270" i="17" s="1"/>
  <c r="M300" i="17" a="1"/>
  <c r="M300" i="17" s="1"/>
  <c r="M360" i="17" a="1"/>
  <c r="M360" i="17" s="1"/>
  <c r="M450" i="17" a="1"/>
  <c r="M450" i="17" s="1"/>
  <c r="M390" i="17" a="1"/>
  <c r="M390" i="17" s="1"/>
  <c r="M420" i="17" a="1"/>
  <c r="M420" i="17" s="1"/>
  <c r="M480" i="17" a="1"/>
  <c r="M480" i="17" s="1"/>
  <c r="M31" i="17" a="1"/>
  <c r="M31" i="17" s="1"/>
  <c r="M206" i="17" a="1"/>
  <c r="M206" i="17" s="1"/>
  <c r="M207" i="17" a="1"/>
  <c r="M207" i="17"/>
  <c r="M208" i="17" a="1"/>
  <c r="M208" i="17" s="1"/>
  <c r="M209" i="17" a="1"/>
  <c r="M209" i="17" s="1"/>
  <c r="M210" i="17" a="1"/>
  <c r="M210" i="17" s="1"/>
  <c r="M211" i="17" a="1"/>
  <c r="M211" i="17" s="1"/>
  <c r="M241" i="17" a="1"/>
  <c r="M241" i="17" s="1"/>
  <c r="M331" i="17" a="1"/>
  <c r="M331" i="17"/>
  <c r="M271" i="17" a="1"/>
  <c r="M271" i="17" s="1"/>
  <c r="M301" i="17" a="1"/>
  <c r="M301" i="17" s="1"/>
  <c r="M361" i="17" a="1"/>
  <c r="M361" i="17" s="1"/>
  <c r="M451" i="17" a="1"/>
  <c r="M451" i="17" s="1"/>
  <c r="M391" i="17" a="1"/>
  <c r="M391" i="17" s="1"/>
  <c r="M421" i="17" a="1"/>
  <c r="M421" i="17" s="1"/>
  <c r="M481" i="17" a="1"/>
  <c r="M481" i="17" s="1"/>
  <c r="N302" i="17" a="1"/>
  <c r="N302" i="17" s="1"/>
  <c r="N3" i="17" a="1"/>
  <c r="N3" i="17" s="1"/>
  <c r="N213" i="17" a="1"/>
  <c r="N213" i="17" s="1"/>
  <c r="N243" i="17" a="1"/>
  <c r="N243" i="17" s="1"/>
  <c r="N273" i="17" a="1"/>
  <c r="N273" i="17" s="1"/>
  <c r="N333" i="17" a="1"/>
  <c r="N333" i="17" s="1"/>
  <c r="N423" i="17" a="1"/>
  <c r="N423" i="17" s="1"/>
  <c r="N393" i="17" a="1"/>
  <c r="N393" i="17" s="1"/>
  <c r="N453" i="17" a="1"/>
  <c r="N453" i="17" s="1"/>
  <c r="N4" i="17" a="1"/>
  <c r="N4" i="17" s="1"/>
  <c r="N44" i="17" a="1"/>
  <c r="N44" i="17" s="1"/>
  <c r="N45" i="17" a="1"/>
  <c r="N45" i="17" s="1"/>
  <c r="N46" i="17" a="1"/>
  <c r="N46" i="17" s="1"/>
  <c r="N47" i="17" a="1"/>
  <c r="N47" i="17" s="1"/>
  <c r="N48" i="17" a="1"/>
  <c r="N48" i="17" s="1"/>
  <c r="N49" i="17" a="1"/>
  <c r="N49" i="17" s="1"/>
  <c r="N214" i="17" a="1"/>
  <c r="N214" i="17" s="1"/>
  <c r="N304" i="17" a="1"/>
  <c r="N304" i="17" s="1"/>
  <c r="N244" i="17" a="1"/>
  <c r="N244" i="17" s="1"/>
  <c r="N274" i="17" a="1"/>
  <c r="N274" i="17" s="1"/>
  <c r="N334" i="17" a="1"/>
  <c r="N334" i="17" s="1"/>
  <c r="N424" i="17" a="1"/>
  <c r="N424" i="17" s="1"/>
  <c r="N364" i="17" a="1"/>
  <c r="N364" i="17" s="1"/>
  <c r="N394" i="17" a="1"/>
  <c r="N394" i="17" s="1"/>
  <c r="N454" i="17" a="1"/>
  <c r="N454" i="17" s="1"/>
  <c r="N5" i="17" a="1"/>
  <c r="N5" i="17" s="1"/>
  <c r="N50" i="17" a="1"/>
  <c r="N50" i="17" s="1"/>
  <c r="N51" i="17" a="1"/>
  <c r="N51" i="17" s="1"/>
  <c r="N52" i="17" a="1"/>
  <c r="N52" i="17" s="1"/>
  <c r="N53" i="17" a="1"/>
  <c r="N53" i="17" s="1"/>
  <c r="N54" i="17" a="1"/>
  <c r="N54" i="17" s="1"/>
  <c r="N55" i="17" a="1"/>
  <c r="N55" i="17" s="1"/>
  <c r="N215" i="17" a="1"/>
  <c r="N215" i="17" s="1"/>
  <c r="N305" i="17" a="1"/>
  <c r="N305" i="17" s="1"/>
  <c r="N245" i="17" a="1"/>
  <c r="N245" i="17" s="1"/>
  <c r="N275" i="17" a="1"/>
  <c r="N275" i="17" s="1"/>
  <c r="N335" i="17" a="1"/>
  <c r="N335" i="17" s="1"/>
  <c r="N425" i="17" a="1"/>
  <c r="N425" i="17" s="1"/>
  <c r="N365" i="17" a="1"/>
  <c r="N365" i="17" s="1"/>
  <c r="N395" i="17" a="1"/>
  <c r="N395" i="17" s="1"/>
  <c r="N455" i="17" a="1"/>
  <c r="N455" i="17" s="1"/>
  <c r="N6" i="17" a="1"/>
  <c r="N6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216" i="17" a="1"/>
  <c r="N216" i="17" s="1"/>
  <c r="N306" i="17" a="1"/>
  <c r="N306" i="17" s="1"/>
  <c r="N246" i="17" a="1"/>
  <c r="N246" i="17" s="1"/>
  <c r="N276" i="17" a="1"/>
  <c r="N276" i="17" s="1"/>
  <c r="N336" i="17" a="1"/>
  <c r="N336" i="17" s="1"/>
  <c r="N426" i="17" a="1"/>
  <c r="N426" i="17" s="1"/>
  <c r="N366" i="17" a="1"/>
  <c r="N366" i="17" s="1"/>
  <c r="N396" i="17" a="1"/>
  <c r="N396" i="17" s="1"/>
  <c r="N456" i="17" a="1"/>
  <c r="N456" i="17" s="1"/>
  <c r="N7" i="17" a="1"/>
  <c r="N7" i="17" s="1"/>
  <c r="N62" i="17" a="1"/>
  <c r="N62" i="17" s="1"/>
  <c r="N63" i="17" a="1"/>
  <c r="N63" i="17" s="1"/>
  <c r="N64" i="17" a="1"/>
  <c r="N64" i="17" s="1"/>
  <c r="N65" i="17" a="1"/>
  <c r="N65" i="17" s="1"/>
  <c r="N66" i="17" a="1"/>
  <c r="N66" i="17" s="1"/>
  <c r="N67" i="17" a="1"/>
  <c r="N67" i="17" s="1"/>
  <c r="N217" i="17" a="1"/>
  <c r="N217" i="17" s="1"/>
  <c r="N307" i="17" a="1"/>
  <c r="N307" i="17" s="1"/>
  <c r="N247" i="17" a="1"/>
  <c r="N247" i="17" s="1"/>
  <c r="N277" i="17" a="1"/>
  <c r="N277" i="17" s="1"/>
  <c r="N337" i="17" a="1"/>
  <c r="N337" i="17" s="1"/>
  <c r="N427" i="17" a="1"/>
  <c r="N427" i="17" s="1"/>
  <c r="N367" i="17" a="1"/>
  <c r="N367" i="17" s="1"/>
  <c r="N397" i="17" a="1"/>
  <c r="N397" i="17" s="1"/>
  <c r="N457" i="17" a="1"/>
  <c r="N457" i="17" s="1"/>
  <c r="N8" i="17" a="1"/>
  <c r="N8" i="17"/>
  <c r="N68" i="17" a="1"/>
  <c r="N68" i="17" s="1"/>
  <c r="N69" i="17" a="1"/>
  <c r="N69" i="17" s="1"/>
  <c r="N70" i="17" a="1"/>
  <c r="N70" i="17" s="1"/>
  <c r="N71" i="17" a="1"/>
  <c r="N71" i="17" s="1"/>
  <c r="N72" i="17" a="1"/>
  <c r="N72" i="17" s="1"/>
  <c r="N73" i="17" a="1"/>
  <c r="N73" i="17" s="1"/>
  <c r="N218" i="17" a="1"/>
  <c r="N218" i="17" s="1"/>
  <c r="N308" i="17" a="1"/>
  <c r="N308" i="17" s="1"/>
  <c r="N248" i="17" a="1"/>
  <c r="N248" i="17" s="1"/>
  <c r="N278" i="17" a="1"/>
  <c r="N278" i="17" s="1"/>
  <c r="N338" i="17" a="1"/>
  <c r="N338" i="17" s="1"/>
  <c r="N428" i="17" a="1"/>
  <c r="N428" i="17" s="1"/>
  <c r="N368" i="17" a="1"/>
  <c r="N368" i="17" s="1"/>
  <c r="N398" i="17" a="1"/>
  <c r="N398" i="17" s="1"/>
  <c r="N458" i="17" a="1"/>
  <c r="N458" i="17" s="1"/>
  <c r="N9" i="17" a="1"/>
  <c r="N9" i="17" s="1"/>
  <c r="N74" i="17" a="1"/>
  <c r="N74" i="17" s="1"/>
  <c r="N75" i="17" a="1"/>
  <c r="N75" i="17" s="1"/>
  <c r="N76" i="17" a="1"/>
  <c r="N76" i="17" s="1"/>
  <c r="N77" i="17" a="1"/>
  <c r="N77" i="17" s="1"/>
  <c r="N78" i="17" a="1"/>
  <c r="N78" i="17" s="1"/>
  <c r="N79" i="17" a="1"/>
  <c r="N79" i="17" s="1"/>
  <c r="N219" i="17" a="1"/>
  <c r="N219" i="17" s="1"/>
  <c r="N309" i="17" a="1"/>
  <c r="N309" i="17" s="1"/>
  <c r="N249" i="17" a="1"/>
  <c r="N249" i="17" s="1"/>
  <c r="N279" i="17" a="1"/>
  <c r="N279" i="17" s="1"/>
  <c r="N339" i="17" a="1"/>
  <c r="N339" i="17" s="1"/>
  <c r="N429" i="17" a="1"/>
  <c r="N429" i="17" s="1"/>
  <c r="N369" i="17" a="1"/>
  <c r="N369" i="17" s="1"/>
  <c r="N399" i="17" a="1"/>
  <c r="N399" i="17" s="1"/>
  <c r="N459" i="17" a="1"/>
  <c r="N459" i="17" s="1"/>
  <c r="N10" i="17" a="1"/>
  <c r="N10" i="17"/>
  <c r="N80" i="17" a="1"/>
  <c r="N80" i="17" s="1"/>
  <c r="N81" i="17" a="1"/>
  <c r="N81" i="17" s="1"/>
  <c r="N82" i="17" a="1"/>
  <c r="N82" i="17" s="1"/>
  <c r="N83" i="17" a="1"/>
  <c r="N83" i="17" s="1"/>
  <c r="N84" i="17" a="1"/>
  <c r="N84" i="17" s="1"/>
  <c r="N85" i="17" a="1"/>
  <c r="N85" i="17" s="1"/>
  <c r="N220" i="17" a="1"/>
  <c r="N220" i="17" s="1"/>
  <c r="N310" i="17" a="1"/>
  <c r="N310" i="17" s="1"/>
  <c r="N250" i="17" a="1"/>
  <c r="N250" i="17"/>
  <c r="N280" i="17" a="1"/>
  <c r="N280" i="17" s="1"/>
  <c r="N340" i="17" a="1"/>
  <c r="N340" i="17" s="1"/>
  <c r="N430" i="17" a="1"/>
  <c r="N430" i="17" s="1"/>
  <c r="N370" i="17" a="1"/>
  <c r="N370" i="17" s="1"/>
  <c r="N400" i="17" a="1"/>
  <c r="N400" i="17" s="1"/>
  <c r="N460" i="17" a="1"/>
  <c r="N460" i="17" s="1"/>
  <c r="N11" i="17" a="1"/>
  <c r="N11" i="17" s="1"/>
  <c r="N86" i="17" a="1"/>
  <c r="N86" i="17" s="1"/>
  <c r="N87" i="17" a="1"/>
  <c r="N87" i="17" s="1"/>
  <c r="N88" i="17" a="1"/>
  <c r="N88" i="17" s="1"/>
  <c r="N89" i="17" a="1"/>
  <c r="N89" i="17" s="1"/>
  <c r="N90" i="17" a="1"/>
  <c r="N90" i="17" s="1"/>
  <c r="N91" i="17" a="1"/>
  <c r="N91" i="17" s="1"/>
  <c r="N221" i="17" a="1"/>
  <c r="N221" i="17" s="1"/>
  <c r="N311" i="17" a="1"/>
  <c r="N311" i="17" s="1"/>
  <c r="N251" i="17" a="1"/>
  <c r="N251" i="17" s="1"/>
  <c r="N281" i="17" a="1"/>
  <c r="N281" i="17" s="1"/>
  <c r="N341" i="17" a="1"/>
  <c r="N341" i="17" s="1"/>
  <c r="N431" i="17" a="1"/>
  <c r="N431" i="17" s="1"/>
  <c r="N371" i="17" a="1"/>
  <c r="N371" i="17" s="1"/>
  <c r="N401" i="17" a="1"/>
  <c r="N401" i="17" s="1"/>
  <c r="N461" i="17" a="1"/>
  <c r="N461" i="17" s="1"/>
  <c r="N12" i="17" a="1"/>
  <c r="N12" i="17" s="1"/>
  <c r="N92" i="17" a="1"/>
  <c r="N92" i="17" s="1"/>
  <c r="N93" i="17" a="1"/>
  <c r="N93" i="17" s="1"/>
  <c r="N94" i="17" a="1"/>
  <c r="N94" i="17" s="1"/>
  <c r="N95" i="17" a="1"/>
  <c r="N95" i="17" s="1"/>
  <c r="N96" i="17" a="1"/>
  <c r="N96" i="17" s="1"/>
  <c r="N97" i="17" a="1"/>
  <c r="N97" i="17" s="1"/>
  <c r="N222" i="17" a="1"/>
  <c r="N222" i="17" s="1"/>
  <c r="N312" i="17" a="1"/>
  <c r="N312" i="17" s="1"/>
  <c r="N252" i="17" a="1"/>
  <c r="N252" i="17" s="1"/>
  <c r="N282" i="17" a="1"/>
  <c r="N282" i="17" s="1"/>
  <c r="N342" i="17" a="1"/>
  <c r="N342" i="17" s="1"/>
  <c r="N432" i="17" a="1"/>
  <c r="N432" i="17" s="1"/>
  <c r="N372" i="17" a="1"/>
  <c r="N372" i="17" s="1"/>
  <c r="N402" i="17" a="1"/>
  <c r="N402" i="17" s="1"/>
  <c r="N462" i="17" a="1"/>
  <c r="N462" i="17" s="1"/>
  <c r="N13" i="17" a="1"/>
  <c r="N13" i="17" s="1"/>
  <c r="N98" i="17" a="1"/>
  <c r="N98" i="17" s="1"/>
  <c r="N99" i="17" a="1"/>
  <c r="N99" i="17"/>
  <c r="N100" i="17" a="1"/>
  <c r="N100" i="17" s="1"/>
  <c r="N101" i="17" a="1"/>
  <c r="N101" i="17" s="1"/>
  <c r="N102" i="17" a="1"/>
  <c r="N102" i="17"/>
  <c r="N103" i="17" a="1"/>
  <c r="N103" i="17" s="1"/>
  <c r="N223" i="17" a="1"/>
  <c r="N223" i="17" s="1"/>
  <c r="N313" i="17" a="1"/>
  <c r="N313" i="17" s="1"/>
  <c r="N253" i="17" a="1"/>
  <c r="N253" i="17" s="1"/>
  <c r="N283" i="17" a="1"/>
  <c r="N283" i="17" s="1"/>
  <c r="N343" i="17" a="1"/>
  <c r="N343" i="17" s="1"/>
  <c r="N433" i="17" a="1"/>
  <c r="N433" i="17" s="1"/>
  <c r="N373" i="17" a="1"/>
  <c r="N373" i="17" s="1"/>
  <c r="N403" i="17" a="1"/>
  <c r="N403" i="17" s="1"/>
  <c r="N463" i="17" a="1"/>
  <c r="N463" i="17" s="1"/>
  <c r="N14" i="17" a="1"/>
  <c r="N14" i="17" s="1"/>
  <c r="N104" i="17" a="1"/>
  <c r="N104" i="17" s="1"/>
  <c r="N105" i="17" a="1"/>
  <c r="N105" i="17" s="1"/>
  <c r="N106" i="17" a="1"/>
  <c r="N106" i="17" s="1"/>
  <c r="N107" i="17" a="1"/>
  <c r="N107" i="17" s="1"/>
  <c r="N108" i="17" a="1"/>
  <c r="N108" i="17" s="1"/>
  <c r="N109" i="17" a="1"/>
  <c r="N109" i="17" s="1"/>
  <c r="N224" i="17" a="1"/>
  <c r="N224" i="17" s="1"/>
  <c r="N314" i="17" a="1"/>
  <c r="N314" i="17" s="1"/>
  <c r="N254" i="17" a="1"/>
  <c r="N254" i="17" s="1"/>
  <c r="N284" i="17" a="1"/>
  <c r="N284" i="17" s="1"/>
  <c r="N344" i="17" a="1"/>
  <c r="N344" i="17" s="1"/>
  <c r="N434" i="17" a="1"/>
  <c r="N434" i="17" s="1"/>
  <c r="N374" i="17" a="1"/>
  <c r="N374" i="17"/>
  <c r="N404" i="17" a="1"/>
  <c r="N404" i="17" s="1"/>
  <c r="N464" i="17" a="1"/>
  <c r="N464" i="17" s="1"/>
  <c r="N15" i="17" a="1"/>
  <c r="N15" i="17" s="1"/>
  <c r="N110" i="17" a="1"/>
  <c r="N110" i="17" s="1"/>
  <c r="N111" i="17" a="1"/>
  <c r="N111" i="17" s="1"/>
  <c r="N112" i="17" a="1"/>
  <c r="N112" i="17" s="1"/>
  <c r="N113" i="17" a="1"/>
  <c r="N113" i="17" s="1"/>
  <c r="N114" i="17" a="1"/>
  <c r="N114" i="17" s="1"/>
  <c r="N115" i="17" a="1"/>
  <c r="N115" i="17" s="1"/>
  <c r="N225" i="17" a="1"/>
  <c r="N225" i="17" s="1"/>
  <c r="N315" i="17" a="1"/>
  <c r="N315" i="17" s="1"/>
  <c r="N255" i="17" a="1"/>
  <c r="N255" i="17" s="1"/>
  <c r="N285" i="17" a="1"/>
  <c r="N285" i="17" s="1"/>
  <c r="N345" i="17" a="1"/>
  <c r="N345" i="17" s="1"/>
  <c r="N435" i="17" a="1"/>
  <c r="N435" i="17" s="1"/>
  <c r="N375" i="17" a="1"/>
  <c r="N375" i="17" s="1"/>
  <c r="N405" i="17" a="1"/>
  <c r="N405" i="17" s="1"/>
  <c r="N465" i="17" a="1"/>
  <c r="N465" i="17" s="1"/>
  <c r="N16" i="17" a="1"/>
  <c r="N16" i="17" s="1"/>
  <c r="N116" i="17" a="1"/>
  <c r="N116" i="17" s="1"/>
  <c r="N117" i="17" a="1"/>
  <c r="N117" i="17" s="1"/>
  <c r="N118" i="17" a="1"/>
  <c r="N118" i="17" s="1"/>
  <c r="N119" i="17" a="1"/>
  <c r="N119" i="17" s="1"/>
  <c r="N120" i="17" a="1"/>
  <c r="N120" i="17"/>
  <c r="N121" i="17" a="1"/>
  <c r="N121" i="17" s="1"/>
  <c r="N226" i="17" a="1"/>
  <c r="N226" i="17" s="1"/>
  <c r="N316" i="17" a="1"/>
  <c r="N316" i="17" s="1"/>
  <c r="N256" i="17" a="1"/>
  <c r="N256" i="17"/>
  <c r="N286" i="17" a="1"/>
  <c r="N286" i="17" s="1"/>
  <c r="N346" i="17" a="1"/>
  <c r="N346" i="17" s="1"/>
  <c r="N436" i="17" a="1"/>
  <c r="N436" i="17" s="1"/>
  <c r="N376" i="17" a="1"/>
  <c r="N376" i="17" s="1"/>
  <c r="N406" i="17" a="1"/>
  <c r="N406" i="17" s="1"/>
  <c r="N466" i="17" a="1"/>
  <c r="N466" i="17" s="1"/>
  <c r="N17" i="17" a="1"/>
  <c r="N17" i="17"/>
  <c r="N122" i="17" a="1"/>
  <c r="N122" i="17" s="1"/>
  <c r="N123" i="17" a="1"/>
  <c r="N123" i="17" s="1"/>
  <c r="N124" i="17" a="1"/>
  <c r="N124" i="17" s="1"/>
  <c r="N125" i="17" a="1"/>
  <c r="N125" i="17" s="1"/>
  <c r="N126" i="17" a="1"/>
  <c r="N126" i="17" s="1"/>
  <c r="N127" i="17" a="1"/>
  <c r="N127" i="17" s="1"/>
  <c r="N227" i="17" a="1"/>
  <c r="N227" i="17" s="1"/>
  <c r="N317" i="17" a="1"/>
  <c r="N317" i="17" s="1"/>
  <c r="N257" i="17" a="1"/>
  <c r="N257" i="17" s="1"/>
  <c r="N287" i="17" a="1"/>
  <c r="N287" i="17" s="1"/>
  <c r="N347" i="17" a="1"/>
  <c r="N347" i="17" s="1"/>
  <c r="N437" i="17" a="1"/>
  <c r="N437" i="17"/>
  <c r="N377" i="17" a="1"/>
  <c r="N377" i="17" s="1"/>
  <c r="N407" i="17" a="1"/>
  <c r="N407" i="17" s="1"/>
  <c r="N467" i="17" a="1"/>
  <c r="N467" i="17" s="1"/>
  <c r="N18" i="17" a="1"/>
  <c r="N18" i="17"/>
  <c r="N128" i="17" a="1"/>
  <c r="N128" i="17" s="1"/>
  <c r="N129" i="17" a="1"/>
  <c r="N129" i="17" s="1"/>
  <c r="N130" i="17" a="1"/>
  <c r="N130" i="17" s="1"/>
  <c r="N131" i="17" a="1"/>
  <c r="N131" i="17"/>
  <c r="N132" i="17" a="1"/>
  <c r="N132" i="17"/>
  <c r="N133" i="17" a="1"/>
  <c r="N133" i="17" s="1"/>
  <c r="N228" i="17" a="1"/>
  <c r="N228" i="17" s="1"/>
  <c r="N318" i="17" a="1"/>
  <c r="N318" i="17" s="1"/>
  <c r="N258" i="17" a="1"/>
  <c r="N258" i="17" s="1"/>
  <c r="N288" i="17" a="1"/>
  <c r="N288" i="17" s="1"/>
  <c r="N348" i="17" a="1"/>
  <c r="N348" i="17" s="1"/>
  <c r="N438" i="17" a="1"/>
  <c r="N438" i="17" s="1"/>
  <c r="N378" i="17" a="1"/>
  <c r="N378" i="17"/>
  <c r="N408" i="17" a="1"/>
  <c r="N408" i="17" s="1"/>
  <c r="N468" i="17" a="1"/>
  <c r="N468" i="17" s="1"/>
  <c r="N19" i="17" a="1"/>
  <c r="N19" i="17" s="1"/>
  <c r="N134" i="17" a="1"/>
  <c r="N134" i="17" s="1"/>
  <c r="N135" i="17" a="1"/>
  <c r="N135" i="17"/>
  <c r="N136" i="17" a="1"/>
  <c r="N136" i="17" s="1"/>
  <c r="N137" i="17" a="1"/>
  <c r="N137" i="17" s="1"/>
  <c r="N138" i="17" a="1"/>
  <c r="N138" i="17" s="1"/>
  <c r="N139" i="17" a="1"/>
  <c r="N139" i="17" s="1"/>
  <c r="N229" i="17" a="1"/>
  <c r="N229" i="17" s="1"/>
  <c r="N319" i="17" a="1"/>
  <c r="N319" i="17" s="1"/>
  <c r="N259" i="17" a="1"/>
  <c r="N259" i="17" s="1"/>
  <c r="N289" i="17" a="1"/>
  <c r="N289" i="17" s="1"/>
  <c r="N349" i="17" a="1"/>
  <c r="N349" i="17" s="1"/>
  <c r="N439" i="17" a="1"/>
  <c r="N439" i="17" s="1"/>
  <c r="N379" i="17" a="1"/>
  <c r="N379" i="17" s="1"/>
  <c r="N409" i="17" a="1"/>
  <c r="N409" i="17" s="1"/>
  <c r="N469" i="17" a="1"/>
  <c r="N469" i="17" s="1"/>
  <c r="N20" i="17" a="1"/>
  <c r="N20" i="17" s="1"/>
  <c r="N140" i="17" a="1"/>
  <c r="N140" i="17" s="1"/>
  <c r="N141" i="17" a="1"/>
  <c r="N141" i="17"/>
  <c r="N142" i="17" a="1"/>
  <c r="N142" i="17" s="1"/>
  <c r="N143" i="17" a="1"/>
  <c r="N143" i="17" s="1"/>
  <c r="N144" i="17" a="1"/>
  <c r="N144" i="17" s="1"/>
  <c r="N145" i="17" a="1"/>
  <c r="N145" i="17" s="1"/>
  <c r="N230" i="17" a="1"/>
  <c r="N230" i="17" s="1"/>
  <c r="N320" i="17" a="1"/>
  <c r="N320" i="17" s="1"/>
  <c r="N260" i="17" a="1"/>
  <c r="N260" i="17"/>
  <c r="N290" i="17" a="1"/>
  <c r="N290" i="17" s="1"/>
  <c r="N350" i="17" a="1"/>
  <c r="N350" i="17" s="1"/>
  <c r="N440" i="17" a="1"/>
  <c r="N440" i="17" s="1"/>
  <c r="N380" i="17" a="1"/>
  <c r="N380" i="17" s="1"/>
  <c r="N410" i="17" a="1"/>
  <c r="N410" i="17" s="1"/>
  <c r="N470" i="17" a="1"/>
  <c r="N470" i="17" s="1"/>
  <c r="N21" i="17" a="1"/>
  <c r="N21" i="17" s="1"/>
  <c r="N146" i="17" a="1"/>
  <c r="N146" i="17" s="1"/>
  <c r="N147" i="17" a="1"/>
  <c r="N147" i="17" s="1"/>
  <c r="N148" i="17" a="1"/>
  <c r="N148" i="17" s="1"/>
  <c r="N149" i="17" a="1"/>
  <c r="N149" i="17" s="1"/>
  <c r="N150" i="17" a="1"/>
  <c r="N150" i="17" s="1"/>
  <c r="N151" i="17" a="1"/>
  <c r="N151" i="17" s="1"/>
  <c r="N231" i="17" a="1"/>
  <c r="N231" i="17" s="1"/>
  <c r="N321" i="17" a="1"/>
  <c r="N321" i="17" s="1"/>
  <c r="N261" i="17" a="1"/>
  <c r="N261" i="17" s="1"/>
  <c r="N291" i="17" a="1"/>
  <c r="N291" i="17" s="1"/>
  <c r="N351" i="17" a="1"/>
  <c r="N351" i="17" s="1"/>
  <c r="N441" i="17" a="1"/>
  <c r="N441" i="17" s="1"/>
  <c r="N381" i="17" a="1"/>
  <c r="N381" i="17" s="1"/>
  <c r="N411" i="17" a="1"/>
  <c r="N411" i="17" s="1"/>
  <c r="N471" i="17" a="1"/>
  <c r="N471" i="17" s="1"/>
  <c r="N22" i="17" a="1"/>
  <c r="N22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157" i="17" a="1"/>
  <c r="N157" i="17" s="1"/>
  <c r="N232" i="17" a="1"/>
  <c r="N232" i="17" s="1"/>
  <c r="N322" i="17" a="1"/>
  <c r="N322" i="17" s="1"/>
  <c r="N262" i="17" a="1"/>
  <c r="N262" i="17" s="1"/>
  <c r="N292" i="17" a="1"/>
  <c r="N292" i="17" s="1"/>
  <c r="N352" i="17" a="1"/>
  <c r="N352" i="17" s="1"/>
  <c r="N442" i="17" a="1"/>
  <c r="N442" i="17" s="1"/>
  <c r="N382" i="17" a="1"/>
  <c r="N382" i="17" s="1"/>
  <c r="N412" i="17" a="1"/>
  <c r="N412" i="17" s="1"/>
  <c r="N472" i="17" a="1"/>
  <c r="N472" i="17" s="1"/>
  <c r="N23" i="17" a="1"/>
  <c r="N23" i="17" s="1"/>
  <c r="N158" i="17" a="1"/>
  <c r="N158" i="17" s="1"/>
  <c r="N159" i="17" a="1"/>
  <c r="N159" i="17" s="1"/>
  <c r="N160" i="17" a="1"/>
  <c r="N160" i="17" s="1"/>
  <c r="N161" i="17" a="1"/>
  <c r="N161" i="17" s="1"/>
  <c r="N162" i="17" a="1"/>
  <c r="N162" i="17" s="1"/>
  <c r="N163" i="17" a="1"/>
  <c r="N163" i="17" s="1"/>
  <c r="N233" i="17" a="1"/>
  <c r="N233" i="17" s="1"/>
  <c r="N323" i="17" a="1"/>
  <c r="N323" i="17" s="1"/>
  <c r="N263" i="17" a="1"/>
  <c r="N263" i="17" s="1"/>
  <c r="N293" i="17" a="1"/>
  <c r="N293" i="17" s="1"/>
  <c r="N353" i="17" a="1"/>
  <c r="N353" i="17" s="1"/>
  <c r="N443" i="17" a="1"/>
  <c r="N443" i="17" s="1"/>
  <c r="N383" i="17" a="1"/>
  <c r="N383" i="17" s="1"/>
  <c r="N413" i="17" a="1"/>
  <c r="N413" i="17" s="1"/>
  <c r="N473" i="17" a="1"/>
  <c r="N473" i="17" s="1"/>
  <c r="N24" i="17" a="1"/>
  <c r="N24" i="17" s="1"/>
  <c r="N164" i="17" a="1"/>
  <c r="N164" i="17" s="1"/>
  <c r="N165" i="17" a="1"/>
  <c r="N165" i="17" s="1"/>
  <c r="N166" i="17" a="1"/>
  <c r="N166" i="17" s="1"/>
  <c r="N167" i="17" a="1"/>
  <c r="N167" i="17" s="1"/>
  <c r="N168" i="17" a="1"/>
  <c r="N168" i="17"/>
  <c r="N169" i="17" a="1"/>
  <c r="N169" i="17" s="1"/>
  <c r="N234" i="17" a="1"/>
  <c r="N234" i="17" s="1"/>
  <c r="N324" i="17" a="1"/>
  <c r="N324" i="17" s="1"/>
  <c r="N264" i="17" a="1"/>
  <c r="N264" i="17" s="1"/>
  <c r="N294" i="17" a="1"/>
  <c r="N294" i="17" s="1"/>
  <c r="N354" i="17" a="1"/>
  <c r="N354" i="17" s="1"/>
  <c r="N444" i="17" a="1"/>
  <c r="N444" i="17" s="1"/>
  <c r="N384" i="17" a="1"/>
  <c r="N384" i="17" s="1"/>
  <c r="N414" i="17" a="1"/>
  <c r="N414" i="17"/>
  <c r="N474" i="17" a="1"/>
  <c r="N474" i="17" s="1"/>
  <c r="N25" i="17" a="1"/>
  <c r="N25" i="17" s="1"/>
  <c r="N170" i="17" a="1"/>
  <c r="N170" i="17" s="1"/>
  <c r="N171" i="17" a="1"/>
  <c r="N171" i="17"/>
  <c r="N172" i="17" a="1"/>
  <c r="N172" i="17" s="1"/>
  <c r="N173" i="17" a="1"/>
  <c r="N173" i="17" s="1"/>
  <c r="N174" i="17" a="1"/>
  <c r="N174" i="17" s="1"/>
  <c r="N175" i="17" a="1"/>
  <c r="N175" i="17" s="1"/>
  <c r="N235" i="17" a="1"/>
  <c r="N235" i="17" s="1"/>
  <c r="N325" i="17" a="1"/>
  <c r="N325" i="17" s="1"/>
  <c r="N265" i="17" a="1"/>
  <c r="N265" i="17" s="1"/>
  <c r="N295" i="17" a="1"/>
  <c r="N295" i="17" s="1"/>
  <c r="N355" i="17" a="1"/>
  <c r="N355" i="17" s="1"/>
  <c r="N445" i="17" a="1"/>
  <c r="N445" i="17" s="1"/>
  <c r="N385" i="17" a="1"/>
  <c r="N385" i="17" s="1"/>
  <c r="N415" i="17" a="1"/>
  <c r="N415" i="17"/>
  <c r="N475" i="17" a="1"/>
  <c r="N475" i="17" s="1"/>
  <c r="N26" i="17" a="1"/>
  <c r="N26" i="17" s="1"/>
  <c r="N176" i="17" a="1"/>
  <c r="N176" i="17" s="1"/>
  <c r="N177" i="17" a="1"/>
  <c r="N177" i="17" s="1"/>
  <c r="N178" i="17" a="1"/>
  <c r="N178" i="17" s="1"/>
  <c r="N179" i="17" a="1"/>
  <c r="N179" i="17" s="1"/>
  <c r="N180" i="17" a="1"/>
  <c r="N180" i="17"/>
  <c r="N181" i="17" a="1"/>
  <c r="N181" i="17" s="1"/>
  <c r="N236" i="17" a="1"/>
  <c r="N236" i="17" s="1"/>
  <c r="N326" i="17" a="1"/>
  <c r="N326" i="17" s="1"/>
  <c r="N266" i="17" a="1"/>
  <c r="N266" i="17" s="1"/>
  <c r="N296" i="17" a="1"/>
  <c r="N296" i="17" s="1"/>
  <c r="N356" i="17" a="1"/>
  <c r="N356" i="17" s="1"/>
  <c r="N446" i="17" a="1"/>
  <c r="N446" i="17" s="1"/>
  <c r="N386" i="17" a="1"/>
  <c r="N386" i="17" s="1"/>
  <c r="N416" i="17" a="1"/>
  <c r="N416" i="17"/>
  <c r="N476" i="17" a="1"/>
  <c r="N476" i="17" s="1"/>
  <c r="N27" i="17" a="1"/>
  <c r="N27" i="17" s="1"/>
  <c r="N182" i="17" a="1"/>
  <c r="N182" i="17" s="1"/>
  <c r="N183" i="17" a="1"/>
  <c r="N183" i="17" s="1"/>
  <c r="N184" i="17" a="1"/>
  <c r="N184" i="17" s="1"/>
  <c r="N185" i="17" a="1"/>
  <c r="N185" i="17" s="1"/>
  <c r="N186" i="17" a="1"/>
  <c r="N186" i="17" s="1"/>
  <c r="N187" i="17" a="1"/>
  <c r="N187" i="17" s="1"/>
  <c r="N237" i="17" a="1"/>
  <c r="N237" i="17" s="1"/>
  <c r="N327" i="17" a="1"/>
  <c r="N327" i="17" s="1"/>
  <c r="N267" i="17" a="1"/>
  <c r="N267" i="17" s="1"/>
  <c r="N297" i="17" a="1"/>
  <c r="N297" i="17" s="1"/>
  <c r="N357" i="17" a="1"/>
  <c r="N357" i="17" s="1"/>
  <c r="N447" i="17" a="1"/>
  <c r="N447" i="17" s="1"/>
  <c r="N387" i="17" a="1"/>
  <c r="N387" i="17" s="1"/>
  <c r="N417" i="17" a="1"/>
  <c r="N417" i="17"/>
  <c r="N477" i="17" a="1"/>
  <c r="N477" i="17" s="1"/>
  <c r="N28" i="17" a="1"/>
  <c r="N28" i="17" s="1"/>
  <c r="N188" i="17" a="1"/>
  <c r="N188" i="17" s="1"/>
  <c r="N189" i="17" a="1"/>
  <c r="N189" i="17"/>
  <c r="N190" i="17" a="1"/>
  <c r="N190" i="17" s="1"/>
  <c r="N191" i="17" a="1"/>
  <c r="N191" i="17" s="1"/>
  <c r="N192" i="17" a="1"/>
  <c r="N192" i="17" s="1"/>
  <c r="N193" i="17" a="1"/>
  <c r="N193" i="17" s="1"/>
  <c r="N238" i="17" a="1"/>
  <c r="N238" i="17" s="1"/>
  <c r="N328" i="17" a="1"/>
  <c r="N328" i="17" s="1"/>
  <c r="N268" i="17" a="1"/>
  <c r="N268" i="17" s="1"/>
  <c r="N298" i="17" a="1"/>
  <c r="N298" i="17" s="1"/>
  <c r="N358" i="17" a="1"/>
  <c r="N358" i="17" s="1"/>
  <c r="N448" i="17" a="1"/>
  <c r="N448" i="17" s="1"/>
  <c r="N388" i="17" a="1"/>
  <c r="N388" i="17" s="1"/>
  <c r="N418" i="17" a="1"/>
  <c r="N418" i="17" s="1"/>
  <c r="N478" i="17" a="1"/>
  <c r="N478" i="17" s="1"/>
  <c r="N29" i="17" a="1"/>
  <c r="N29" i="17" s="1"/>
  <c r="N194" i="17" a="1"/>
  <c r="N194" i="17" s="1"/>
  <c r="N195" i="17" a="1"/>
  <c r="N195" i="17" s="1"/>
  <c r="N196" i="17" a="1"/>
  <c r="N196" i="17" s="1"/>
  <c r="N197" i="17" a="1"/>
  <c r="N197" i="17" s="1"/>
  <c r="N198" i="17" a="1"/>
  <c r="N198" i="17" s="1"/>
  <c r="N199" i="17" a="1"/>
  <c r="N199" i="17" s="1"/>
  <c r="N239" i="17" a="1"/>
  <c r="N239" i="17" s="1"/>
  <c r="N329" i="17" a="1"/>
  <c r="N329" i="17" s="1"/>
  <c r="N269" i="17" a="1"/>
  <c r="N269" i="17" s="1"/>
  <c r="N299" i="17" a="1"/>
  <c r="N299" i="17" s="1"/>
  <c r="N359" i="17" a="1"/>
  <c r="N359" i="17" s="1"/>
  <c r="N449" i="17" a="1"/>
  <c r="N449" i="17" s="1"/>
  <c r="N389" i="17" a="1"/>
  <c r="N389" i="17" s="1"/>
  <c r="N419" i="17" a="1"/>
  <c r="N419" i="17" s="1"/>
  <c r="N479" i="17" a="1"/>
  <c r="N479" i="17" s="1"/>
  <c r="N30" i="17" a="1"/>
  <c r="N30" i="17" s="1"/>
  <c r="N200" i="17" a="1"/>
  <c r="N200" i="17" s="1"/>
  <c r="N201" i="17" a="1"/>
  <c r="N201" i="17" s="1"/>
  <c r="N202" i="17" a="1"/>
  <c r="N202" i="17" s="1"/>
  <c r="N203" i="17" a="1"/>
  <c r="N203" i="17" s="1"/>
  <c r="N204" i="17" a="1"/>
  <c r="N204" i="17"/>
  <c r="N205" i="17" a="1"/>
  <c r="N205" i="17" s="1"/>
  <c r="N240" i="17" a="1"/>
  <c r="N240" i="17" s="1"/>
  <c r="N330" i="17" a="1"/>
  <c r="N330" i="17" s="1"/>
  <c r="N270" i="17" a="1"/>
  <c r="N270" i="17" s="1"/>
  <c r="N300" i="17" a="1"/>
  <c r="N300" i="17" s="1"/>
  <c r="N360" i="17" a="1"/>
  <c r="N360" i="17" s="1"/>
  <c r="N450" i="17" a="1"/>
  <c r="N450" i="17" s="1"/>
  <c r="N390" i="17" a="1"/>
  <c r="N390" i="17" s="1"/>
  <c r="N420" i="17" a="1"/>
  <c r="N420" i="17"/>
  <c r="N480" i="17" a="1"/>
  <c r="N480" i="17" s="1"/>
  <c r="N31" i="17" a="1"/>
  <c r="N31" i="17" s="1"/>
  <c r="N206" i="17" a="1"/>
  <c r="N206" i="17" s="1"/>
  <c r="N207" i="17" a="1"/>
  <c r="N207" i="17" s="1"/>
  <c r="N208" i="17" a="1"/>
  <c r="N208" i="17" s="1"/>
  <c r="N209" i="17" a="1"/>
  <c r="N209" i="17" s="1"/>
  <c r="N210" i="17" a="1"/>
  <c r="N210" i="17" s="1"/>
  <c r="N211" i="17" a="1"/>
  <c r="N211" i="17" s="1"/>
  <c r="N241" i="17" a="1"/>
  <c r="N241" i="17" s="1"/>
  <c r="N331" i="17" a="1"/>
  <c r="N331" i="17" s="1"/>
  <c r="N271" i="17" a="1"/>
  <c r="N271" i="17" s="1"/>
  <c r="N301" i="17" a="1"/>
  <c r="N301" i="17" s="1"/>
  <c r="N361" i="17" a="1"/>
  <c r="N361" i="17" s="1"/>
  <c r="N451" i="17" a="1"/>
  <c r="N451" i="17" s="1"/>
  <c r="N391" i="17" a="1"/>
  <c r="N391" i="17" s="1"/>
  <c r="N421" i="17" a="1"/>
  <c r="N421" i="17" s="1"/>
  <c r="N481" i="17" a="1"/>
  <c r="N481" i="17" s="1"/>
  <c r="O2" i="17" a="1"/>
  <c r="O2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212" i="17" a="1"/>
  <c r="O212" i="17" s="1"/>
  <c r="O302" i="17" a="1"/>
  <c r="O302" i="17" s="1"/>
  <c r="O242" i="17" a="1"/>
  <c r="O242" i="17" s="1"/>
  <c r="O272" i="17" a="1"/>
  <c r="O272" i="17" s="1"/>
  <c r="O332" i="17" a="1"/>
  <c r="O332" i="17" s="1"/>
  <c r="O422" i="17" a="1"/>
  <c r="O422" i="17" s="1"/>
  <c r="O362" i="17" a="1"/>
  <c r="O362" i="17" s="1"/>
  <c r="O392" i="17" a="1"/>
  <c r="O392" i="17" s="1"/>
  <c r="O452" i="17" a="1"/>
  <c r="O452" i="17" s="1"/>
  <c r="O3" i="17" a="1"/>
  <c r="O3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213" i="17" a="1"/>
  <c r="O213" i="17" s="1"/>
  <c r="O303" i="17" a="1"/>
  <c r="O303" i="17" s="1"/>
  <c r="O243" i="17" a="1"/>
  <c r="O243" i="17" s="1"/>
  <c r="O273" i="17" a="1"/>
  <c r="O273" i="17" s="1"/>
  <c r="O333" i="17" a="1"/>
  <c r="O333" i="17" s="1"/>
  <c r="O423" i="17" a="1"/>
  <c r="O423" i="17" s="1"/>
  <c r="O363" i="17" a="1"/>
  <c r="O363" i="17" s="1"/>
  <c r="O393" i="17" a="1"/>
  <c r="O393" i="17" s="1"/>
  <c r="O453" i="17" a="1"/>
  <c r="O453" i="17" s="1"/>
  <c r="O4" i="17" a="1"/>
  <c r="O4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214" i="17" a="1"/>
  <c r="O214" i="17" s="1"/>
  <c r="O304" i="17" a="1"/>
  <c r="O304" i="17" s="1"/>
  <c r="O244" i="17" a="1"/>
  <c r="O244" i="17"/>
  <c r="O274" i="17" a="1"/>
  <c r="O274" i="17" s="1"/>
  <c r="O334" i="17" a="1"/>
  <c r="O334" i="17" s="1"/>
  <c r="O424" i="17" a="1"/>
  <c r="O424" i="17" s="1"/>
  <c r="O364" i="17" a="1"/>
  <c r="O364" i="17" s="1"/>
  <c r="O394" i="17" a="1"/>
  <c r="O394" i="17" s="1"/>
  <c r="O454" i="17" a="1"/>
  <c r="O454" i="17" s="1"/>
  <c r="O5" i="17" a="1"/>
  <c r="O5" i="17" s="1"/>
  <c r="O50" i="17" a="1"/>
  <c r="O50" i="17" s="1"/>
  <c r="O51" i="17" a="1"/>
  <c r="O51" i="17"/>
  <c r="O52" i="17" a="1"/>
  <c r="O52" i="17" s="1"/>
  <c r="O53" i="17" a="1"/>
  <c r="O53" i="17" s="1"/>
  <c r="O54" i="17" a="1"/>
  <c r="O54" i="17" s="1"/>
  <c r="O55" i="17" a="1"/>
  <c r="O55" i="17" s="1"/>
  <c r="O215" i="17" a="1"/>
  <c r="O215" i="17" s="1"/>
  <c r="O305" i="17" a="1"/>
  <c r="O305" i="17" s="1"/>
  <c r="O245" i="17" a="1"/>
  <c r="O245" i="17" s="1"/>
  <c r="O275" i="17" a="1"/>
  <c r="O275" i="17" s="1"/>
  <c r="O335" i="17" a="1"/>
  <c r="O335" i="17" s="1"/>
  <c r="O425" i="17" a="1"/>
  <c r="O425" i="17" s="1"/>
  <c r="O365" i="17" a="1"/>
  <c r="O365" i="17" s="1"/>
  <c r="O395" i="17" a="1"/>
  <c r="O395" i="17" s="1"/>
  <c r="O455" i="17" a="1"/>
  <c r="O455" i="17" s="1"/>
  <c r="O6" i="17" a="1"/>
  <c r="O6" i="17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216" i="17" a="1"/>
  <c r="O216" i="17" s="1"/>
  <c r="O306" i="17" a="1"/>
  <c r="O306" i="17" s="1"/>
  <c r="O246" i="17" a="1"/>
  <c r="O246" i="17" s="1"/>
  <c r="O276" i="17" a="1"/>
  <c r="O276" i="17" s="1"/>
  <c r="O336" i="17" a="1"/>
  <c r="O336" i="17" s="1"/>
  <c r="O426" i="17" a="1"/>
  <c r="O426" i="17" s="1"/>
  <c r="O366" i="17" a="1"/>
  <c r="O366" i="17" s="1"/>
  <c r="O396" i="17" a="1"/>
  <c r="O396" i="17" s="1"/>
  <c r="O456" i="17" a="1"/>
  <c r="O456" i="17" s="1"/>
  <c r="O7" i="17" a="1"/>
  <c r="O7" i="17" s="1"/>
  <c r="O62" i="17" a="1"/>
  <c r="O62" i="17" s="1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217" i="17" a="1"/>
  <c r="O217" i="17" s="1"/>
  <c r="O307" i="17" a="1"/>
  <c r="O307" i="17" s="1"/>
  <c r="O247" i="17" a="1"/>
  <c r="O247" i="17" s="1"/>
  <c r="O277" i="17" a="1"/>
  <c r="O277" i="17" s="1"/>
  <c r="O337" i="17" a="1"/>
  <c r="O337" i="17" s="1"/>
  <c r="O427" i="17" a="1"/>
  <c r="O427" i="17" s="1"/>
  <c r="O367" i="17" a="1"/>
  <c r="O367" i="17" s="1"/>
  <c r="O397" i="17" a="1"/>
  <c r="O397" i="17"/>
  <c r="O457" i="17" a="1"/>
  <c r="O457" i="17" s="1"/>
  <c r="O8" i="17" a="1"/>
  <c r="O8" i="17" s="1"/>
  <c r="O68" i="17" a="1"/>
  <c r="O68" i="17" s="1"/>
  <c r="O69" i="17" a="1"/>
  <c r="O69" i="17" s="1"/>
  <c r="O70" i="17" a="1"/>
  <c r="O70" i="17" s="1"/>
  <c r="O71" i="17" a="1"/>
  <c r="O71" i="17" s="1"/>
  <c r="O72" i="17" a="1"/>
  <c r="O72" i="17" s="1"/>
  <c r="O73" i="17" a="1"/>
  <c r="O73" i="17" s="1"/>
  <c r="O218" i="17" a="1"/>
  <c r="O218" i="17" s="1"/>
  <c r="O308" i="17" a="1"/>
  <c r="O308" i="17" s="1"/>
  <c r="O248" i="17" a="1"/>
  <c r="O248" i="17" s="1"/>
  <c r="O278" i="17" a="1"/>
  <c r="O278" i="17" s="1"/>
  <c r="O338" i="17" a="1"/>
  <c r="O338" i="17" s="1"/>
  <c r="O428" i="17" a="1"/>
  <c r="O428" i="17" s="1"/>
  <c r="O368" i="17" a="1"/>
  <c r="O368" i="17" s="1"/>
  <c r="O398" i="17" a="1"/>
  <c r="O398" i="17" s="1"/>
  <c r="O458" i="17" a="1"/>
  <c r="O458" i="17" s="1"/>
  <c r="O9" i="17" a="1"/>
  <c r="O9" i="17" s="1"/>
  <c r="O74" i="17" a="1"/>
  <c r="O74" i="17" s="1"/>
  <c r="O75" i="17" a="1"/>
  <c r="O75" i="17"/>
  <c r="O76" i="17" a="1"/>
  <c r="O76" i="17" s="1"/>
  <c r="O77" i="17" a="1"/>
  <c r="O77" i="17" s="1"/>
  <c r="O78" i="17" a="1"/>
  <c r="O78" i="17" s="1"/>
  <c r="O79" i="17" a="1"/>
  <c r="O79" i="17" s="1"/>
  <c r="O219" i="17" a="1"/>
  <c r="O219" i="17" s="1"/>
  <c r="O309" i="17" a="1"/>
  <c r="O309" i="17" s="1"/>
  <c r="O249" i="17" a="1"/>
  <c r="O249" i="17" s="1"/>
  <c r="O279" i="17" a="1"/>
  <c r="O279" i="17" s="1"/>
  <c r="O339" i="17" a="1"/>
  <c r="O339" i="17" s="1"/>
  <c r="O429" i="17" a="1"/>
  <c r="O429" i="17" s="1"/>
  <c r="O369" i="17" a="1"/>
  <c r="O369" i="17" s="1"/>
  <c r="O399" i="17" a="1"/>
  <c r="O399" i="17" s="1"/>
  <c r="O459" i="17" a="1"/>
  <c r="O459" i="17" s="1"/>
  <c r="O10" i="17" a="1"/>
  <c r="O10" i="17" s="1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220" i="17" a="1"/>
  <c r="O220" i="17" s="1"/>
  <c r="O310" i="17" a="1"/>
  <c r="O310" i="17" s="1"/>
  <c r="O250" i="17" a="1"/>
  <c r="O250" i="17" s="1"/>
  <c r="O280" i="17" a="1"/>
  <c r="O280" i="17" s="1"/>
  <c r="O340" i="17" a="1"/>
  <c r="O340" i="17" s="1"/>
  <c r="O430" i="17" a="1"/>
  <c r="O430" i="17" s="1"/>
  <c r="O370" i="17" a="1"/>
  <c r="O370" i="17" s="1"/>
  <c r="O400" i="17" a="1"/>
  <c r="O400" i="17" s="1"/>
  <c r="O460" i="17" a="1"/>
  <c r="O460" i="17" s="1"/>
  <c r="O11" i="17" a="1"/>
  <c r="O11" i="17" s="1"/>
  <c r="O86" i="17" a="1"/>
  <c r="O86" i="17" s="1"/>
  <c r="O87" i="17" a="1"/>
  <c r="O87" i="17"/>
  <c r="O88" i="17" a="1"/>
  <c r="O88" i="17" s="1"/>
  <c r="O89" i="17" a="1"/>
  <c r="O89" i="17" s="1"/>
  <c r="O90" i="17" a="1"/>
  <c r="O90" i="17" s="1"/>
  <c r="O91" i="17" a="1"/>
  <c r="O91" i="17" s="1"/>
  <c r="O221" i="17" a="1"/>
  <c r="O221" i="17" s="1"/>
  <c r="O311" i="17" a="1"/>
  <c r="O311" i="17" s="1"/>
  <c r="O251" i="17" a="1"/>
  <c r="O251" i="17" s="1"/>
  <c r="O281" i="17" a="1"/>
  <c r="O281" i="17" s="1"/>
  <c r="O341" i="17" a="1"/>
  <c r="O341" i="17" s="1"/>
  <c r="O431" i="17" a="1"/>
  <c r="O431" i="17" s="1"/>
  <c r="O371" i="17" a="1"/>
  <c r="O371" i="17" s="1"/>
  <c r="O401" i="17" a="1"/>
  <c r="O401" i="17" s="1"/>
  <c r="O461" i="17" a="1"/>
  <c r="O461" i="17" s="1"/>
  <c r="O12" i="17" a="1"/>
  <c r="O12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222" i="17" a="1"/>
  <c r="O222" i="17" s="1"/>
  <c r="O312" i="17" a="1"/>
  <c r="O312" i="17" s="1"/>
  <c r="O252" i="17" a="1"/>
  <c r="O252" i="17" s="1"/>
  <c r="O282" i="17" a="1"/>
  <c r="O282" i="17"/>
  <c r="O342" i="17" a="1"/>
  <c r="O342" i="17" s="1"/>
  <c r="O432" i="17" a="1"/>
  <c r="O432" i="17" s="1"/>
  <c r="O372" i="17" a="1"/>
  <c r="O372" i="17" s="1"/>
  <c r="O402" i="17" a="1"/>
  <c r="O402" i="17" s="1"/>
  <c r="O462" i="17" a="1"/>
  <c r="O462" i="17" s="1"/>
  <c r="O13" i="17" a="1"/>
  <c r="O13" i="17" s="1"/>
  <c r="O98" i="17" a="1"/>
  <c r="O98" i="17" s="1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223" i="17" a="1"/>
  <c r="O223" i="17" s="1"/>
  <c r="O313" i="17" a="1"/>
  <c r="O313" i="17" s="1"/>
  <c r="O253" i="17" a="1"/>
  <c r="O253" i="17" s="1"/>
  <c r="O283" i="17" a="1"/>
  <c r="O283" i="17"/>
  <c r="O343" i="17" a="1"/>
  <c r="O343" i="17" s="1"/>
  <c r="O433" i="17" a="1"/>
  <c r="O433" i="17" s="1"/>
  <c r="O373" i="17" a="1"/>
  <c r="O373" i="17" s="1"/>
  <c r="O403" i="17" a="1"/>
  <c r="O403" i="17" s="1"/>
  <c r="O463" i="17" a="1"/>
  <c r="O463" i="17" s="1"/>
  <c r="O14" i="17" a="1"/>
  <c r="O14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/>
  <c r="O224" i="17" a="1"/>
  <c r="O224" i="17" s="1"/>
  <c r="O314" i="17" a="1"/>
  <c r="O314" i="17" s="1"/>
  <c r="O254" i="17" a="1"/>
  <c r="O254" i="17" s="1"/>
  <c r="O284" i="17" a="1"/>
  <c r="O284" i="17" s="1"/>
  <c r="O344" i="17" a="1"/>
  <c r="O344" i="17" s="1"/>
  <c r="O434" i="17" a="1"/>
  <c r="O434" i="17" s="1"/>
  <c r="O374" i="17" a="1"/>
  <c r="O374" i="17"/>
  <c r="O404" i="17" a="1"/>
  <c r="O404" i="17" s="1"/>
  <c r="O464" i="17" a="1"/>
  <c r="O464" i="17" s="1"/>
  <c r="O15" i="17" a="1"/>
  <c r="O15" i="17" s="1"/>
  <c r="O110" i="17" a="1"/>
  <c r="O110" i="17" s="1"/>
  <c r="O111" i="17" a="1"/>
  <c r="O111" i="17" s="1"/>
  <c r="O112" i="17" a="1"/>
  <c r="O112" i="17" s="1"/>
  <c r="O113" i="17" a="1"/>
  <c r="O113" i="17"/>
  <c r="O114" i="17" a="1"/>
  <c r="O114" i="17" s="1"/>
  <c r="O115" i="17" a="1"/>
  <c r="O115" i="17" s="1"/>
  <c r="O225" i="17" a="1"/>
  <c r="O225" i="17" s="1"/>
  <c r="O315" i="17" a="1"/>
  <c r="O315" i="17" s="1"/>
  <c r="O255" i="17" a="1"/>
  <c r="O255" i="17" s="1"/>
  <c r="O285" i="17" a="1"/>
  <c r="O285" i="17" s="1"/>
  <c r="O345" i="17" a="1"/>
  <c r="O345" i="17" s="1"/>
  <c r="O435" i="17" a="1"/>
  <c r="O435" i="17" s="1"/>
  <c r="O375" i="17" a="1"/>
  <c r="O375" i="17" s="1"/>
  <c r="O405" i="17" a="1"/>
  <c r="O405" i="17" s="1"/>
  <c r="O465" i="17" a="1"/>
  <c r="O465" i="17" s="1"/>
  <c r="O16" i="17" a="1"/>
  <c r="O16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226" i="17" a="1"/>
  <c r="O226" i="17" s="1"/>
  <c r="O316" i="17" a="1"/>
  <c r="O316" i="17" s="1"/>
  <c r="O256" i="17" a="1"/>
  <c r="O256" i="17" s="1"/>
  <c r="O286" i="17" a="1"/>
  <c r="O286" i="17" s="1"/>
  <c r="O346" i="17" a="1"/>
  <c r="O346" i="17" s="1"/>
  <c r="O436" i="17" a="1"/>
  <c r="O436" i="17" s="1"/>
  <c r="O376" i="17" a="1"/>
  <c r="O376" i="17" s="1"/>
  <c r="O406" i="17" a="1"/>
  <c r="O406" i="17" s="1"/>
  <c r="O466" i="17" a="1"/>
  <c r="O466" i="17" s="1"/>
  <c r="O17" i="17" a="1"/>
  <c r="O17" i="17" s="1"/>
  <c r="O122" i="17" a="1"/>
  <c r="O122" i="17" s="1"/>
  <c r="O123" i="17" a="1"/>
  <c r="O123" i="17" s="1"/>
  <c r="O124" i="17" a="1"/>
  <c r="O124" i="17" s="1"/>
  <c r="O125" i="17" a="1"/>
  <c r="O125" i="17" s="1"/>
  <c r="O126" i="17" a="1"/>
  <c r="O126" i="17" s="1"/>
  <c r="O127" i="17" a="1"/>
  <c r="O127" i="17" s="1"/>
  <c r="O227" i="17" a="1"/>
  <c r="O227" i="17" s="1"/>
  <c r="O317" i="17" a="1"/>
  <c r="O317" i="17" s="1"/>
  <c r="O257" i="17" a="1"/>
  <c r="O257" i="17" s="1"/>
  <c r="O287" i="17" a="1"/>
  <c r="O287" i="17" s="1"/>
  <c r="O347" i="17" a="1"/>
  <c r="O347" i="17" s="1"/>
  <c r="O437" i="17" a="1"/>
  <c r="O437" i="17" s="1"/>
  <c r="O377" i="17" a="1"/>
  <c r="O377" i="17"/>
  <c r="O407" i="17" a="1"/>
  <c r="O407" i="17" s="1"/>
  <c r="O467" i="17" a="1"/>
  <c r="O467" i="17" s="1"/>
  <c r="O18" i="17" a="1"/>
  <c r="O18" i="17" s="1"/>
  <c r="O128" i="17" a="1"/>
  <c r="O128" i="17" s="1"/>
  <c r="O129" i="17" a="1"/>
  <c r="O129" i="17" s="1"/>
  <c r="O130" i="17" a="1"/>
  <c r="O130" i="17" s="1"/>
  <c r="O131" i="17" a="1"/>
  <c r="O131" i="17"/>
  <c r="O132" i="17" a="1"/>
  <c r="O132" i="17" s="1"/>
  <c r="O133" i="17" a="1"/>
  <c r="O133" i="17" s="1"/>
  <c r="O228" i="17" a="1"/>
  <c r="O228" i="17" s="1"/>
  <c r="O318" i="17" a="1"/>
  <c r="O318" i="17"/>
  <c r="O258" i="17" a="1"/>
  <c r="O258" i="17" s="1"/>
  <c r="O288" i="17" a="1"/>
  <c r="O288" i="17" s="1"/>
  <c r="O348" i="17" a="1"/>
  <c r="O348" i="17" s="1"/>
  <c r="O438" i="17" a="1"/>
  <c r="O438" i="17" s="1"/>
  <c r="O378" i="17" a="1"/>
  <c r="O378" i="17" s="1"/>
  <c r="O408" i="17" a="1"/>
  <c r="O408" i="17" s="1"/>
  <c r="O468" i="17" a="1"/>
  <c r="O468" i="17" s="1"/>
  <c r="O19" i="17" a="1"/>
  <c r="O19" i="17" s="1"/>
  <c r="O134" i="17" a="1"/>
  <c r="O134" i="17" s="1"/>
  <c r="O135" i="17" a="1"/>
  <c r="O135" i="17"/>
  <c r="O136" i="17" a="1"/>
  <c r="O136" i="17" s="1"/>
  <c r="O137" i="17" a="1"/>
  <c r="O137" i="17" s="1"/>
  <c r="O138" i="17" a="1"/>
  <c r="O138" i="17" s="1"/>
  <c r="O139" i="17" a="1"/>
  <c r="O139" i="17" s="1"/>
  <c r="O229" i="17" a="1"/>
  <c r="O229" i="17" s="1"/>
  <c r="O319" i="17" a="1"/>
  <c r="O319" i="17" s="1"/>
  <c r="O259" i="17" a="1"/>
  <c r="O259" i="17" s="1"/>
  <c r="O289" i="17" a="1"/>
  <c r="O289" i="17" s="1"/>
  <c r="O349" i="17" a="1"/>
  <c r="O349" i="17" s="1"/>
  <c r="O439" i="17" a="1"/>
  <c r="O439" i="17" s="1"/>
  <c r="O379" i="17" a="1"/>
  <c r="O379" i="17" s="1"/>
  <c r="O409" i="17" a="1"/>
  <c r="O409" i="17" s="1"/>
  <c r="O469" i="17" a="1"/>
  <c r="O469" i="17" s="1"/>
  <c r="O20" i="17" a="1"/>
  <c r="O20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 s="1"/>
  <c r="O230" i="17" a="1"/>
  <c r="O230" i="17" s="1"/>
  <c r="O320" i="17" a="1"/>
  <c r="O320" i="17" s="1"/>
  <c r="O260" i="17" a="1"/>
  <c r="O260" i="17" s="1"/>
  <c r="O290" i="17" a="1"/>
  <c r="O290" i="17" s="1"/>
  <c r="O350" i="17" a="1"/>
  <c r="O350" i="17" s="1"/>
  <c r="O440" i="17" a="1"/>
  <c r="O440" i="17" s="1"/>
  <c r="O380" i="17" a="1"/>
  <c r="O380" i="17" s="1"/>
  <c r="O410" i="17" a="1"/>
  <c r="O410" i="17" s="1"/>
  <c r="O470" i="17" a="1"/>
  <c r="O470" i="17" s="1"/>
  <c r="O21" i="17" a="1"/>
  <c r="O21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231" i="17" a="1"/>
  <c r="O231" i="17" s="1"/>
  <c r="O321" i="17" a="1"/>
  <c r="O321" i="17" s="1"/>
  <c r="O261" i="17" a="1"/>
  <c r="O261" i="17" s="1"/>
  <c r="O291" i="17" a="1"/>
  <c r="O291" i="17" s="1"/>
  <c r="O351" i="17" a="1"/>
  <c r="O351" i="17" s="1"/>
  <c r="O441" i="17" a="1"/>
  <c r="O441" i="17" s="1"/>
  <c r="O381" i="17" a="1"/>
  <c r="O381" i="17" s="1"/>
  <c r="O411" i="17" a="1"/>
  <c r="O411" i="17" s="1"/>
  <c r="O471" i="17" a="1"/>
  <c r="O471" i="17" s="1"/>
  <c r="O22" i="17" a="1"/>
  <c r="O22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/>
  <c r="O232" i="17" a="1"/>
  <c r="O232" i="17" s="1"/>
  <c r="O322" i="17" a="1"/>
  <c r="O322" i="17" s="1"/>
  <c r="O262" i="17" a="1"/>
  <c r="O262" i="17" s="1"/>
  <c r="O292" i="17" a="1"/>
  <c r="O292" i="17" s="1"/>
  <c r="O352" i="17" a="1"/>
  <c r="O352" i="17" s="1"/>
  <c r="O442" i="17" a="1"/>
  <c r="O442" i="17" s="1"/>
  <c r="O382" i="17" a="1"/>
  <c r="O382" i="17" s="1"/>
  <c r="O412" i="17" a="1"/>
  <c r="O412" i="17" s="1"/>
  <c r="O472" i="17" a="1"/>
  <c r="O472" i="17" s="1"/>
  <c r="O23" i="17" a="1"/>
  <c r="O23" i="17" s="1"/>
  <c r="O158" i="17" a="1"/>
  <c r="O158" i="17" s="1"/>
  <c r="O159" i="17" a="1"/>
  <c r="O159" i="17"/>
  <c r="O160" i="17" a="1"/>
  <c r="O160" i="17" s="1"/>
  <c r="O161" i="17" a="1"/>
  <c r="O161" i="17" s="1"/>
  <c r="O162" i="17" a="1"/>
  <c r="O162" i="17" s="1"/>
  <c r="O163" i="17" a="1"/>
  <c r="O163" i="17" s="1"/>
  <c r="O233" i="17" a="1"/>
  <c r="O233" i="17" s="1"/>
  <c r="O323" i="17" a="1"/>
  <c r="O323" i="17" s="1"/>
  <c r="O263" i="17" a="1"/>
  <c r="O263" i="17" s="1"/>
  <c r="O293" i="17" a="1"/>
  <c r="O293" i="17" s="1"/>
  <c r="O353" i="17" a="1"/>
  <c r="O353" i="17" s="1"/>
  <c r="O443" i="17" a="1"/>
  <c r="O443" i="17" s="1"/>
  <c r="O383" i="17" a="1"/>
  <c r="O383" i="17" s="1"/>
  <c r="O413" i="17" a="1"/>
  <c r="O413" i="17" s="1"/>
  <c r="O473" i="17" a="1"/>
  <c r="O473" i="17" s="1"/>
  <c r="O24" i="17" a="1"/>
  <c r="O24" i="17" s="1"/>
  <c r="O164" i="17" a="1"/>
  <c r="O164" i="17" s="1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234" i="17" a="1"/>
  <c r="O234" i="17" s="1"/>
  <c r="O324" i="17" a="1"/>
  <c r="O324" i="17" s="1"/>
  <c r="O264" i="17" a="1"/>
  <c r="O264" i="17" s="1"/>
  <c r="O294" i="17" a="1"/>
  <c r="O294" i="17" s="1"/>
  <c r="O354" i="17" a="1"/>
  <c r="O354" i="17" s="1"/>
  <c r="O444" i="17" a="1"/>
  <c r="O444" i="17" s="1"/>
  <c r="O384" i="17" a="1"/>
  <c r="O384" i="17" s="1"/>
  <c r="O414" i="17" a="1"/>
  <c r="O414" i="17" s="1"/>
  <c r="O474" i="17" a="1"/>
  <c r="O474" i="17" s="1"/>
  <c r="O25" i="17" a="1"/>
  <c r="O25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 s="1"/>
  <c r="O175" i="17" a="1"/>
  <c r="O175" i="17" s="1"/>
  <c r="O235" i="17" a="1"/>
  <c r="O235" i="17" s="1"/>
  <c r="O325" i="17" a="1"/>
  <c r="O325" i="17" s="1"/>
  <c r="O265" i="17" a="1"/>
  <c r="O265" i="17" s="1"/>
  <c r="O295" i="17" a="1"/>
  <c r="O295" i="17" s="1"/>
  <c r="O355" i="17" a="1"/>
  <c r="O355" i="17"/>
  <c r="O445" i="17" a="1"/>
  <c r="O445" i="17" s="1"/>
  <c r="O385" i="17" a="1"/>
  <c r="O385" i="17" s="1"/>
  <c r="O415" i="17" a="1"/>
  <c r="O415" i="17" s="1"/>
  <c r="O475" i="17" a="1"/>
  <c r="O475" i="17" s="1"/>
  <c r="O26" i="17" a="1"/>
  <c r="O26" i="17" s="1"/>
  <c r="O176" i="17" a="1"/>
  <c r="O176" i="17" s="1"/>
  <c r="O177" i="17" a="1"/>
  <c r="O177" i="17" s="1"/>
  <c r="O178" i="17" a="1"/>
  <c r="O178" i="17" s="1"/>
  <c r="O179" i="17" a="1"/>
  <c r="O179" i="17"/>
  <c r="O180" i="17" a="1"/>
  <c r="O180" i="17" s="1"/>
  <c r="O181" i="17" a="1"/>
  <c r="O181" i="17"/>
  <c r="O236" i="17" a="1"/>
  <c r="O236" i="17"/>
  <c r="O326" i="17" a="1"/>
  <c r="O326" i="17" s="1"/>
  <c r="O266" i="17" a="1"/>
  <c r="O266" i="17" s="1"/>
  <c r="O296" i="17" a="1"/>
  <c r="O296" i="17" s="1"/>
  <c r="O356" i="17" a="1"/>
  <c r="O356" i="17" s="1"/>
  <c r="O446" i="17" a="1"/>
  <c r="O446" i="17" s="1"/>
  <c r="O386" i="17" a="1"/>
  <c r="O386" i="17" s="1"/>
  <c r="O416" i="17" a="1"/>
  <c r="O416" i="17" s="1"/>
  <c r="O476" i="17" a="1"/>
  <c r="O476" i="17" s="1"/>
  <c r="O27" i="17" a="1"/>
  <c r="O27" i="17" s="1"/>
  <c r="O182" i="17" a="1"/>
  <c r="O182" i="17" s="1"/>
  <c r="O183" i="17" a="1"/>
  <c r="O183" i="17" s="1"/>
  <c r="O184" i="17" a="1"/>
  <c r="O184" i="17" s="1"/>
  <c r="O185" i="17" a="1"/>
  <c r="O185" i="17" s="1"/>
  <c r="O186" i="17" a="1"/>
  <c r="O186" i="17" s="1"/>
  <c r="O187" i="17" a="1"/>
  <c r="O187" i="17" s="1"/>
  <c r="O237" i="17" a="1"/>
  <c r="O237" i="17" s="1"/>
  <c r="O327" i="17" a="1"/>
  <c r="O327" i="17" s="1"/>
  <c r="O267" i="17" a="1"/>
  <c r="O267" i="17" s="1"/>
  <c r="O297" i="17" a="1"/>
  <c r="O297" i="17" s="1"/>
  <c r="O357" i="17" a="1"/>
  <c r="O357" i="17" s="1"/>
  <c r="O447" i="17" a="1"/>
  <c r="O447" i="17" s="1"/>
  <c r="O387" i="17" a="1"/>
  <c r="O387" i="17" s="1"/>
  <c r="O417" i="17" a="1"/>
  <c r="O417" i="17" s="1"/>
  <c r="O477" i="17" a="1"/>
  <c r="O477" i="17" s="1"/>
  <c r="O28" i="17" a="1"/>
  <c r="O28" i="17" s="1"/>
  <c r="O188" i="17" a="1"/>
  <c r="O188" i="17" s="1"/>
  <c r="O189" i="17" a="1"/>
  <c r="O189" i="17" s="1"/>
  <c r="O190" i="17" a="1"/>
  <c r="O190" i="17" s="1"/>
  <c r="O191" i="17" a="1"/>
  <c r="O191" i="17" s="1"/>
  <c r="O192" i="17" a="1"/>
  <c r="O192" i="17" s="1"/>
  <c r="O193" i="17" a="1"/>
  <c r="O193" i="17" s="1"/>
  <c r="O238" i="17" a="1"/>
  <c r="O238" i="17" s="1"/>
  <c r="O328" i="17" a="1"/>
  <c r="O328" i="17" s="1"/>
  <c r="O268" i="17" a="1"/>
  <c r="O268" i="17" s="1"/>
  <c r="O298" i="17" a="1"/>
  <c r="O298" i="17" s="1"/>
  <c r="O358" i="17" a="1"/>
  <c r="O358" i="17" s="1"/>
  <c r="O448" i="17" a="1"/>
  <c r="O448" i="17" s="1"/>
  <c r="O388" i="17" a="1"/>
  <c r="O388" i="17" s="1"/>
  <c r="O418" i="17" a="1"/>
  <c r="O418" i="17" s="1"/>
  <c r="O478" i="17" a="1"/>
  <c r="O478" i="17" s="1"/>
  <c r="O29" i="17" a="1"/>
  <c r="O29" i="17" s="1"/>
  <c r="O194" i="17" a="1"/>
  <c r="O194" i="17" s="1"/>
  <c r="O195" i="17" a="1"/>
  <c r="O195" i="17" s="1"/>
  <c r="O196" i="17" a="1"/>
  <c r="O196" i="17" s="1"/>
  <c r="O197" i="17" a="1"/>
  <c r="O197" i="17" s="1"/>
  <c r="O198" i="17" a="1"/>
  <c r="O198" i="17" s="1"/>
  <c r="O199" i="17" a="1"/>
  <c r="O199" i="17" s="1"/>
  <c r="O239" i="17" a="1"/>
  <c r="O239" i="17" s="1"/>
  <c r="O329" i="17" a="1"/>
  <c r="O329" i="17"/>
  <c r="O269" i="17" a="1"/>
  <c r="O269" i="17" s="1"/>
  <c r="O299" i="17" a="1"/>
  <c r="O299" i="17" s="1"/>
  <c r="O359" i="17" a="1"/>
  <c r="O359" i="17" s="1"/>
  <c r="O449" i="17" a="1"/>
  <c r="O449" i="17" s="1"/>
  <c r="O389" i="17" a="1"/>
  <c r="O389" i="17" s="1"/>
  <c r="O419" i="17" a="1"/>
  <c r="O419" i="17" s="1"/>
  <c r="O479" i="17" a="1"/>
  <c r="O479" i="17" s="1"/>
  <c r="O30" i="17" a="1"/>
  <c r="O30" i="17" s="1"/>
  <c r="O200" i="17" a="1"/>
  <c r="O200" i="17" s="1"/>
  <c r="O201" i="17" a="1"/>
  <c r="O201" i="17" s="1"/>
  <c r="O202" i="17" a="1"/>
  <c r="O202" i="17" s="1"/>
  <c r="O203" i="17" a="1"/>
  <c r="O203" i="17" s="1"/>
  <c r="O204" i="17" a="1"/>
  <c r="O204" i="17" s="1"/>
  <c r="O205" i="17" a="1"/>
  <c r="O205" i="17"/>
  <c r="O240" i="17" a="1"/>
  <c r="O240" i="17" s="1"/>
  <c r="O330" i="17" a="1"/>
  <c r="O330" i="17" s="1"/>
  <c r="O270" i="17" a="1"/>
  <c r="O270" i="17" s="1"/>
  <c r="O300" i="17" a="1"/>
  <c r="O300" i="17" s="1"/>
  <c r="O360" i="17" a="1"/>
  <c r="O360" i="17" s="1"/>
  <c r="O450" i="17" a="1"/>
  <c r="O450" i="17" s="1"/>
  <c r="O390" i="17" a="1"/>
  <c r="O390" i="17" s="1"/>
  <c r="O420" i="17" a="1"/>
  <c r="O420" i="17" s="1"/>
  <c r="O480" i="17" a="1"/>
  <c r="O480" i="17" s="1"/>
  <c r="O31" i="17" a="1"/>
  <c r="O31" i="17" s="1"/>
  <c r="O206" i="17" a="1"/>
  <c r="O206" i="17" s="1"/>
  <c r="O207" i="17" a="1"/>
  <c r="O207" i="17" s="1"/>
  <c r="O208" i="17" a="1"/>
  <c r="O208" i="17" s="1"/>
  <c r="O209" i="17" a="1"/>
  <c r="O209" i="17" s="1"/>
  <c r="O210" i="17" a="1"/>
  <c r="O210" i="17" s="1"/>
  <c r="O211" i="17" a="1"/>
  <c r="O211" i="17" s="1"/>
  <c r="O241" i="17" a="1"/>
  <c r="O241" i="17" s="1"/>
  <c r="O331" i="17" a="1"/>
  <c r="O331" i="17"/>
  <c r="O271" i="17" a="1"/>
  <c r="O271" i="17" s="1"/>
  <c r="O301" i="17" a="1"/>
  <c r="O301" i="17" s="1"/>
  <c r="O361" i="17" a="1"/>
  <c r="O361" i="17" s="1"/>
  <c r="O451" i="17" a="1"/>
  <c r="O451" i="17" s="1"/>
  <c r="O391" i="17" a="1"/>
  <c r="O391" i="17" s="1"/>
  <c r="O421" i="17" a="1"/>
  <c r="O421" i="17" s="1"/>
  <c r="O481" i="17" a="1"/>
  <c r="O481" i="17" s="1"/>
  <c r="P2" i="17" a="1"/>
  <c r="P2" i="17" s="1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 s="1"/>
  <c r="P212" i="17" a="1"/>
  <c r="P212" i="17" s="1"/>
  <c r="P302" i="17" a="1"/>
  <c r="P302" i="17" s="1"/>
  <c r="P242" i="17" a="1"/>
  <c r="P242" i="17" s="1"/>
  <c r="P272" i="17" a="1"/>
  <c r="P272" i="17" s="1"/>
  <c r="P332" i="17" a="1"/>
  <c r="P332" i="17" s="1"/>
  <c r="P422" i="17" a="1"/>
  <c r="P422" i="17" s="1"/>
  <c r="P362" i="17" a="1"/>
  <c r="P362" i="17" s="1"/>
  <c r="P392" i="17" a="1"/>
  <c r="P392" i="17" s="1"/>
  <c r="P452" i="17" a="1"/>
  <c r="P452" i="17"/>
  <c r="P3" i="17" a="1"/>
  <c r="P3" i="17" s="1"/>
  <c r="P38" i="17" a="1"/>
  <c r="P38" i="17" s="1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213" i="17" a="1"/>
  <c r="P213" i="17" s="1"/>
  <c r="P303" i="17" a="1"/>
  <c r="P303" i="17" s="1"/>
  <c r="P243" i="17" a="1"/>
  <c r="P243" i="17" s="1"/>
  <c r="P273" i="17" a="1"/>
  <c r="P273" i="17" s="1"/>
  <c r="P333" i="17" a="1"/>
  <c r="P333" i="17" s="1"/>
  <c r="P423" i="17" a="1"/>
  <c r="P423" i="17" s="1"/>
  <c r="P363" i="17" a="1"/>
  <c r="P363" i="17" s="1"/>
  <c r="P393" i="17" a="1"/>
  <c r="P393" i="17" s="1"/>
  <c r="P453" i="17" a="1"/>
  <c r="P453" i="17" s="1"/>
  <c r="P4" i="17" a="1"/>
  <c r="P4" i="17" s="1"/>
  <c r="P44" i="17" a="1"/>
  <c r="P44" i="17" s="1"/>
  <c r="P45" i="17" a="1"/>
  <c r="P45" i="17"/>
  <c r="P46" i="17" a="1"/>
  <c r="P46" i="17" s="1"/>
  <c r="P47" i="17" a="1"/>
  <c r="P47" i="17" s="1"/>
  <c r="P48" i="17" a="1"/>
  <c r="P48" i="17" s="1"/>
  <c r="P49" i="17" a="1"/>
  <c r="P49" i="17" s="1"/>
  <c r="P214" i="17" a="1"/>
  <c r="P214" i="17" s="1"/>
  <c r="P304" i="17" a="1"/>
  <c r="P304" i="17" s="1"/>
  <c r="P244" i="17" a="1"/>
  <c r="P244" i="17" s="1"/>
  <c r="P274" i="17" a="1"/>
  <c r="P274" i="17" s="1"/>
  <c r="P334" i="17" a="1"/>
  <c r="P334" i="17" s="1"/>
  <c r="P424" i="17" a="1"/>
  <c r="P424" i="17" s="1"/>
  <c r="P364" i="17" a="1"/>
  <c r="P364" i="17" s="1"/>
  <c r="P394" i="17" a="1"/>
  <c r="P394" i="17" s="1"/>
  <c r="P454" i="17" a="1"/>
  <c r="P454" i="17" s="1"/>
  <c r="P5" i="17" a="1"/>
  <c r="P5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215" i="17" a="1"/>
  <c r="P215" i="17" s="1"/>
  <c r="P305" i="17" a="1"/>
  <c r="P305" i="17" s="1"/>
  <c r="P245" i="17" a="1"/>
  <c r="P245" i="17" s="1"/>
  <c r="P275" i="17" a="1"/>
  <c r="P275" i="17" s="1"/>
  <c r="P335" i="17" a="1"/>
  <c r="P335" i="17" s="1"/>
  <c r="P425" i="17" a="1"/>
  <c r="P425" i="17" s="1"/>
  <c r="P365" i="17" a="1"/>
  <c r="P365" i="17" s="1"/>
  <c r="P395" i="17" a="1"/>
  <c r="P395" i="17" s="1"/>
  <c r="P455" i="17" a="1"/>
  <c r="P455" i="17" s="1"/>
  <c r="P6" i="17" a="1"/>
  <c r="P6" i="17" s="1"/>
  <c r="P56" i="17" a="1"/>
  <c r="P56" i="17" s="1"/>
  <c r="P57" i="17" a="1"/>
  <c r="P57" i="17" s="1"/>
  <c r="P58" i="17" a="1"/>
  <c r="P58" i="17" s="1"/>
  <c r="P59" i="17" a="1"/>
  <c r="P59" i="17"/>
  <c r="P60" i="17" a="1"/>
  <c r="P60" i="17" s="1"/>
  <c r="P61" i="17" a="1"/>
  <c r="P61" i="17"/>
  <c r="P216" i="17" a="1"/>
  <c r="P216" i="17" s="1"/>
  <c r="P306" i="17" a="1"/>
  <c r="P306" i="17" s="1"/>
  <c r="P246" i="17" a="1"/>
  <c r="P246" i="17" s="1"/>
  <c r="P276" i="17" a="1"/>
  <c r="P276" i="17" s="1"/>
  <c r="P336" i="17" a="1"/>
  <c r="P336" i="17" s="1"/>
  <c r="P426" i="17" a="1"/>
  <c r="P426" i="17" s="1"/>
  <c r="P366" i="17" a="1"/>
  <c r="P366" i="17" s="1"/>
  <c r="P396" i="17" a="1"/>
  <c r="P396" i="17" s="1"/>
  <c r="P456" i="17" a="1"/>
  <c r="P456" i="17"/>
  <c r="P7" i="17" a="1"/>
  <c r="P7" i="17" s="1"/>
  <c r="P62" i="17" a="1"/>
  <c r="P62" i="17" s="1"/>
  <c r="P63" i="17" a="1"/>
  <c r="P63" i="17" s="1"/>
  <c r="P64" i="17" a="1"/>
  <c r="P64" i="17"/>
  <c r="P65" i="17" a="1"/>
  <c r="P65" i="17" s="1"/>
  <c r="P66" i="17" a="1"/>
  <c r="P66" i="17" s="1"/>
  <c r="P67" i="17" a="1"/>
  <c r="P67" i="17" s="1"/>
  <c r="P217" i="17" a="1"/>
  <c r="P217" i="17" s="1"/>
  <c r="P307" i="17" a="1"/>
  <c r="P307" i="17" s="1"/>
  <c r="P247" i="17" a="1"/>
  <c r="P247" i="17" s="1"/>
  <c r="P277" i="17" a="1"/>
  <c r="P277" i="17" s="1"/>
  <c r="P337" i="17" a="1"/>
  <c r="P337" i="17" s="1"/>
  <c r="P427" i="17" a="1"/>
  <c r="P427" i="17" s="1"/>
  <c r="P367" i="17" a="1"/>
  <c r="P367" i="17" s="1"/>
  <c r="P397" i="17" a="1"/>
  <c r="P397" i="17" s="1"/>
  <c r="P457" i="17" a="1"/>
  <c r="P457" i="17"/>
  <c r="P8" i="17" a="1"/>
  <c r="P8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218" i="17" a="1"/>
  <c r="P218" i="17" s="1"/>
  <c r="P308" i="17" a="1"/>
  <c r="P308" i="17" s="1"/>
  <c r="P248" i="17" a="1"/>
  <c r="P248" i="17" s="1"/>
  <c r="P278" i="17" a="1"/>
  <c r="P278" i="17" s="1"/>
  <c r="P338" i="17" a="1"/>
  <c r="P338" i="17" s="1"/>
  <c r="P428" i="17" a="1"/>
  <c r="P428" i="17" s="1"/>
  <c r="P368" i="17" a="1"/>
  <c r="P368" i="17" s="1"/>
  <c r="P398" i="17" a="1"/>
  <c r="P398" i="17" s="1"/>
  <c r="P458" i="17" a="1"/>
  <c r="P458" i="17" s="1"/>
  <c r="P9" i="17" a="1"/>
  <c r="P9" i="17" s="1"/>
  <c r="P74" i="17" a="1"/>
  <c r="P74" i="17" s="1"/>
  <c r="P75" i="17" a="1"/>
  <c r="P75" i="17" s="1"/>
  <c r="P76" i="17" a="1"/>
  <c r="P76" i="17" s="1"/>
  <c r="P77" i="17" a="1"/>
  <c r="P77" i="17" s="1"/>
  <c r="P78" i="17" a="1"/>
  <c r="P78" i="17" s="1"/>
  <c r="P79" i="17" a="1"/>
  <c r="P79" i="17" s="1"/>
  <c r="P219" i="17" a="1"/>
  <c r="P219" i="17" s="1"/>
  <c r="P309" i="17" a="1"/>
  <c r="P309" i="17" s="1"/>
  <c r="P249" i="17" a="1"/>
  <c r="P249" i="17" s="1"/>
  <c r="P279" i="17" a="1"/>
  <c r="P279" i="17" s="1"/>
  <c r="P339" i="17" a="1"/>
  <c r="P339" i="17" s="1"/>
  <c r="P429" i="17" a="1"/>
  <c r="P429" i="17" s="1"/>
  <c r="P369" i="17" a="1"/>
  <c r="P369" i="17" s="1"/>
  <c r="P399" i="17" a="1"/>
  <c r="P399" i="17" s="1"/>
  <c r="P459" i="17" a="1"/>
  <c r="P459" i="17" s="1"/>
  <c r="P10" i="17" a="1"/>
  <c r="P10" i="17" s="1"/>
  <c r="P80" i="17" a="1"/>
  <c r="P80" i="17" s="1"/>
  <c r="P81" i="17" a="1"/>
  <c r="P81" i="17" s="1"/>
  <c r="P82" i="17" a="1"/>
  <c r="P82" i="17" s="1"/>
  <c r="P83" i="17" a="1"/>
  <c r="P83" i="17" s="1"/>
  <c r="P84" i="17" a="1"/>
  <c r="P84" i="17" s="1"/>
  <c r="P85" i="17" a="1"/>
  <c r="P85" i="17" s="1"/>
  <c r="P220" i="17" a="1"/>
  <c r="P220" i="17" s="1"/>
  <c r="P310" i="17" a="1"/>
  <c r="P310" i="17"/>
  <c r="P250" i="17" a="1"/>
  <c r="P250" i="17" s="1"/>
  <c r="P280" i="17" a="1"/>
  <c r="P280" i="17"/>
  <c r="P340" i="17" a="1"/>
  <c r="P340" i="17" s="1"/>
  <c r="P430" i="17" a="1"/>
  <c r="P430" i="17" s="1"/>
  <c r="P370" i="17" a="1"/>
  <c r="P370" i="17" s="1"/>
  <c r="P400" i="17" a="1"/>
  <c r="P400" i="17"/>
  <c r="P460" i="17" a="1"/>
  <c r="P460" i="17" s="1"/>
  <c r="P11" i="17" a="1"/>
  <c r="P11" i="17" s="1"/>
  <c r="P86" i="17" a="1"/>
  <c r="P86" i="17" s="1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221" i="17" a="1"/>
  <c r="P221" i="17" s="1"/>
  <c r="P311" i="17" a="1"/>
  <c r="P311" i="17" s="1"/>
  <c r="P251" i="17" a="1"/>
  <c r="P251" i="17" s="1"/>
  <c r="P281" i="17" a="1"/>
  <c r="P281" i="17" s="1"/>
  <c r="P341" i="17" a="1"/>
  <c r="P341" i="17" s="1"/>
  <c r="P431" i="17" a="1"/>
  <c r="P431" i="17"/>
  <c r="P371" i="17" a="1"/>
  <c r="P371" i="17" s="1"/>
  <c r="P401" i="17" a="1"/>
  <c r="P401" i="17"/>
  <c r="P461" i="17" a="1"/>
  <c r="P461" i="17" s="1"/>
  <c r="P12" i="17" a="1"/>
  <c r="P12" i="17" s="1"/>
  <c r="P92" i="17" a="1"/>
  <c r="P92" i="17" s="1"/>
  <c r="P93" i="17" a="1"/>
  <c r="P93" i="17"/>
  <c r="P94" i="17" a="1"/>
  <c r="P94" i="17" s="1"/>
  <c r="P95" i="17" a="1"/>
  <c r="P95" i="17" s="1"/>
  <c r="P96" i="17" a="1"/>
  <c r="P96" i="17" s="1"/>
  <c r="P97" i="17" a="1"/>
  <c r="P97" i="17"/>
  <c r="P222" i="17" a="1"/>
  <c r="P222" i="17" s="1"/>
  <c r="P312" i="17" a="1"/>
  <c r="P312" i="17" s="1"/>
  <c r="P252" i="17" a="1"/>
  <c r="P252" i="17" s="1"/>
  <c r="P282" i="17" a="1"/>
  <c r="P282" i="17" s="1"/>
  <c r="P342" i="17" a="1"/>
  <c r="P342" i="17" s="1"/>
  <c r="P432" i="17" a="1"/>
  <c r="P432" i="17" s="1"/>
  <c r="P372" i="17" a="1"/>
  <c r="P372" i="17" s="1"/>
  <c r="P402" i="17" a="1"/>
  <c r="P402" i="17" s="1"/>
  <c r="P462" i="17" a="1"/>
  <c r="P462" i="17" s="1"/>
  <c r="P13" i="17" a="1"/>
  <c r="P13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/>
  <c r="P223" i="17" a="1"/>
  <c r="P223" i="17" s="1"/>
  <c r="P313" i="17" a="1"/>
  <c r="P313" i="17" s="1"/>
  <c r="P253" i="17" a="1"/>
  <c r="P253" i="17" s="1"/>
  <c r="P283" i="17" a="1"/>
  <c r="P283" i="17" s="1"/>
  <c r="P343" i="17" a="1"/>
  <c r="P343" i="17" s="1"/>
  <c r="P433" i="17" a="1"/>
  <c r="P433" i="17"/>
  <c r="P373" i="17" a="1"/>
  <c r="P373" i="17" s="1"/>
  <c r="P403" i="17" a="1"/>
  <c r="P403" i="17" s="1"/>
  <c r="P463" i="17" a="1"/>
  <c r="P463" i="17" s="1"/>
  <c r="P14" i="17" a="1"/>
  <c r="P14" i="17" s="1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224" i="17" a="1"/>
  <c r="P224" i="17" s="1"/>
  <c r="P314" i="17" a="1"/>
  <c r="P314" i="17"/>
  <c r="P254" i="17" a="1"/>
  <c r="P254" i="17" s="1"/>
  <c r="P284" i="17" a="1"/>
  <c r="P284" i="17" s="1"/>
  <c r="P344" i="17" a="1"/>
  <c r="P344" i="17" s="1"/>
  <c r="P434" i="17" a="1"/>
  <c r="P434" i="17" s="1"/>
  <c r="P374" i="17" a="1"/>
  <c r="P374" i="17" s="1"/>
  <c r="P404" i="17" a="1"/>
  <c r="P404" i="17" s="1"/>
  <c r="P464" i="17" a="1"/>
  <c r="P464" i="17" s="1"/>
  <c r="P15" i="17" a="1"/>
  <c r="P15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225" i="17" a="1"/>
  <c r="P225" i="17" s="1"/>
  <c r="P315" i="17" a="1"/>
  <c r="P315" i="17" s="1"/>
  <c r="P255" i="17" a="1"/>
  <c r="P255" i="17" s="1"/>
  <c r="P285" i="17" a="1"/>
  <c r="P285" i="17" s="1"/>
  <c r="P345" i="17" a="1"/>
  <c r="P345" i="17" s="1"/>
  <c r="P435" i="17" a="1"/>
  <c r="P435" i="17" s="1"/>
  <c r="P375" i="17" a="1"/>
  <c r="P375" i="17" s="1"/>
  <c r="P405" i="17" a="1"/>
  <c r="P405" i="17" s="1"/>
  <c r="P465" i="17" a="1"/>
  <c r="P465" i="17"/>
  <c r="P16" i="17" a="1"/>
  <c r="P16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226" i="17" a="1"/>
  <c r="P226" i="17" s="1"/>
  <c r="P316" i="17" a="1"/>
  <c r="P316" i="17"/>
  <c r="P256" i="17" a="1"/>
  <c r="P256" i="17" s="1"/>
  <c r="P286" i="17" a="1"/>
  <c r="P286" i="17"/>
  <c r="P346" i="17" a="1"/>
  <c r="P346" i="17" s="1"/>
  <c r="P436" i="17" a="1"/>
  <c r="P436" i="17" s="1"/>
  <c r="P376" i="17" a="1"/>
  <c r="P376" i="17" s="1"/>
  <c r="P406" i="17" a="1"/>
  <c r="P406" i="17"/>
  <c r="P466" i="17" a="1"/>
  <c r="P466" i="17" s="1"/>
  <c r="P17" i="17" a="1"/>
  <c r="P17" i="17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 s="1"/>
  <c r="P227" i="17" a="1"/>
  <c r="P227" i="17" s="1"/>
  <c r="P317" i="17" a="1"/>
  <c r="P317" i="17" s="1"/>
  <c r="P257" i="17" a="1"/>
  <c r="P257" i="17" s="1"/>
  <c r="P287" i="17" a="1"/>
  <c r="P287" i="17" s="1"/>
  <c r="P347" i="17" a="1"/>
  <c r="P347" i="17" s="1"/>
  <c r="P437" i="17" a="1"/>
  <c r="P437" i="17" s="1"/>
  <c r="P377" i="17" a="1"/>
  <c r="P377" i="17" s="1"/>
  <c r="P407" i="17" a="1"/>
  <c r="P407" i="17" s="1"/>
  <c r="P467" i="17" a="1"/>
  <c r="P467" i="17" s="1"/>
  <c r="P18" i="17" a="1"/>
  <c r="P18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228" i="17" a="1"/>
  <c r="P228" i="17" s="1"/>
  <c r="P318" i="17" a="1"/>
  <c r="P318" i="17" s="1"/>
  <c r="P258" i="17" a="1"/>
  <c r="P258" i="17" s="1"/>
  <c r="P288" i="17" a="1"/>
  <c r="P288" i="17" s="1"/>
  <c r="P348" i="17" a="1"/>
  <c r="P348" i="17" s="1"/>
  <c r="P438" i="17" a="1"/>
  <c r="P438" i="17" s="1"/>
  <c r="P378" i="17" a="1"/>
  <c r="P378" i="17" s="1"/>
  <c r="P408" i="17" a="1"/>
  <c r="P408" i="17"/>
  <c r="P468" i="17" a="1"/>
  <c r="P468" i="17" s="1"/>
  <c r="P19" i="17" a="1"/>
  <c r="P19" i="17"/>
  <c r="P134" i="17" a="1"/>
  <c r="P134" i="17" s="1"/>
  <c r="P135" i="17" a="1"/>
  <c r="P135" i="17"/>
  <c r="P136" i="17" a="1"/>
  <c r="P136" i="17" s="1"/>
  <c r="P137" i="17" a="1"/>
  <c r="P137" i="17" s="1"/>
  <c r="P138" i="17" a="1"/>
  <c r="P138" i="17" s="1"/>
  <c r="P139" i="17" a="1"/>
  <c r="P139" i="17"/>
  <c r="P229" i="17" a="1"/>
  <c r="P229" i="17" s="1"/>
  <c r="P319" i="17" a="1"/>
  <c r="P319" i="17" s="1"/>
  <c r="P259" i="17" a="1"/>
  <c r="P259" i="17" s="1"/>
  <c r="P289" i="17" a="1"/>
  <c r="P289" i="17" s="1"/>
  <c r="P349" i="17" a="1"/>
  <c r="P349" i="17" s="1"/>
  <c r="P439" i="17" a="1"/>
  <c r="P439" i="17" s="1"/>
  <c r="P379" i="17" a="1"/>
  <c r="P379" i="17" s="1"/>
  <c r="P409" i="17" a="1"/>
  <c r="P409" i="17"/>
  <c r="P469" i="17" a="1"/>
  <c r="P469" i="17" s="1"/>
  <c r="P20" i="17" a="1"/>
  <c r="P20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230" i="17" a="1"/>
  <c r="P230" i="17" s="1"/>
  <c r="P320" i="17" a="1"/>
  <c r="P320" i="17" s="1"/>
  <c r="P260" i="17" a="1"/>
  <c r="P260" i="17" s="1"/>
  <c r="P290" i="17" a="1"/>
  <c r="P290" i="17" s="1"/>
  <c r="P350" i="17" a="1"/>
  <c r="P350" i="17" s="1"/>
  <c r="P440" i="17" a="1"/>
  <c r="P440" i="17" s="1"/>
  <c r="P380" i="17" a="1"/>
  <c r="P380" i="17" s="1"/>
  <c r="P410" i="17" a="1"/>
  <c r="P410" i="17" s="1"/>
  <c r="P470" i="17" a="1"/>
  <c r="P470" i="17" s="1"/>
  <c r="P21" i="17" a="1"/>
  <c r="P21" i="17" s="1"/>
  <c r="P146" i="17" a="1"/>
  <c r="P146" i="17" s="1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231" i="17" a="1"/>
  <c r="P231" i="17" s="1"/>
  <c r="P321" i="17" a="1"/>
  <c r="P321" i="17" s="1"/>
  <c r="P261" i="17" a="1"/>
  <c r="P261" i="17" s="1"/>
  <c r="P291" i="17" a="1"/>
  <c r="P291" i="17" s="1"/>
  <c r="P351" i="17" a="1"/>
  <c r="P351" i="17" s="1"/>
  <c r="P441" i="17" a="1"/>
  <c r="P441" i="17" s="1"/>
  <c r="P381" i="17" a="1"/>
  <c r="P381" i="17" s="1"/>
  <c r="P411" i="17" a="1"/>
  <c r="P411" i="17"/>
  <c r="P471" i="17" a="1"/>
  <c r="P471" i="17" s="1"/>
  <c r="P22" i="17" a="1"/>
  <c r="P22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232" i="17" a="1"/>
  <c r="P232" i="17"/>
  <c r="P322" i="17" a="1"/>
  <c r="P322" i="17" s="1"/>
  <c r="P262" i="17" a="1"/>
  <c r="P262" i="17" s="1"/>
  <c r="P292" i="17" a="1"/>
  <c r="P292" i="17" s="1"/>
  <c r="P352" i="17" a="1"/>
  <c r="P352" i="17" s="1"/>
  <c r="P442" i="17" a="1"/>
  <c r="P442" i="17" s="1"/>
  <c r="P382" i="17" a="1"/>
  <c r="P382" i="17" s="1"/>
  <c r="P412" i="17" a="1"/>
  <c r="P412" i="17" s="1"/>
  <c r="P472" i="17" a="1"/>
  <c r="P472" i="17" s="1"/>
  <c r="P23" i="17" a="1"/>
  <c r="P23" i="17"/>
  <c r="P158" i="17" a="1"/>
  <c r="P158" i="17" s="1"/>
  <c r="P159" i="17" a="1"/>
  <c r="P159" i="17"/>
  <c r="P160" i="17" a="1"/>
  <c r="P160" i="17" s="1"/>
  <c r="P161" i="17" a="1"/>
  <c r="P161" i="17" s="1"/>
  <c r="P162" i="17" a="1"/>
  <c r="P162" i="17" s="1"/>
  <c r="P163" i="17" a="1"/>
  <c r="P163" i="17" s="1"/>
  <c r="P233" i="17" a="1"/>
  <c r="P233" i="17" s="1"/>
  <c r="P323" i="17" a="1"/>
  <c r="P323" i="17" s="1"/>
  <c r="P263" i="17" a="1"/>
  <c r="P263" i="17" s="1"/>
  <c r="P293" i="17" a="1"/>
  <c r="P293" i="17" s="1"/>
  <c r="P353" i="17" a="1"/>
  <c r="P353" i="17" s="1"/>
  <c r="P443" i="17" a="1"/>
  <c r="P443" i="17" s="1"/>
  <c r="P383" i="17" a="1"/>
  <c r="P383" i="17" s="1"/>
  <c r="P413" i="17" a="1"/>
  <c r="P413" i="17" s="1"/>
  <c r="P473" i="17" a="1"/>
  <c r="P473" i="17" s="1"/>
  <c r="P24" i="17" a="1"/>
  <c r="P24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234" i="17" a="1"/>
  <c r="P234" i="17" s="1"/>
  <c r="P324" i="17" a="1"/>
  <c r="P324" i="17"/>
  <c r="P264" i="17" a="1"/>
  <c r="P264" i="17" s="1"/>
  <c r="P294" i="17" a="1"/>
  <c r="P294" i="17" s="1"/>
  <c r="P354" i="17" a="1"/>
  <c r="P354" i="17" s="1"/>
  <c r="P444" i="17" a="1"/>
  <c r="P444" i="17" s="1"/>
  <c r="P384" i="17" a="1"/>
  <c r="P384" i="17" s="1"/>
  <c r="P414" i="17" a="1"/>
  <c r="P414" i="17"/>
  <c r="P474" i="17" a="1"/>
  <c r="P474" i="17" s="1"/>
  <c r="P25" i="17" a="1"/>
  <c r="P25" i="17" s="1"/>
  <c r="P170" i="17" a="1"/>
  <c r="P170" i="17" s="1"/>
  <c r="P171" i="17" a="1"/>
  <c r="P171" i="17"/>
  <c r="P172" i="17" a="1"/>
  <c r="P172" i="17" s="1"/>
  <c r="P173" i="17" a="1"/>
  <c r="P173" i="17" s="1"/>
  <c r="P174" i="17" a="1"/>
  <c r="P174" i="17" s="1"/>
  <c r="P175" i="17" a="1"/>
  <c r="P175" i="17" s="1"/>
  <c r="P235" i="17" a="1"/>
  <c r="P235" i="17" s="1"/>
  <c r="P325" i="17" a="1"/>
  <c r="P325" i="17" s="1"/>
  <c r="P265" i="17" a="1"/>
  <c r="P265" i="17" s="1"/>
  <c r="P295" i="17" a="1"/>
  <c r="P295" i="17" s="1"/>
  <c r="P355" i="17" a="1"/>
  <c r="P355" i="17" s="1"/>
  <c r="P445" i="17" a="1"/>
  <c r="P445" i="17" s="1"/>
  <c r="P385" i="17" a="1"/>
  <c r="P385" i="17" s="1"/>
  <c r="P415" i="17" a="1"/>
  <c r="P415" i="17"/>
  <c r="P475" i="17" a="1"/>
  <c r="P475" i="17" s="1"/>
  <c r="P26" i="17" a="1"/>
  <c r="P26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236" i="17" a="1"/>
  <c r="P236" i="17" s="1"/>
  <c r="P326" i="17" a="1"/>
  <c r="P326" i="17"/>
  <c r="P266" i="17" a="1"/>
  <c r="P266" i="17" s="1"/>
  <c r="P296" i="17" a="1"/>
  <c r="P296" i="17" s="1"/>
  <c r="P356" i="17" a="1"/>
  <c r="P356" i="17" s="1"/>
  <c r="P446" i="17" a="1"/>
  <c r="P446" i="17" s="1"/>
  <c r="P386" i="17" a="1"/>
  <c r="P386" i="17" s="1"/>
  <c r="P416" i="17" a="1"/>
  <c r="P416" i="17" s="1"/>
  <c r="P476" i="17" a="1"/>
  <c r="P476" i="17" s="1"/>
  <c r="P27" i="17" a="1"/>
  <c r="P27" i="17" s="1"/>
  <c r="P182" i="17" a="1"/>
  <c r="P182" i="17" s="1"/>
  <c r="P183" i="17" a="1"/>
  <c r="P183" i="17" s="1"/>
  <c r="P184" i="17" a="1"/>
  <c r="P184" i="17" s="1"/>
  <c r="P185" i="17" a="1"/>
  <c r="P185" i="17" s="1"/>
  <c r="P186" i="17" a="1"/>
  <c r="P186" i="17" s="1"/>
  <c r="P187" i="17" a="1"/>
  <c r="P187" i="17" s="1"/>
  <c r="P237" i="17" a="1"/>
  <c r="P237" i="17" s="1"/>
  <c r="P327" i="17" a="1"/>
  <c r="P327" i="17" s="1"/>
  <c r="P267" i="17" a="1"/>
  <c r="P267" i="17" s="1"/>
  <c r="P297" i="17" a="1"/>
  <c r="P297" i="17" s="1"/>
  <c r="P357" i="17" a="1"/>
  <c r="P357" i="17" s="1"/>
  <c r="P447" i="17" a="1"/>
  <c r="P447" i="17" s="1"/>
  <c r="P387" i="17" a="1"/>
  <c r="P387" i="17" s="1"/>
  <c r="P417" i="17" a="1"/>
  <c r="P417" i="17"/>
  <c r="P477" i="17" a="1"/>
  <c r="P477" i="17" s="1"/>
  <c r="P28" i="17" a="1"/>
  <c r="P28" i="17" s="1"/>
  <c r="P188" i="17" a="1"/>
  <c r="P188" i="17" s="1"/>
  <c r="P189" i="17" a="1"/>
  <c r="P189" i="17" s="1"/>
  <c r="P190" i="17" a="1"/>
  <c r="P190" i="17" s="1"/>
  <c r="P191" i="17" a="1"/>
  <c r="P191" i="17" s="1"/>
  <c r="P192" i="17" a="1"/>
  <c r="P192" i="17" s="1"/>
  <c r="P193" i="17" a="1"/>
  <c r="P193" i="17" s="1"/>
  <c r="P238" i="17" a="1"/>
  <c r="P238" i="17" s="1"/>
  <c r="P328" i="17" a="1"/>
  <c r="P328" i="17" s="1"/>
  <c r="P268" i="17" a="1"/>
  <c r="P268" i="17" s="1"/>
  <c r="P298" i="17" a="1"/>
  <c r="P298" i="17" s="1"/>
  <c r="P358" i="17" a="1"/>
  <c r="P358" i="17" s="1"/>
  <c r="P448" i="17" a="1"/>
  <c r="P448" i="17" s="1"/>
  <c r="P388" i="17" a="1"/>
  <c r="P388" i="17" s="1"/>
  <c r="P418" i="17" a="1"/>
  <c r="P418" i="17" s="1"/>
  <c r="P478" i="17" a="1"/>
  <c r="P478" i="17" s="1"/>
  <c r="P29" i="17" a="1"/>
  <c r="P29" i="17"/>
  <c r="P194" i="17" a="1"/>
  <c r="P194" i="17" s="1"/>
  <c r="P195" i="17" a="1"/>
  <c r="P195" i="17" s="1"/>
  <c r="P196" i="17" a="1"/>
  <c r="P196" i="17" s="1"/>
  <c r="P197" i="17" a="1"/>
  <c r="P197" i="17" s="1"/>
  <c r="P198" i="17" a="1"/>
  <c r="P198" i="17" s="1"/>
  <c r="P199" i="17" a="1"/>
  <c r="P199" i="17" s="1"/>
  <c r="P239" i="17" a="1"/>
  <c r="P239" i="17" s="1"/>
  <c r="P329" i="17" a="1"/>
  <c r="P329" i="17" s="1"/>
  <c r="P269" i="17" a="1"/>
  <c r="P269" i="17" s="1"/>
  <c r="P299" i="17" a="1"/>
  <c r="P299" i="17" s="1"/>
  <c r="P359" i="17" a="1"/>
  <c r="P359" i="17" s="1"/>
  <c r="P449" i="17" a="1"/>
  <c r="P449" i="17" s="1"/>
  <c r="P389" i="17" a="1"/>
  <c r="P389" i="17" s="1"/>
  <c r="P419" i="17" a="1"/>
  <c r="P419" i="17" s="1"/>
  <c r="P479" i="17" a="1"/>
  <c r="P479" i="17" s="1"/>
  <c r="P30" i="17" a="1"/>
  <c r="P30" i="17" s="1"/>
  <c r="P200" i="17" a="1"/>
  <c r="P200" i="17" s="1"/>
  <c r="P201" i="17" a="1"/>
  <c r="P201" i="17" s="1"/>
  <c r="P202" i="17" a="1"/>
  <c r="P202" i="17" s="1"/>
  <c r="P203" i="17" a="1"/>
  <c r="P203" i="17" s="1"/>
  <c r="P204" i="17" a="1"/>
  <c r="P204" i="17" s="1"/>
  <c r="P205" i="17" a="1"/>
  <c r="P205" i="17" s="1"/>
  <c r="P240" i="17" a="1"/>
  <c r="P240" i="17"/>
  <c r="P330" i="17" a="1"/>
  <c r="P330" i="17" s="1"/>
  <c r="P270" i="17" a="1"/>
  <c r="P270" i="17" s="1"/>
  <c r="P300" i="17" a="1"/>
  <c r="P300" i="17" s="1"/>
  <c r="P360" i="17" a="1"/>
  <c r="P360" i="17" s="1"/>
  <c r="P450" i="17" a="1"/>
  <c r="P450" i="17" s="1"/>
  <c r="P390" i="17" a="1"/>
  <c r="P390" i="17" s="1"/>
  <c r="P420" i="17" a="1"/>
  <c r="P420" i="17" s="1"/>
  <c r="P480" i="17" a="1"/>
  <c r="P480" i="17" s="1"/>
  <c r="P31" i="17" a="1"/>
  <c r="P31" i="17" s="1"/>
  <c r="P206" i="17" a="1"/>
  <c r="P206" i="17" s="1"/>
  <c r="P207" i="17" a="1"/>
  <c r="P207" i="17" s="1"/>
  <c r="P208" i="17" a="1"/>
  <c r="P208" i="17" s="1"/>
  <c r="P209" i="17" a="1"/>
  <c r="P209" i="17" s="1"/>
  <c r="P210" i="17" a="1"/>
  <c r="P210" i="17" s="1"/>
  <c r="P211" i="17" a="1"/>
  <c r="P211" i="17" s="1"/>
  <c r="P241" i="17" a="1"/>
  <c r="P241" i="17" s="1"/>
  <c r="P331" i="17" a="1"/>
  <c r="P331" i="17" s="1"/>
  <c r="P271" i="17" a="1"/>
  <c r="P271" i="17" s="1"/>
  <c r="P301" i="17" a="1"/>
  <c r="P301" i="17"/>
  <c r="P361" i="17" a="1"/>
  <c r="P361" i="17" s="1"/>
  <c r="P451" i="17" a="1"/>
  <c r="P451" i="17" s="1"/>
  <c r="P391" i="17" a="1"/>
  <c r="P391" i="17" s="1"/>
  <c r="P421" i="17" a="1"/>
  <c r="P421" i="17" s="1"/>
  <c r="P481" i="17" a="1"/>
  <c r="P481" i="17"/>
  <c r="R2" i="17" a="1"/>
  <c r="R2" i="17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212" i="17" a="1"/>
  <c r="R212" i="17" s="1"/>
  <c r="R302" i="17" a="1"/>
  <c r="R302" i="17" s="1"/>
  <c r="R242" i="17" a="1"/>
  <c r="R242" i="17" s="1"/>
  <c r="R272" i="17" a="1"/>
  <c r="R272" i="17" s="1"/>
  <c r="R332" i="17" a="1"/>
  <c r="R332" i="17" s="1"/>
  <c r="R422" i="17" a="1"/>
  <c r="R422" i="17" s="1"/>
  <c r="R362" i="17" a="1"/>
  <c r="R362" i="17" s="1"/>
  <c r="R392" i="17" a="1"/>
  <c r="R392" i="17" s="1"/>
  <c r="R452" i="17" a="1"/>
  <c r="R452" i="17" s="1"/>
  <c r="R3" i="17" a="1"/>
  <c r="R3" i="17" s="1"/>
  <c r="R38" i="17" a="1"/>
  <c r="R38" i="17" s="1"/>
  <c r="R39" i="17" a="1"/>
  <c r="R39" i="17" s="1"/>
  <c r="R40" i="17" a="1"/>
  <c r="R40" i="17" s="1"/>
  <c r="R41" i="17" a="1"/>
  <c r="R41" i="17"/>
  <c r="R42" i="17" a="1"/>
  <c r="R42" i="17" s="1"/>
  <c r="R43" i="17" a="1"/>
  <c r="R43" i="17" s="1"/>
  <c r="R213" i="17" a="1"/>
  <c r="R213" i="17" s="1"/>
  <c r="R303" i="17" a="1"/>
  <c r="R303" i="17" s="1"/>
  <c r="R243" i="17" a="1"/>
  <c r="R243" i="17" s="1"/>
  <c r="R273" i="17" a="1"/>
  <c r="R273" i="17" s="1"/>
  <c r="R333" i="17" a="1"/>
  <c r="R333" i="17" s="1"/>
  <c r="R423" i="17" a="1"/>
  <c r="R423" i="17" s="1"/>
  <c r="R363" i="17" a="1"/>
  <c r="R363" i="17" s="1"/>
  <c r="R393" i="17" a="1"/>
  <c r="R393" i="17" s="1"/>
  <c r="R453" i="17" a="1"/>
  <c r="R453" i="17" s="1"/>
  <c r="R4" i="17" a="1"/>
  <c r="R4" i="17" s="1"/>
  <c r="R44" i="17" a="1"/>
  <c r="R44" i="17" s="1"/>
  <c r="R45" i="17" a="1"/>
  <c r="R45" i="17" s="1"/>
  <c r="R46" i="17" a="1"/>
  <c r="R46" i="17"/>
  <c r="R47" i="17" a="1"/>
  <c r="R47" i="17" s="1"/>
  <c r="R48" i="17" a="1"/>
  <c r="R48" i="17" s="1"/>
  <c r="R49" i="17" a="1"/>
  <c r="R49" i="17" s="1"/>
  <c r="R214" i="17" a="1"/>
  <c r="R214" i="17" s="1"/>
  <c r="R304" i="17" a="1"/>
  <c r="R304" i="17" s="1"/>
  <c r="R244" i="17" a="1"/>
  <c r="R244" i="17" s="1"/>
  <c r="R274" i="17" a="1"/>
  <c r="R274" i="17" s="1"/>
  <c r="R334" i="17" a="1"/>
  <c r="R334" i="17" s="1"/>
  <c r="R424" i="17" a="1"/>
  <c r="R424" i="17"/>
  <c r="R364" i="17" a="1"/>
  <c r="R364" i="17" s="1"/>
  <c r="R394" i="17" a="1"/>
  <c r="R394" i="17" s="1"/>
  <c r="R454" i="17" a="1"/>
  <c r="R454" i="17" s="1"/>
  <c r="R5" i="17" a="1"/>
  <c r="R5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/>
  <c r="R55" i="17" a="1"/>
  <c r="R55" i="17" s="1"/>
  <c r="R215" i="17" a="1"/>
  <c r="R215" i="17" s="1"/>
  <c r="R305" i="17" a="1"/>
  <c r="R305" i="17" s="1"/>
  <c r="R245" i="17" a="1"/>
  <c r="R245" i="17" s="1"/>
  <c r="R275" i="17" a="1"/>
  <c r="R275" i="17" s="1"/>
  <c r="R335" i="17" a="1"/>
  <c r="R335" i="17" s="1"/>
  <c r="R425" i="17" a="1"/>
  <c r="R425" i="17"/>
  <c r="R365" i="17" a="1"/>
  <c r="R365" i="17" s="1"/>
  <c r="R395" i="17" a="1"/>
  <c r="R395" i="17" s="1"/>
  <c r="R455" i="17" a="1"/>
  <c r="R455" i="17" s="1"/>
  <c r="R6" i="17" a="1"/>
  <c r="R6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 s="1"/>
  <c r="R216" i="17" a="1"/>
  <c r="R216" i="17" s="1"/>
  <c r="R306" i="17" a="1"/>
  <c r="R306" i="17" s="1"/>
  <c r="R246" i="17" a="1"/>
  <c r="R246" i="17" s="1"/>
  <c r="R276" i="17" a="1"/>
  <c r="R276" i="17" s="1"/>
  <c r="R336" i="17" a="1"/>
  <c r="R336" i="17" s="1"/>
  <c r="R426" i="17" a="1"/>
  <c r="R426" i="17" s="1"/>
  <c r="R366" i="17" a="1"/>
  <c r="R366" i="17" s="1"/>
  <c r="R396" i="17" a="1"/>
  <c r="R396" i="17" s="1"/>
  <c r="R456" i="17" a="1"/>
  <c r="R456" i="17" s="1"/>
  <c r="R7" i="17" a="1"/>
  <c r="R7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217" i="17" a="1"/>
  <c r="R217" i="17" s="1"/>
  <c r="R307" i="17" a="1"/>
  <c r="R307" i="17" s="1"/>
  <c r="R247" i="17" a="1"/>
  <c r="R247" i="17" s="1"/>
  <c r="R277" i="17" a="1"/>
  <c r="R277" i="17" s="1"/>
  <c r="R337" i="17" a="1"/>
  <c r="R337" i="17" s="1"/>
  <c r="R427" i="17" a="1"/>
  <c r="R427" i="17" s="1"/>
  <c r="R367" i="17" a="1"/>
  <c r="R367" i="17"/>
  <c r="R397" i="17" a="1"/>
  <c r="R397" i="17" s="1"/>
  <c r="R457" i="17" a="1"/>
  <c r="R457" i="17" s="1"/>
  <c r="R8" i="17" a="1"/>
  <c r="R8" i="17" s="1"/>
  <c r="R68" i="17" a="1"/>
  <c r="R68" i="17" s="1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218" i="17" a="1"/>
  <c r="R218" i="17" s="1"/>
  <c r="R308" i="17" a="1"/>
  <c r="R308" i="17" s="1"/>
  <c r="R248" i="17" a="1"/>
  <c r="R248" i="17" s="1"/>
  <c r="R278" i="17" a="1"/>
  <c r="R278" i="17" s="1"/>
  <c r="R338" i="17" a="1"/>
  <c r="R338" i="17" s="1"/>
  <c r="R428" i="17" a="1"/>
  <c r="R428" i="17" s="1"/>
  <c r="R368" i="17" a="1"/>
  <c r="R368" i="17" s="1"/>
  <c r="R398" i="17" a="1"/>
  <c r="R398" i="17" s="1"/>
  <c r="R458" i="17" a="1"/>
  <c r="R458" i="17" s="1"/>
  <c r="R9" i="17" a="1"/>
  <c r="R9" i="17" s="1"/>
  <c r="R74" i="17" a="1"/>
  <c r="R74" i="17" s="1"/>
  <c r="R75" i="17" a="1"/>
  <c r="R75" i="17" s="1"/>
  <c r="R76" i="17" a="1"/>
  <c r="R76" i="17" s="1"/>
  <c r="R77" i="17" a="1"/>
  <c r="R77" i="17"/>
  <c r="R78" i="17" a="1"/>
  <c r="R78" i="17" s="1"/>
  <c r="R79" i="17" a="1"/>
  <c r="R79" i="17" s="1"/>
  <c r="R219" i="17" a="1"/>
  <c r="R219" i="17" s="1"/>
  <c r="R309" i="17" a="1"/>
  <c r="R309" i="17" s="1"/>
  <c r="R249" i="17" a="1"/>
  <c r="R249" i="17" s="1"/>
  <c r="R279" i="17" a="1"/>
  <c r="R279" i="17" s="1"/>
  <c r="R339" i="17" a="1"/>
  <c r="R339" i="17" s="1"/>
  <c r="R429" i="17" a="1"/>
  <c r="R429" i="17" s="1"/>
  <c r="R369" i="17" a="1"/>
  <c r="R369" i="17" s="1"/>
  <c r="R399" i="17" a="1"/>
  <c r="R399" i="17" s="1"/>
  <c r="R459" i="17" a="1"/>
  <c r="R459" i="17" s="1"/>
  <c r="R10" i="17" a="1"/>
  <c r="R10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220" i="17" a="1"/>
  <c r="R220" i="17" s="1"/>
  <c r="R310" i="17" a="1"/>
  <c r="R310" i="17" s="1"/>
  <c r="R250" i="17" a="1"/>
  <c r="R250" i="17" s="1"/>
  <c r="R280" i="17" a="1"/>
  <c r="R280" i="17" s="1"/>
  <c r="R340" i="17" a="1"/>
  <c r="R340" i="17" s="1"/>
  <c r="R430" i="17" a="1"/>
  <c r="R430" i="17" s="1"/>
  <c r="R370" i="17" a="1"/>
  <c r="R370" i="17" s="1"/>
  <c r="R400" i="17" a="1"/>
  <c r="R400" i="17" s="1"/>
  <c r="R460" i="17" a="1"/>
  <c r="R460" i="17" s="1"/>
  <c r="R11" i="17" a="1"/>
  <c r="R11" i="17" s="1"/>
  <c r="R86" i="17" a="1"/>
  <c r="R86" i="17" s="1"/>
  <c r="R87" i="17" a="1"/>
  <c r="R87" i="17" s="1"/>
  <c r="R88" i="17" a="1"/>
  <c r="R88" i="17"/>
  <c r="R89" i="17" a="1"/>
  <c r="R89" i="17" s="1"/>
  <c r="R90" i="17" a="1"/>
  <c r="R90" i="17" s="1"/>
  <c r="R91" i="17" a="1"/>
  <c r="R91" i="17" s="1"/>
  <c r="R221" i="17" a="1"/>
  <c r="R221" i="17" s="1"/>
  <c r="R311" i="17" a="1"/>
  <c r="R311" i="17" s="1"/>
  <c r="R251" i="17" a="1"/>
  <c r="R251" i="17" s="1"/>
  <c r="R281" i="17" a="1"/>
  <c r="R281" i="17" s="1"/>
  <c r="R341" i="17" a="1"/>
  <c r="R341" i="17" s="1"/>
  <c r="R431" i="17" a="1"/>
  <c r="R431" i="17"/>
  <c r="R371" i="17" a="1"/>
  <c r="R371" i="17" s="1"/>
  <c r="R401" i="17" a="1"/>
  <c r="R401" i="17" s="1"/>
  <c r="R461" i="17" a="1"/>
  <c r="R461" i="17" s="1"/>
  <c r="R12" i="17" a="1"/>
  <c r="R12" i="17"/>
  <c r="R92" i="17" a="1"/>
  <c r="R92" i="17" s="1"/>
  <c r="R93" i="17" a="1"/>
  <c r="R93" i="17" s="1"/>
  <c r="R94" i="17" a="1"/>
  <c r="R94" i="17" s="1"/>
  <c r="R95" i="17" a="1"/>
  <c r="R95" i="17" s="1"/>
  <c r="R96" i="17" a="1"/>
  <c r="R96" i="17" s="1"/>
  <c r="R97" i="17" a="1"/>
  <c r="R97" i="17" s="1"/>
  <c r="R222" i="17" a="1"/>
  <c r="R222" i="17" s="1"/>
  <c r="R312" i="17" a="1"/>
  <c r="R312" i="17" s="1"/>
  <c r="R252" i="17" a="1"/>
  <c r="R252" i="17" s="1"/>
  <c r="R282" i="17" a="1"/>
  <c r="R282" i="17" s="1"/>
  <c r="R342" i="17" a="1"/>
  <c r="R342" i="17" s="1"/>
  <c r="R432" i="17" a="1"/>
  <c r="R432" i="17" s="1"/>
  <c r="R372" i="17" a="1"/>
  <c r="R372" i="17" s="1"/>
  <c r="R402" i="17" a="1"/>
  <c r="R402" i="17" s="1"/>
  <c r="R462" i="17" a="1"/>
  <c r="R462" i="17" s="1"/>
  <c r="R13" i="17" a="1"/>
  <c r="R13" i="17" s="1"/>
  <c r="R98" i="17" a="1"/>
  <c r="R98" i="17" s="1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223" i="17" a="1"/>
  <c r="R223" i="17" s="1"/>
  <c r="R313" i="17" a="1"/>
  <c r="R313" i="17" s="1"/>
  <c r="R253" i="17" a="1"/>
  <c r="R253" i="17" s="1"/>
  <c r="R283" i="17" a="1"/>
  <c r="R283" i="17" s="1"/>
  <c r="R343" i="17" a="1"/>
  <c r="R343" i="17" s="1"/>
  <c r="R433" i="17" a="1"/>
  <c r="R433" i="17" s="1"/>
  <c r="R373" i="17" a="1"/>
  <c r="R373" i="17" s="1"/>
  <c r="R403" i="17" a="1"/>
  <c r="R403" i="17" s="1"/>
  <c r="R463" i="17" a="1"/>
  <c r="R463" i="17" s="1"/>
  <c r="R14" i="17" a="1"/>
  <c r="R14" i="17"/>
  <c r="R104" i="17" a="1"/>
  <c r="R104" i="17" s="1"/>
  <c r="R105" i="17" a="1"/>
  <c r="R105" i="17" s="1"/>
  <c r="R106" i="17" a="1"/>
  <c r="R106" i="17" s="1"/>
  <c r="R107" i="17" a="1"/>
  <c r="R107" i="17" s="1"/>
  <c r="R108" i="17" a="1"/>
  <c r="R108" i="17" s="1"/>
  <c r="R109" i="17" a="1"/>
  <c r="R109" i="17" s="1"/>
  <c r="R224" i="17" a="1"/>
  <c r="R224" i="17" s="1"/>
  <c r="R314" i="17" a="1"/>
  <c r="R314" i="17" s="1"/>
  <c r="R254" i="17" a="1"/>
  <c r="R254" i="17" s="1"/>
  <c r="R284" i="17" a="1"/>
  <c r="R284" i="17" s="1"/>
  <c r="R344" i="17" a="1"/>
  <c r="R344" i="17" s="1"/>
  <c r="R434" i="17" a="1"/>
  <c r="R434" i="17" s="1"/>
  <c r="R374" i="17" a="1"/>
  <c r="R374" i="17" s="1"/>
  <c r="R404" i="17" a="1"/>
  <c r="R404" i="17" s="1"/>
  <c r="R464" i="17" a="1"/>
  <c r="R464" i="17" s="1"/>
  <c r="R15" i="17" a="1"/>
  <c r="R15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225" i="17" a="1"/>
  <c r="R225" i="17"/>
  <c r="R315" i="17" a="1"/>
  <c r="R315" i="17" s="1"/>
  <c r="R255" i="17" a="1"/>
  <c r="R255" i="17" s="1"/>
  <c r="R285" i="17" a="1"/>
  <c r="R285" i="17" s="1"/>
  <c r="R345" i="17" a="1"/>
  <c r="R345" i="17" s="1"/>
  <c r="R435" i="17" a="1"/>
  <c r="R435" i="17" s="1"/>
  <c r="R375" i="17" a="1"/>
  <c r="R375" i="17" s="1"/>
  <c r="R405" i="17" a="1"/>
  <c r="R405" i="17" s="1"/>
  <c r="R465" i="17" a="1"/>
  <c r="R465" i="17" s="1"/>
  <c r="R16" i="17" a="1"/>
  <c r="R16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 s="1"/>
  <c r="R121" i="17" a="1"/>
  <c r="R121" i="17" s="1"/>
  <c r="R226" i="17" a="1"/>
  <c r="R226" i="17" s="1"/>
  <c r="R316" i="17" a="1"/>
  <c r="R316" i="17" s="1"/>
  <c r="R256" i="17" a="1"/>
  <c r="R256" i="17"/>
  <c r="R286" i="17" a="1"/>
  <c r="R286" i="17" s="1"/>
  <c r="R346" i="17" a="1"/>
  <c r="R346" i="17"/>
  <c r="R436" i="17" a="1"/>
  <c r="R436" i="17" s="1"/>
  <c r="R376" i="17" a="1"/>
  <c r="R376" i="17" s="1"/>
  <c r="R406" i="17" a="1"/>
  <c r="R406" i="17" s="1"/>
  <c r="R466" i="17" a="1"/>
  <c r="R466" i="17" s="1"/>
  <c r="R17" i="17" a="1"/>
  <c r="R17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227" i="17" a="1"/>
  <c r="R227" i="17" s="1"/>
  <c r="R317" i="17" a="1"/>
  <c r="R317" i="17" s="1"/>
  <c r="R257" i="17" a="1"/>
  <c r="R257" i="17" s="1"/>
  <c r="R287" i="17" a="1"/>
  <c r="R287" i="17" s="1"/>
  <c r="R347" i="17" a="1"/>
  <c r="R347" i="17" s="1"/>
  <c r="R437" i="17" a="1"/>
  <c r="R437" i="17" s="1"/>
  <c r="R377" i="17" a="1"/>
  <c r="R377" i="17" s="1"/>
  <c r="R407" i="17" a="1"/>
  <c r="R407" i="17" s="1"/>
  <c r="R467" i="17" a="1"/>
  <c r="R467" i="17" s="1"/>
  <c r="R18" i="17" a="1"/>
  <c r="R18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 s="1"/>
  <c r="R228" i="17" a="1"/>
  <c r="R228" i="17" s="1"/>
  <c r="R318" i="17" a="1"/>
  <c r="R318" i="17" s="1"/>
  <c r="R258" i="17" a="1"/>
  <c r="R258" i="17"/>
  <c r="R288" i="17" a="1"/>
  <c r="R288" i="17" s="1"/>
  <c r="R348" i="17" a="1"/>
  <c r="R348" i="17"/>
  <c r="R438" i="17" a="1"/>
  <c r="R438" i="17" s="1"/>
  <c r="R378" i="17" a="1"/>
  <c r="R378" i="17" s="1"/>
  <c r="R408" i="17" a="1"/>
  <c r="R408" i="17" s="1"/>
  <c r="R468" i="17" a="1"/>
  <c r="R468" i="17" s="1"/>
  <c r="R19" i="17" a="1"/>
  <c r="R19" i="17" s="1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229" i="17" a="1"/>
  <c r="R229" i="17" s="1"/>
  <c r="R319" i="17" a="1"/>
  <c r="R319" i="17" s="1"/>
  <c r="R259" i="17" a="1"/>
  <c r="R259" i="17" s="1"/>
  <c r="R289" i="17" a="1"/>
  <c r="R289" i="17" s="1"/>
  <c r="R349" i="17" a="1"/>
  <c r="R349" i="17" s="1"/>
  <c r="R439" i="17" a="1"/>
  <c r="R439" i="17" s="1"/>
  <c r="R379" i="17" a="1"/>
  <c r="R379" i="17" s="1"/>
  <c r="R409" i="17" a="1"/>
  <c r="R409" i="17" s="1"/>
  <c r="R469" i="17" a="1"/>
  <c r="R469" i="17" s="1"/>
  <c r="R20" i="17" a="1"/>
  <c r="R20" i="17" s="1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230" i="17" a="1"/>
  <c r="R230" i="17" s="1"/>
  <c r="R320" i="17" a="1"/>
  <c r="R320" i="17" s="1"/>
  <c r="R260" i="17" a="1"/>
  <c r="R260" i="17" s="1"/>
  <c r="R290" i="17" a="1"/>
  <c r="R290" i="17" s="1"/>
  <c r="R350" i="17" a="1"/>
  <c r="R350" i="17"/>
  <c r="R440" i="17" a="1"/>
  <c r="R440" i="17" s="1"/>
  <c r="R380" i="17" a="1"/>
  <c r="R380" i="17" s="1"/>
  <c r="R410" i="17" a="1"/>
  <c r="R410" i="17" s="1"/>
  <c r="R470" i="17" a="1"/>
  <c r="R470" i="17" s="1"/>
  <c r="R21" i="17" a="1"/>
  <c r="R21" i="17" s="1"/>
  <c r="R146" i="17" a="1"/>
  <c r="R146" i="17" s="1"/>
  <c r="R147" i="17" a="1"/>
  <c r="R147" i="17" s="1"/>
  <c r="R148" i="17" a="1"/>
  <c r="R148" i="17" s="1"/>
  <c r="R149" i="17" a="1"/>
  <c r="R149" i="17" s="1"/>
  <c r="R150" i="17" a="1"/>
  <c r="R150" i="17" s="1"/>
  <c r="R151" i="17" a="1"/>
  <c r="R151" i="17" s="1"/>
  <c r="R231" i="17" a="1"/>
  <c r="R231" i="17"/>
  <c r="R321" i="17" a="1"/>
  <c r="R321" i="17" s="1"/>
  <c r="R261" i="17" a="1"/>
  <c r="R261" i="17" s="1"/>
  <c r="R291" i="17" a="1"/>
  <c r="R291" i="17" s="1"/>
  <c r="R351" i="17" a="1"/>
  <c r="R351" i="17" s="1"/>
  <c r="R441" i="17" a="1"/>
  <c r="R441" i="17" s="1"/>
  <c r="R381" i="17" a="1"/>
  <c r="R381" i="17"/>
  <c r="R411" i="17" a="1"/>
  <c r="R411" i="17" s="1"/>
  <c r="R471" i="17" a="1"/>
  <c r="R471" i="17" s="1"/>
  <c r="R22" i="17" a="1"/>
  <c r="R22" i="17" s="1"/>
  <c r="R152" i="17" a="1"/>
  <c r="R152" i="17" s="1"/>
  <c r="R153" i="17" a="1"/>
  <c r="R153" i="17" s="1"/>
  <c r="R154" i="17" a="1"/>
  <c r="R154" i="17" s="1"/>
  <c r="R155" i="17" a="1"/>
  <c r="R155" i="17" s="1"/>
  <c r="R156" i="17" a="1"/>
  <c r="R156" i="17" s="1"/>
  <c r="R157" i="17" a="1"/>
  <c r="R157" i="17" s="1"/>
  <c r="R232" i="17" a="1"/>
  <c r="R232" i="17" s="1"/>
  <c r="R322" i="17" a="1"/>
  <c r="R322" i="17" s="1"/>
  <c r="R262" i="17" a="1"/>
  <c r="R262" i="17" s="1"/>
  <c r="R292" i="17" a="1"/>
  <c r="R292" i="17" s="1"/>
  <c r="R352" i="17" a="1"/>
  <c r="R352" i="17" s="1"/>
  <c r="R442" i="17" a="1"/>
  <c r="R442" i="17" s="1"/>
  <c r="R382" i="17" a="1"/>
  <c r="R382" i="17" s="1"/>
  <c r="R412" i="17" a="1"/>
  <c r="R412" i="17" s="1"/>
  <c r="R472" i="17" a="1"/>
  <c r="R472" i="17" s="1"/>
  <c r="R23" i="17" a="1"/>
  <c r="R23" i="17"/>
  <c r="R158" i="17" a="1"/>
  <c r="R158" i="17" s="1"/>
  <c r="R159" i="17" a="1"/>
  <c r="R159" i="17" s="1"/>
  <c r="R160" i="17" a="1"/>
  <c r="R160" i="17" s="1"/>
  <c r="R161" i="17" a="1"/>
  <c r="R161" i="17"/>
  <c r="R162" i="17" a="1"/>
  <c r="R162" i="17" s="1"/>
  <c r="R163" i="17" a="1"/>
  <c r="R163" i="17" s="1"/>
  <c r="R233" i="17" a="1"/>
  <c r="R233" i="17" s="1"/>
  <c r="R323" i="17" a="1"/>
  <c r="R323" i="17" s="1"/>
  <c r="R263" i="17" a="1"/>
  <c r="R263" i="17" s="1"/>
  <c r="R293" i="17" a="1"/>
  <c r="R293" i="17" s="1"/>
  <c r="R353" i="17" a="1"/>
  <c r="R353" i="17" s="1"/>
  <c r="R443" i="17" a="1"/>
  <c r="R443" i="17" s="1"/>
  <c r="R383" i="17" a="1"/>
  <c r="R383" i="17"/>
  <c r="R413" i="17" a="1"/>
  <c r="R413" i="17" s="1"/>
  <c r="R473" i="17" a="1"/>
  <c r="R473" i="17" s="1"/>
  <c r="R24" i="17" a="1"/>
  <c r="R24" i="17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 s="1"/>
  <c r="R169" i="17" a="1"/>
  <c r="R169" i="17" s="1"/>
  <c r="R234" i="17" a="1"/>
  <c r="R234" i="17"/>
  <c r="R324" i="17" a="1"/>
  <c r="R324" i="17" s="1"/>
  <c r="R264" i="17" a="1"/>
  <c r="R264" i="17"/>
  <c r="R294" i="17" a="1"/>
  <c r="R294" i="17" s="1"/>
  <c r="R354" i="17" a="1"/>
  <c r="R354" i="17" s="1"/>
  <c r="R444" i="17" a="1"/>
  <c r="R444" i="17" s="1"/>
  <c r="R384" i="17" a="1"/>
  <c r="R384" i="17" s="1"/>
  <c r="R414" i="17" a="1"/>
  <c r="R414" i="17" s="1"/>
  <c r="R474" i="17" a="1"/>
  <c r="R474" i="17" s="1"/>
  <c r="R25" i="17" a="1"/>
  <c r="R25" i="17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235" i="17" a="1"/>
  <c r="R235" i="17" s="1"/>
  <c r="R325" i="17" a="1"/>
  <c r="R325" i="17" s="1"/>
  <c r="R265" i="17" a="1"/>
  <c r="R265" i="17" s="1"/>
  <c r="R295" i="17" a="1"/>
  <c r="R295" i="17" s="1"/>
  <c r="R355" i="17" a="1"/>
  <c r="R355" i="17" s="1"/>
  <c r="R445" i="17" a="1"/>
  <c r="R445" i="17" s="1"/>
  <c r="R385" i="17" a="1"/>
  <c r="R385" i="17" s="1"/>
  <c r="R415" i="17" a="1"/>
  <c r="R415" i="17" s="1"/>
  <c r="R475" i="17" a="1"/>
  <c r="R475" i="17" s="1"/>
  <c r="R26" i="17" a="1"/>
  <c r="R26" i="17" s="1"/>
  <c r="R176" i="17" a="1"/>
  <c r="R176" i="17" s="1"/>
  <c r="R177" i="17" a="1"/>
  <c r="R177" i="17" s="1"/>
  <c r="R178" i="17" a="1"/>
  <c r="R178" i="17" s="1"/>
  <c r="R179" i="17" a="1"/>
  <c r="R179" i="17" s="1"/>
  <c r="R180" i="17" a="1"/>
  <c r="R180" i="17" s="1"/>
  <c r="R181" i="17" a="1"/>
  <c r="R181" i="17" s="1"/>
  <c r="R236" i="17" a="1"/>
  <c r="R236" i="17" s="1"/>
  <c r="R326" i="17" a="1"/>
  <c r="R326" i="17" s="1"/>
  <c r="R266" i="17" a="1"/>
  <c r="R266" i="17" s="1"/>
  <c r="R296" i="17" a="1"/>
  <c r="R296" i="17" s="1"/>
  <c r="R356" i="17" a="1"/>
  <c r="R356" i="17" s="1"/>
  <c r="R446" i="17" a="1"/>
  <c r="R446" i="17" s="1"/>
  <c r="R386" i="17" a="1"/>
  <c r="R386" i="17" s="1"/>
  <c r="R416" i="17" a="1"/>
  <c r="R416" i="17" s="1"/>
  <c r="R476" i="17" a="1"/>
  <c r="R476" i="17" s="1"/>
  <c r="R27" i="17" a="1"/>
  <c r="R27" i="17" s="1"/>
  <c r="R182" i="17" a="1"/>
  <c r="R182" i="17" s="1"/>
  <c r="R183" i="17" a="1"/>
  <c r="R183" i="17" s="1"/>
  <c r="R184" i="17" a="1"/>
  <c r="R184" i="17" s="1"/>
  <c r="R185" i="17" a="1"/>
  <c r="R185" i="17" s="1"/>
  <c r="R186" i="17" a="1"/>
  <c r="R186" i="17" s="1"/>
  <c r="R187" i="17" a="1"/>
  <c r="R187" i="17" s="1"/>
  <c r="R237" i="17" a="1"/>
  <c r="R237" i="17" s="1"/>
  <c r="R327" i="17" a="1"/>
  <c r="R327" i="17" s="1"/>
  <c r="R267" i="17" a="1"/>
  <c r="R267" i="17"/>
  <c r="R297" i="17" a="1"/>
  <c r="R297" i="17" s="1"/>
  <c r="R357" i="17" a="1"/>
  <c r="R357" i="17" s="1"/>
  <c r="R447" i="17" a="1"/>
  <c r="R447" i="17" s="1"/>
  <c r="R387" i="17" a="1"/>
  <c r="R387" i="17" s="1"/>
  <c r="R417" i="17" a="1"/>
  <c r="R417" i="17" s="1"/>
  <c r="R477" i="17" a="1"/>
  <c r="R477" i="17" s="1"/>
  <c r="R28" i="17" a="1"/>
  <c r="R28" i="17" s="1"/>
  <c r="R188" i="17" a="1"/>
  <c r="R188" i="17" s="1"/>
  <c r="R189" i="17" a="1"/>
  <c r="R189" i="17" s="1"/>
  <c r="R190" i="17" a="1"/>
  <c r="R190" i="17" s="1"/>
  <c r="R191" i="17" a="1"/>
  <c r="R191" i="17" s="1"/>
  <c r="R192" i="17" a="1"/>
  <c r="R192" i="17" s="1"/>
  <c r="R193" i="17" a="1"/>
  <c r="R193" i="17" s="1"/>
  <c r="R238" i="17" a="1"/>
  <c r="R238" i="17" s="1"/>
  <c r="R328" i="17" a="1"/>
  <c r="R328" i="17" s="1"/>
  <c r="R268" i="17" a="1"/>
  <c r="R268" i="17"/>
  <c r="R298" i="17" a="1"/>
  <c r="R298" i="17" s="1"/>
  <c r="R358" i="17" a="1"/>
  <c r="R358" i="17" s="1"/>
  <c r="R448" i="17" a="1"/>
  <c r="R448" i="17" s="1"/>
  <c r="R388" i="17" a="1"/>
  <c r="R388" i="17" s="1"/>
  <c r="R418" i="17" a="1"/>
  <c r="R418" i="17" s="1"/>
  <c r="R478" i="17" a="1"/>
  <c r="R478" i="17" s="1"/>
  <c r="R29" i="17" a="1"/>
  <c r="R29" i="17" s="1"/>
  <c r="R194" i="17" a="1"/>
  <c r="R194" i="17" s="1"/>
  <c r="R195" i="17" a="1"/>
  <c r="R195" i="17" s="1"/>
  <c r="R196" i="17" a="1"/>
  <c r="R196" i="17" s="1"/>
  <c r="R197" i="17" a="1"/>
  <c r="R197" i="17" s="1"/>
  <c r="R198" i="17" a="1"/>
  <c r="R198" i="17" s="1"/>
  <c r="R199" i="17" a="1"/>
  <c r="R199" i="17" s="1"/>
  <c r="R239" i="17" a="1"/>
  <c r="R239" i="17" s="1"/>
  <c r="R329" i="17" a="1"/>
  <c r="R329" i="17" s="1"/>
  <c r="R269" i="17" a="1"/>
  <c r="R269" i="17" s="1"/>
  <c r="R299" i="17" a="1"/>
  <c r="R299" i="17" s="1"/>
  <c r="R359" i="17" a="1"/>
  <c r="R359" i="17" s="1"/>
  <c r="R449" i="17" a="1"/>
  <c r="R449" i="17" s="1"/>
  <c r="R389" i="17" a="1"/>
  <c r="R389" i="17" s="1"/>
  <c r="R419" i="17" a="1"/>
  <c r="R419" i="17" s="1"/>
  <c r="R479" i="17" a="1"/>
  <c r="R479" i="17" s="1"/>
  <c r="R30" i="17" a="1"/>
  <c r="R30" i="17" s="1"/>
  <c r="R200" i="17" a="1"/>
  <c r="R200" i="17" s="1"/>
  <c r="R201" i="17" a="1"/>
  <c r="R201" i="17" s="1"/>
  <c r="R202" i="17" a="1"/>
  <c r="R202" i="17" s="1"/>
  <c r="R203" i="17" a="1"/>
  <c r="R203" i="17" s="1"/>
  <c r="R204" i="17" a="1"/>
  <c r="R204" i="17" s="1"/>
  <c r="R205" i="17" a="1"/>
  <c r="R205" i="17" s="1"/>
  <c r="R240" i="17" a="1"/>
  <c r="R240" i="17" s="1"/>
  <c r="R330" i="17" a="1"/>
  <c r="R330" i="17" s="1"/>
  <c r="R270" i="17" a="1"/>
  <c r="R270" i="17"/>
  <c r="R300" i="17" a="1"/>
  <c r="R300" i="17" s="1"/>
  <c r="R360" i="17" a="1"/>
  <c r="R360" i="17" s="1"/>
  <c r="R450" i="17" a="1"/>
  <c r="R450" i="17" s="1"/>
  <c r="R390" i="17" a="1"/>
  <c r="R390" i="17" s="1"/>
  <c r="R420" i="17" a="1"/>
  <c r="R420" i="17" s="1"/>
  <c r="R480" i="17" a="1"/>
  <c r="R480" i="17" s="1"/>
  <c r="R31" i="17" a="1"/>
  <c r="R31" i="17" s="1"/>
  <c r="R206" i="17" a="1"/>
  <c r="R206" i="17" s="1"/>
  <c r="R207" i="17" a="1"/>
  <c r="R207" i="17" s="1"/>
  <c r="R208" i="17" a="1"/>
  <c r="R208" i="17" s="1"/>
  <c r="R209" i="17" a="1"/>
  <c r="R209" i="17" s="1"/>
  <c r="R210" i="17" a="1"/>
  <c r="R210" i="17" s="1"/>
  <c r="R211" i="17" a="1"/>
  <c r="R211" i="17" s="1"/>
  <c r="R241" i="17" a="1"/>
  <c r="R241" i="17" s="1"/>
  <c r="R331" i="17" a="1"/>
  <c r="R331" i="17" s="1"/>
  <c r="R271" i="17" a="1"/>
  <c r="R271" i="17" s="1"/>
  <c r="R301" i="17" a="1"/>
  <c r="R301" i="17" s="1"/>
  <c r="R361" i="17" a="1"/>
  <c r="R361" i="17" s="1"/>
  <c r="R451" i="17" a="1"/>
  <c r="R451" i="17" s="1"/>
  <c r="R391" i="17" a="1"/>
  <c r="R391" i="17" s="1"/>
  <c r="R421" i="17" a="1"/>
  <c r="R421" i="17" s="1"/>
  <c r="R481" i="17" a="1"/>
  <c r="R481" i="17" s="1"/>
  <c r="S2" i="17" a="1"/>
  <c r="S2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212" i="17" a="1"/>
  <c r="S212" i="17" s="1"/>
  <c r="S302" i="17" a="1"/>
  <c r="S302" i="17" s="1"/>
  <c r="S242" i="17" a="1"/>
  <c r="S242" i="17" s="1"/>
  <c r="S272" i="17" a="1"/>
  <c r="S272" i="17" s="1"/>
  <c r="S332" i="17" a="1"/>
  <c r="S332" i="17" s="1"/>
  <c r="S422" i="17" a="1"/>
  <c r="S422" i="17" s="1"/>
  <c r="S362" i="17" a="1"/>
  <c r="S362" i="17" s="1"/>
  <c r="S392" i="17" a="1"/>
  <c r="S392" i="17" s="1"/>
  <c r="S452" i="17" a="1"/>
  <c r="S452" i="17" s="1"/>
  <c r="S3" i="17" a="1"/>
  <c r="S3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213" i="17" a="1"/>
  <c r="S213" i="17" s="1"/>
  <c r="S303" i="17" a="1"/>
  <c r="S303" i="17" s="1"/>
  <c r="S243" i="17" a="1"/>
  <c r="S243" i="17"/>
  <c r="S273" i="17" a="1"/>
  <c r="S273" i="17" s="1"/>
  <c r="S333" i="17" a="1"/>
  <c r="S333" i="17" s="1"/>
  <c r="S423" i="17" a="1"/>
  <c r="S423" i="17" s="1"/>
  <c r="S363" i="17" a="1"/>
  <c r="S363" i="17" s="1"/>
  <c r="S393" i="17" a="1"/>
  <c r="S393" i="17" s="1"/>
  <c r="S453" i="17" a="1"/>
  <c r="S453" i="17" s="1"/>
  <c r="S4" i="17" a="1"/>
  <c r="S4" i="17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214" i="17" a="1"/>
  <c r="S214" i="17" s="1"/>
  <c r="S304" i="17" a="1"/>
  <c r="S304" i="17" s="1"/>
  <c r="S244" i="17" a="1"/>
  <c r="S244" i="17" s="1"/>
  <c r="S274" i="17" a="1"/>
  <c r="S274" i="17" s="1"/>
  <c r="S334" i="17" a="1"/>
  <c r="S334" i="17" s="1"/>
  <c r="S424" i="17" a="1"/>
  <c r="S424" i="17" s="1"/>
  <c r="S364" i="17" a="1"/>
  <c r="S364" i="17" s="1"/>
  <c r="S394" i="17" a="1"/>
  <c r="S394" i="17" s="1"/>
  <c r="S454" i="17" a="1"/>
  <c r="S454" i="17" s="1"/>
  <c r="S5" i="17" a="1"/>
  <c r="S5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215" i="17" a="1"/>
  <c r="S215" i="17" s="1"/>
  <c r="S305" i="17" a="1"/>
  <c r="S305" i="17" s="1"/>
  <c r="S245" i="17" a="1"/>
  <c r="S245" i="17" s="1"/>
  <c r="S275" i="17" a="1"/>
  <c r="S275" i="17" s="1"/>
  <c r="S335" i="17" a="1"/>
  <c r="S335" i="17" s="1"/>
  <c r="S425" i="17" a="1"/>
  <c r="S425" i="17" s="1"/>
  <c r="S365" i="17" a="1"/>
  <c r="S365" i="17" s="1"/>
  <c r="S395" i="17" a="1"/>
  <c r="S395" i="17" s="1"/>
  <c r="S455" i="17" a="1"/>
  <c r="S455" i="17" s="1"/>
  <c r="S6" i="17" a="1"/>
  <c r="S6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216" i="17" a="1"/>
  <c r="S216" i="17" s="1"/>
  <c r="S306" i="17" a="1"/>
  <c r="S306" i="17" s="1"/>
  <c r="S246" i="17" a="1"/>
  <c r="S246" i="17"/>
  <c r="S276" i="17" a="1"/>
  <c r="S276" i="17" s="1"/>
  <c r="S336" i="17" a="1"/>
  <c r="S336" i="17" s="1"/>
  <c r="S426" i="17" a="1"/>
  <c r="S426" i="17" s="1"/>
  <c r="S366" i="17" a="1"/>
  <c r="S366" i="17" s="1"/>
  <c r="S396" i="17" a="1"/>
  <c r="S396" i="17" s="1"/>
  <c r="S456" i="17" a="1"/>
  <c r="S456" i="17" s="1"/>
  <c r="S7" i="17" a="1"/>
  <c r="S7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217" i="17" a="1"/>
  <c r="S217" i="17" s="1"/>
  <c r="S307" i="17" a="1"/>
  <c r="S307" i="17" s="1"/>
  <c r="S247" i="17" a="1"/>
  <c r="S247" i="17"/>
  <c r="S277" i="17" a="1"/>
  <c r="S277" i="17" s="1"/>
  <c r="S337" i="17" a="1"/>
  <c r="S337" i="17" s="1"/>
  <c r="S427" i="17" a="1"/>
  <c r="S427" i="17" s="1"/>
  <c r="S367" i="17" a="1"/>
  <c r="S367" i="17" s="1"/>
  <c r="S397" i="17" a="1"/>
  <c r="S397" i="17" s="1"/>
  <c r="S457" i="17" a="1"/>
  <c r="S457" i="17" s="1"/>
  <c r="S8" i="17" a="1"/>
  <c r="S8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218" i="17" a="1"/>
  <c r="S218" i="17" s="1"/>
  <c r="S308" i="17" a="1"/>
  <c r="S308" i="17" s="1"/>
  <c r="S248" i="17" a="1"/>
  <c r="S248" i="17" s="1"/>
  <c r="S278" i="17" a="1"/>
  <c r="S278" i="17" s="1"/>
  <c r="S338" i="17" a="1"/>
  <c r="S338" i="17" s="1"/>
  <c r="S428" i="17" a="1"/>
  <c r="S428" i="17" s="1"/>
  <c r="S368" i="17" a="1"/>
  <c r="S368" i="17" s="1"/>
  <c r="S398" i="17" a="1"/>
  <c r="S398" i="17" s="1"/>
  <c r="S458" i="17" a="1"/>
  <c r="S458" i="17" s="1"/>
  <c r="S9" i="17" a="1"/>
  <c r="S9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219" i="17" a="1"/>
  <c r="S219" i="17" s="1"/>
  <c r="S309" i="17" a="1"/>
  <c r="S309" i="17" s="1"/>
  <c r="S249" i="17" a="1"/>
  <c r="S249" i="17" s="1"/>
  <c r="S279" i="17" a="1"/>
  <c r="S279" i="17" s="1"/>
  <c r="S339" i="17" a="1"/>
  <c r="S339" i="17" s="1"/>
  <c r="S429" i="17" a="1"/>
  <c r="S429" i="17" s="1"/>
  <c r="S369" i="17" a="1"/>
  <c r="S369" i="17" s="1"/>
  <c r="S399" i="17" a="1"/>
  <c r="S399" i="17" s="1"/>
  <c r="S459" i="17" a="1"/>
  <c r="S459" i="17" s="1"/>
  <c r="S10" i="17" a="1"/>
  <c r="S10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220" i="17" a="1"/>
  <c r="S220" i="17" s="1"/>
  <c r="S310" i="17" a="1"/>
  <c r="S310" i="17" s="1"/>
  <c r="S250" i="17" a="1"/>
  <c r="S250" i="17" s="1"/>
  <c r="S280" i="17" a="1"/>
  <c r="S280" i="17" s="1"/>
  <c r="S340" i="17" a="1"/>
  <c r="S340" i="17" s="1"/>
  <c r="S430" i="17" a="1"/>
  <c r="S430" i="17" s="1"/>
  <c r="S370" i="17" a="1"/>
  <c r="S370" i="17" s="1"/>
  <c r="S400" i="17" a="1"/>
  <c r="S400" i="17" s="1"/>
  <c r="S460" i="17" a="1"/>
  <c r="S460" i="17" s="1"/>
  <c r="S11" i="17" a="1"/>
  <c r="S11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221" i="17" a="1"/>
  <c r="S221" i="17" s="1"/>
  <c r="S311" i="17" a="1"/>
  <c r="S311" i="17" s="1"/>
  <c r="S251" i="17" a="1"/>
  <c r="S251" i="17" s="1"/>
  <c r="S281" i="17" a="1"/>
  <c r="S281" i="17" s="1"/>
  <c r="S341" i="17" a="1"/>
  <c r="S341" i="17" s="1"/>
  <c r="S431" i="17" a="1"/>
  <c r="S431" i="17" s="1"/>
  <c r="S371" i="17" a="1"/>
  <c r="S371" i="17" s="1"/>
  <c r="S401" i="17" a="1"/>
  <c r="S401" i="17" s="1"/>
  <c r="S461" i="17" a="1"/>
  <c r="S461" i="17" s="1"/>
  <c r="S12" i="17" a="1"/>
  <c r="S12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222" i="17" a="1"/>
  <c r="S222" i="17" s="1"/>
  <c r="S312" i="17" a="1"/>
  <c r="S312" i="17" s="1"/>
  <c r="S252" i="17" a="1"/>
  <c r="S252" i="17" s="1"/>
  <c r="S282" i="17" a="1"/>
  <c r="S282" i="17" s="1"/>
  <c r="S342" i="17" a="1"/>
  <c r="S342" i="17" s="1"/>
  <c r="S432" i="17" a="1"/>
  <c r="S432" i="17" s="1"/>
  <c r="S372" i="17" a="1"/>
  <c r="S372" i="17" s="1"/>
  <c r="S402" i="17" a="1"/>
  <c r="S402" i="17" s="1"/>
  <c r="S462" i="17" a="1"/>
  <c r="S462" i="17" s="1"/>
  <c r="S13" i="17" a="1"/>
  <c r="S13" i="17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223" i="17" a="1"/>
  <c r="S223" i="17" s="1"/>
  <c r="S313" i="17" a="1"/>
  <c r="S313" i="17" s="1"/>
  <c r="S253" i="17" a="1"/>
  <c r="S253" i="17" s="1"/>
  <c r="S283" i="17" a="1"/>
  <c r="S283" i="17" s="1"/>
  <c r="S343" i="17" a="1"/>
  <c r="S343" i="17" s="1"/>
  <c r="S433" i="17" a="1"/>
  <c r="S433" i="17" s="1"/>
  <c r="S373" i="17" a="1"/>
  <c r="S373" i="17" s="1"/>
  <c r="S403" i="17" a="1"/>
  <c r="S403" i="17" s="1"/>
  <c r="S463" i="17" a="1"/>
  <c r="S463" i="17" s="1"/>
  <c r="S14" i="17" a="1"/>
  <c r="S14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224" i="17" a="1"/>
  <c r="S224" i="17" s="1"/>
  <c r="S314" i="17" a="1"/>
  <c r="S314" i="17" s="1"/>
  <c r="S254" i="17" a="1"/>
  <c r="S254" i="17" s="1"/>
  <c r="S284" i="17" a="1"/>
  <c r="S284" i="17" s="1"/>
  <c r="S344" i="17" a="1"/>
  <c r="S344" i="17" s="1"/>
  <c r="S434" i="17" a="1"/>
  <c r="S434" i="17" s="1"/>
  <c r="S374" i="17" a="1"/>
  <c r="S374" i="17" s="1"/>
  <c r="S404" i="17" a="1"/>
  <c r="S404" i="17" s="1"/>
  <c r="S464" i="17" a="1"/>
  <c r="S464" i="17" s="1"/>
  <c r="S15" i="17" a="1"/>
  <c r="S15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225" i="17" a="1"/>
  <c r="S225" i="17" s="1"/>
  <c r="S315" i="17" a="1"/>
  <c r="S315" i="17" s="1"/>
  <c r="S255" i="17" a="1"/>
  <c r="S255" i="17" s="1"/>
  <c r="S285" i="17" a="1"/>
  <c r="S285" i="17" s="1"/>
  <c r="S345" i="17" a="1"/>
  <c r="S345" i="17" s="1"/>
  <c r="S435" i="17" a="1"/>
  <c r="S435" i="17" s="1"/>
  <c r="S375" i="17" a="1"/>
  <c r="S375" i="17" s="1"/>
  <c r="S405" i="17" a="1"/>
  <c r="S405" i="17" s="1"/>
  <c r="S465" i="17" a="1"/>
  <c r="S465" i="17" s="1"/>
  <c r="S16" i="17" a="1"/>
  <c r="S16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226" i="17" a="1"/>
  <c r="S226" i="17"/>
  <c r="S316" i="17" a="1"/>
  <c r="S316" i="17" s="1"/>
  <c r="S256" i="17" a="1"/>
  <c r="S256" i="17" s="1"/>
  <c r="S286" i="17" a="1"/>
  <c r="S286" i="17" s="1"/>
  <c r="S346" i="17" a="1"/>
  <c r="S346" i="17" s="1"/>
  <c r="S436" i="17" a="1"/>
  <c r="S436" i="17" s="1"/>
  <c r="S376" i="17" a="1"/>
  <c r="S376" i="17" s="1"/>
  <c r="S406" i="17" a="1"/>
  <c r="S406" i="17" s="1"/>
  <c r="S466" i="17" a="1"/>
  <c r="S466" i="17" s="1"/>
  <c r="S17" i="17" a="1"/>
  <c r="S17" i="17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227" i="17" a="1"/>
  <c r="S227" i="17" s="1"/>
  <c r="S317" i="17" a="1"/>
  <c r="S317" i="17"/>
  <c r="S257" i="17" a="1"/>
  <c r="S257" i="17" s="1"/>
  <c r="S287" i="17" a="1"/>
  <c r="S287" i="17" s="1"/>
  <c r="S347" i="17" a="1"/>
  <c r="S347" i="17" s="1"/>
  <c r="S437" i="17" a="1"/>
  <c r="S437" i="17" s="1"/>
  <c r="S377" i="17" a="1"/>
  <c r="S377" i="17" s="1"/>
  <c r="S407" i="17" a="1"/>
  <c r="S407" i="17" s="1"/>
  <c r="S467" i="17" a="1"/>
  <c r="S467" i="17" s="1"/>
  <c r="S18" i="17" a="1"/>
  <c r="S18" i="17" s="1"/>
  <c r="S128" i="17" a="1"/>
  <c r="S128" i="17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228" i="17" a="1"/>
  <c r="S228" i="17" s="1"/>
  <c r="S318" i="17" a="1"/>
  <c r="S318" i="17" s="1"/>
  <c r="S258" i="17" a="1"/>
  <c r="S258" i="17" s="1"/>
  <c r="S288" i="17" a="1"/>
  <c r="S288" i="17" s="1"/>
  <c r="S348" i="17" a="1"/>
  <c r="S348" i="17" s="1"/>
  <c r="S438" i="17" a="1"/>
  <c r="S438" i="17" s="1"/>
  <c r="S378" i="17" a="1"/>
  <c r="S378" i="17" s="1"/>
  <c r="S408" i="17" a="1"/>
  <c r="S408" i="17" s="1"/>
  <c r="S468" i="17" a="1"/>
  <c r="S468" i="17" s="1"/>
  <c r="S19" i="17" a="1"/>
  <c r="S19" i="17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229" i="17" a="1"/>
  <c r="S229" i="17" s="1"/>
  <c r="S319" i="17" a="1"/>
  <c r="S319" i="17" s="1"/>
  <c r="S259" i="17" a="1"/>
  <c r="S259" i="17" s="1"/>
  <c r="S289" i="17" a="1"/>
  <c r="S289" i="17" s="1"/>
  <c r="S349" i="17" a="1"/>
  <c r="S349" i="17" s="1"/>
  <c r="S439" i="17" a="1"/>
  <c r="S439" i="17" s="1"/>
  <c r="S379" i="17" a="1"/>
  <c r="S379" i="17" s="1"/>
  <c r="S409" i="17" a="1"/>
  <c r="S409" i="17" s="1"/>
  <c r="S469" i="17" a="1"/>
  <c r="S469" i="17" s="1"/>
  <c r="S20" i="17" a="1"/>
  <c r="S20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230" i="17" a="1"/>
  <c r="S230" i="17"/>
  <c r="S320" i="17" a="1"/>
  <c r="S320" i="17" s="1"/>
  <c r="S260" i="17" a="1"/>
  <c r="S260" i="17" s="1"/>
  <c r="S290" i="17" a="1"/>
  <c r="S290" i="17" s="1"/>
  <c r="S350" i="17" a="1"/>
  <c r="S350" i="17" s="1"/>
  <c r="S440" i="17" a="1"/>
  <c r="S440" i="17" s="1"/>
  <c r="S380" i="17" a="1"/>
  <c r="S380" i="17" s="1"/>
  <c r="S410" i="17" a="1"/>
  <c r="S410" i="17" s="1"/>
  <c r="S470" i="17" a="1"/>
  <c r="S470" i="17" s="1"/>
  <c r="S21" i="17" a="1"/>
  <c r="S21" i="17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231" i="17" a="1"/>
  <c r="S231" i="17" s="1"/>
  <c r="S321" i="17" a="1"/>
  <c r="S321" i="17"/>
  <c r="S261" i="17" a="1"/>
  <c r="S261" i="17" s="1"/>
  <c r="S291" i="17" a="1"/>
  <c r="S291" i="17" s="1"/>
  <c r="S351" i="17" a="1"/>
  <c r="S351" i="17" s="1"/>
  <c r="S441" i="17" a="1"/>
  <c r="S441" i="17" s="1"/>
  <c r="S381" i="17" a="1"/>
  <c r="S381" i="17" s="1"/>
  <c r="S411" i="17" a="1"/>
  <c r="S411" i="17" s="1"/>
  <c r="S471" i="17" a="1"/>
  <c r="S471" i="17" s="1"/>
  <c r="S22" i="17" a="1"/>
  <c r="S22" i="17" s="1"/>
  <c r="S152" i="17" a="1"/>
  <c r="S152" i="17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232" i="17" a="1"/>
  <c r="S232" i="17" s="1"/>
  <c r="S322" i="17" a="1"/>
  <c r="S322" i="17" s="1"/>
  <c r="S262" i="17" a="1"/>
  <c r="S262" i="17" s="1"/>
  <c r="S292" i="17" a="1"/>
  <c r="S292" i="17" s="1"/>
  <c r="S352" i="17" a="1"/>
  <c r="S352" i="17" s="1"/>
  <c r="S442" i="17" a="1"/>
  <c r="S442" i="17" s="1"/>
  <c r="S382" i="17" a="1"/>
  <c r="S382" i="17" s="1"/>
  <c r="S412" i="17" a="1"/>
  <c r="S412" i="17" s="1"/>
  <c r="S472" i="17" a="1"/>
  <c r="S472" i="17" s="1"/>
  <c r="S23" i="17" a="1"/>
  <c r="S23" i="17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233" i="17" a="1"/>
  <c r="S233" i="17" s="1"/>
  <c r="S323" i="17" a="1"/>
  <c r="S323" i="17" s="1"/>
  <c r="S263" i="17" a="1"/>
  <c r="S263" i="17" s="1"/>
  <c r="S293" i="17" a="1"/>
  <c r="S293" i="17" s="1"/>
  <c r="S353" i="17" a="1"/>
  <c r="S353" i="17" s="1"/>
  <c r="S443" i="17" a="1"/>
  <c r="S443" i="17" s="1"/>
  <c r="S383" i="17" a="1"/>
  <c r="S383" i="17" s="1"/>
  <c r="S413" i="17" a="1"/>
  <c r="S413" i="17" s="1"/>
  <c r="S473" i="17" a="1"/>
  <c r="S473" i="17" s="1"/>
  <c r="S24" i="17" a="1"/>
  <c r="S24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234" i="17" a="1"/>
  <c r="S234" i="17"/>
  <c r="S324" i="17" a="1"/>
  <c r="S324" i="17" s="1"/>
  <c r="S264" i="17" a="1"/>
  <c r="S264" i="17" s="1"/>
  <c r="S294" i="17" a="1"/>
  <c r="S294" i="17" s="1"/>
  <c r="S354" i="17" a="1"/>
  <c r="S354" i="17" s="1"/>
  <c r="S444" i="17" a="1"/>
  <c r="S444" i="17" s="1"/>
  <c r="S384" i="17" a="1"/>
  <c r="S384" i="17" s="1"/>
  <c r="S414" i="17" a="1"/>
  <c r="S414" i="17" s="1"/>
  <c r="S474" i="17" a="1"/>
  <c r="S474" i="17" s="1"/>
  <c r="S25" i="17" a="1"/>
  <c r="S25" i="17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235" i="17" a="1"/>
  <c r="S235" i="17" s="1"/>
  <c r="S325" i="17" a="1"/>
  <c r="S325" i="17"/>
  <c r="S265" i="17" a="1"/>
  <c r="S265" i="17" s="1"/>
  <c r="S295" i="17" a="1"/>
  <c r="S295" i="17" s="1"/>
  <c r="S355" i="17" a="1"/>
  <c r="S355" i="17" s="1"/>
  <c r="S445" i="17" a="1"/>
  <c r="S445" i="17" s="1"/>
  <c r="S385" i="17" a="1"/>
  <c r="S385" i="17" s="1"/>
  <c r="S415" i="17" a="1"/>
  <c r="S415" i="17" s="1"/>
  <c r="S475" i="17" a="1"/>
  <c r="S475" i="17" s="1"/>
  <c r="S26" i="17" a="1"/>
  <c r="S26" i="17" s="1"/>
  <c r="S176" i="17" a="1"/>
  <c r="S176" i="17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236" i="17" a="1"/>
  <c r="S236" i="17" s="1"/>
  <c r="S326" i="17" a="1"/>
  <c r="S326" i="17" s="1"/>
  <c r="S266" i="17" a="1"/>
  <c r="S266" i="17" s="1"/>
  <c r="S296" i="17" a="1"/>
  <c r="S296" i="17" s="1"/>
  <c r="S356" i="17" a="1"/>
  <c r="S356" i="17" s="1"/>
  <c r="S446" i="17" a="1"/>
  <c r="S446" i="17" s="1"/>
  <c r="S386" i="17" a="1"/>
  <c r="S386" i="17" s="1"/>
  <c r="S416" i="17" a="1"/>
  <c r="S416" i="17" s="1"/>
  <c r="S476" i="17" a="1"/>
  <c r="S476" i="17" s="1"/>
  <c r="S27" i="17" a="1"/>
  <c r="S27" i="17"/>
  <c r="S182" i="17" a="1"/>
  <c r="S182" i="17" s="1"/>
  <c r="S183" i="17" a="1"/>
  <c r="S183" i="17" s="1"/>
  <c r="S184" i="17" a="1"/>
  <c r="S184" i="17" s="1"/>
  <c r="S185" i="17" a="1"/>
  <c r="S185" i="17" s="1"/>
  <c r="S186" i="17" a="1"/>
  <c r="S186" i="17" s="1"/>
  <c r="S187" i="17" a="1"/>
  <c r="S187" i="17" s="1"/>
  <c r="S237" i="17" a="1"/>
  <c r="S237" i="17" s="1"/>
  <c r="S327" i="17" a="1"/>
  <c r="S327" i="17" s="1"/>
  <c r="S267" i="17" a="1"/>
  <c r="S267" i="17" s="1"/>
  <c r="S297" i="17" a="1"/>
  <c r="S297" i="17" s="1"/>
  <c r="S357" i="17" a="1"/>
  <c r="S357" i="17" s="1"/>
  <c r="S447" i="17" a="1"/>
  <c r="S447" i="17" s="1"/>
  <c r="S387" i="17" a="1"/>
  <c r="S387" i="17" s="1"/>
  <c r="S417" i="17" a="1"/>
  <c r="S417" i="17" s="1"/>
  <c r="S477" i="17" a="1"/>
  <c r="S477" i="17" s="1"/>
  <c r="S28" i="17" a="1"/>
  <c r="S28" i="17" s="1"/>
  <c r="S188" i="17" a="1"/>
  <c r="S188" i="17" s="1"/>
  <c r="S189" i="17" a="1"/>
  <c r="S189" i="17" s="1"/>
  <c r="S190" i="17" a="1"/>
  <c r="S190" i="17" s="1"/>
  <c r="S191" i="17" a="1"/>
  <c r="S191" i="17" s="1"/>
  <c r="S192" i="17" a="1"/>
  <c r="S192" i="17" s="1"/>
  <c r="S193" i="17" a="1"/>
  <c r="S193" i="17" s="1"/>
  <c r="S238" i="17" a="1"/>
  <c r="S238" i="17"/>
  <c r="S328" i="17" a="1"/>
  <c r="S328" i="17" s="1"/>
  <c r="S268" i="17" a="1"/>
  <c r="S268" i="17" s="1"/>
  <c r="S298" i="17" a="1"/>
  <c r="S298" i="17" s="1"/>
  <c r="S358" i="17" a="1"/>
  <c r="S358" i="17" s="1"/>
  <c r="S448" i="17" a="1"/>
  <c r="S448" i="17" s="1"/>
  <c r="S388" i="17" a="1"/>
  <c r="S388" i="17" s="1"/>
  <c r="S418" i="17" a="1"/>
  <c r="S418" i="17" s="1"/>
  <c r="S478" i="17" a="1"/>
  <c r="S478" i="17" s="1"/>
  <c r="S29" i="17" a="1"/>
  <c r="S29" i="17"/>
  <c r="S194" i="17" a="1"/>
  <c r="S194" i="17" s="1"/>
  <c r="S195" i="17" a="1"/>
  <c r="S195" i="17" s="1"/>
  <c r="S196" i="17" a="1"/>
  <c r="S196" i="17" s="1"/>
  <c r="S197" i="17" a="1"/>
  <c r="S197" i="17" s="1"/>
  <c r="S198" i="17" a="1"/>
  <c r="S198" i="17" s="1"/>
  <c r="S199" i="17" a="1"/>
  <c r="S199" i="17" s="1"/>
  <c r="S239" i="17" a="1"/>
  <c r="S239" i="17" s="1"/>
  <c r="S329" i="17" a="1"/>
  <c r="S329" i="17"/>
  <c r="S269" i="17" a="1"/>
  <c r="S269" i="17" s="1"/>
  <c r="S299" i="17" a="1"/>
  <c r="S299" i="17" s="1"/>
  <c r="S359" i="17" a="1"/>
  <c r="S359" i="17" s="1"/>
  <c r="S449" i="17" a="1"/>
  <c r="S449" i="17" s="1"/>
  <c r="S389" i="17" a="1"/>
  <c r="S389" i="17" s="1"/>
  <c r="S419" i="17" a="1"/>
  <c r="S419" i="17" s="1"/>
  <c r="S479" i="17" a="1"/>
  <c r="S479" i="17" s="1"/>
  <c r="S30" i="17" a="1"/>
  <c r="S30" i="17" s="1"/>
  <c r="S200" i="17" a="1"/>
  <c r="S200" i="17"/>
  <c r="S201" i="17" a="1"/>
  <c r="S201" i="17" s="1"/>
  <c r="S202" i="17" a="1"/>
  <c r="S202" i="17" s="1"/>
  <c r="S203" i="17" a="1"/>
  <c r="S203" i="17" s="1"/>
  <c r="S204" i="17" a="1"/>
  <c r="S204" i="17" s="1"/>
  <c r="S205" i="17" a="1"/>
  <c r="S205" i="17" s="1"/>
  <c r="S240" i="17" a="1"/>
  <c r="S240" i="17" s="1"/>
  <c r="S330" i="17" a="1"/>
  <c r="S330" i="17" s="1"/>
  <c r="S270" i="17" a="1"/>
  <c r="S270" i="17" s="1"/>
  <c r="S300" i="17" a="1"/>
  <c r="S300" i="17" s="1"/>
  <c r="S360" i="17" a="1"/>
  <c r="S360" i="17" s="1"/>
  <c r="S450" i="17" a="1"/>
  <c r="S450" i="17" s="1"/>
  <c r="S390" i="17" a="1"/>
  <c r="S390" i="17" s="1"/>
  <c r="S420" i="17" a="1"/>
  <c r="S420" i="17" s="1"/>
  <c r="S480" i="17" a="1"/>
  <c r="S480" i="17" s="1"/>
  <c r="S31" i="17" a="1"/>
  <c r="S31" i="17"/>
  <c r="S206" i="17" a="1"/>
  <c r="S206" i="17" s="1"/>
  <c r="S207" i="17" a="1"/>
  <c r="S207" i="17" s="1"/>
  <c r="S208" i="17" a="1"/>
  <c r="S208" i="17" s="1"/>
  <c r="S209" i="17" a="1"/>
  <c r="S209" i="17" s="1"/>
  <c r="S210" i="17" a="1"/>
  <c r="S210" i="17" s="1"/>
  <c r="S211" i="17" a="1"/>
  <c r="S211" i="17" s="1"/>
  <c r="S241" i="17" a="1"/>
  <c r="S241" i="17" s="1"/>
  <c r="S331" i="17" a="1"/>
  <c r="S331" i="17" s="1"/>
  <c r="S271" i="17" a="1"/>
  <c r="S271" i="17" s="1"/>
  <c r="S301" i="17" a="1"/>
  <c r="S301" i="17" s="1"/>
  <c r="S361" i="17" a="1"/>
  <c r="S361" i="17" s="1"/>
  <c r="S451" i="17" a="1"/>
  <c r="S451" i="17" s="1"/>
  <c r="S391" i="17" a="1"/>
  <c r="S391" i="17" s="1"/>
  <c r="S421" i="17" a="1"/>
  <c r="S421" i="17" s="1"/>
  <c r="S481" i="17" a="1"/>
  <c r="S481" i="17" s="1"/>
  <c r="T2" i="17" a="1"/>
  <c r="T2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212" i="17" a="1"/>
  <c r="T212" i="17"/>
  <c r="T302" i="17" a="1"/>
  <c r="T302" i="17" s="1"/>
  <c r="T242" i="17" a="1"/>
  <c r="T242" i="17" s="1"/>
  <c r="T272" i="17" a="1"/>
  <c r="T272" i="17" s="1"/>
  <c r="T332" i="17" a="1"/>
  <c r="T332" i="17" s="1"/>
  <c r="T422" i="17" a="1"/>
  <c r="T422" i="17" s="1"/>
  <c r="T362" i="17" a="1"/>
  <c r="T362" i="17" s="1"/>
  <c r="T392" i="17" a="1"/>
  <c r="T392" i="17" s="1"/>
  <c r="T452" i="17" a="1"/>
  <c r="T452" i="17" s="1"/>
  <c r="T3" i="17" a="1"/>
  <c r="T3" i="17"/>
  <c r="T38" i="17" a="1"/>
  <c r="T38" i="17" s="1"/>
  <c r="T39" i="17" a="1"/>
  <c r="T39" i="17" s="1"/>
  <c r="T40" i="17" a="1"/>
  <c r="T40" i="17" s="1"/>
  <c r="T41" i="17" a="1"/>
  <c r="T41" i="17" s="1"/>
  <c r="T42" i="17" a="1"/>
  <c r="T42" i="17" s="1"/>
  <c r="T43" i="17" a="1"/>
  <c r="T43" i="17" s="1"/>
  <c r="T213" i="17" a="1"/>
  <c r="T213" i="17" s="1"/>
  <c r="T303" i="17" a="1"/>
  <c r="T303" i="17"/>
  <c r="T243" i="17" a="1"/>
  <c r="T243" i="17" s="1"/>
  <c r="T273" i="17" a="1"/>
  <c r="T273" i="17" s="1"/>
  <c r="T333" i="17" a="1"/>
  <c r="T333" i="17" s="1"/>
  <c r="T423" i="17" a="1"/>
  <c r="T423" i="17" s="1"/>
  <c r="T363" i="17" a="1"/>
  <c r="T363" i="17" s="1"/>
  <c r="T393" i="17" a="1"/>
  <c r="T393" i="17" s="1"/>
  <c r="T453" i="17" a="1"/>
  <c r="T453" i="17" s="1"/>
  <c r="T4" i="17" a="1"/>
  <c r="T4" i="17" s="1"/>
  <c r="T44" i="17" a="1"/>
  <c r="T44" i="17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214" i="17" a="1"/>
  <c r="T214" i="17" s="1"/>
  <c r="T304" i="17" a="1"/>
  <c r="T304" i="17" s="1"/>
  <c r="T244" i="17" a="1"/>
  <c r="T244" i="17" s="1"/>
  <c r="T274" i="17" a="1"/>
  <c r="T274" i="17" s="1"/>
  <c r="T334" i="17" a="1"/>
  <c r="T334" i="17" s="1"/>
  <c r="T424" i="17" a="1"/>
  <c r="T424" i="17" s="1"/>
  <c r="T364" i="17" a="1"/>
  <c r="T364" i="17" s="1"/>
  <c r="T394" i="17" a="1"/>
  <c r="T394" i="17" s="1"/>
  <c r="T454" i="17" a="1"/>
  <c r="T454" i="17" s="1"/>
  <c r="T5" i="17" a="1"/>
  <c r="T5" i="17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215" i="17" a="1"/>
  <c r="T215" i="17" s="1"/>
  <c r="T305" i="17" a="1"/>
  <c r="T305" i="17" s="1"/>
  <c r="T245" i="17" a="1"/>
  <c r="T245" i="17" s="1"/>
  <c r="T275" i="17" a="1"/>
  <c r="T275" i="17" s="1"/>
  <c r="T335" i="17" a="1"/>
  <c r="T335" i="17" s="1"/>
  <c r="T425" i="17" a="1"/>
  <c r="T425" i="17" s="1"/>
  <c r="T365" i="17" a="1"/>
  <c r="T365" i="17" s="1"/>
  <c r="T395" i="17" a="1"/>
  <c r="T395" i="17" s="1"/>
  <c r="T455" i="17" a="1"/>
  <c r="T455" i="17" s="1"/>
  <c r="T6" i="17" a="1"/>
  <c r="T6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216" i="17" a="1"/>
  <c r="T216" i="17" s="1"/>
  <c r="T306" i="17" a="1"/>
  <c r="T306" i="17" s="1"/>
  <c r="T246" i="17" a="1"/>
  <c r="T246" i="17" s="1"/>
  <c r="T276" i="17" a="1"/>
  <c r="T276" i="17" s="1"/>
  <c r="T336" i="17" a="1"/>
  <c r="T336" i="17" s="1"/>
  <c r="T426" i="17" a="1"/>
  <c r="T426" i="17" s="1"/>
  <c r="T366" i="17" a="1"/>
  <c r="T366" i="17" s="1"/>
  <c r="T396" i="17" a="1"/>
  <c r="T396" i="17" s="1"/>
  <c r="T456" i="17" a="1"/>
  <c r="T456" i="17" s="1"/>
  <c r="T7" i="17" a="1"/>
  <c r="T7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 s="1"/>
  <c r="T217" i="17" a="1"/>
  <c r="T217" i="17" s="1"/>
  <c r="T307" i="17" a="1"/>
  <c r="T307" i="17" s="1"/>
  <c r="T247" i="17" a="1"/>
  <c r="T247" i="17" s="1"/>
  <c r="T277" i="17" a="1"/>
  <c r="T277" i="17" s="1"/>
  <c r="T337" i="17" a="1"/>
  <c r="T337" i="17" s="1"/>
  <c r="T427" i="17" a="1"/>
  <c r="T427" i="17" s="1"/>
  <c r="T367" i="17" a="1"/>
  <c r="T367" i="17" s="1"/>
  <c r="T397" i="17" a="1"/>
  <c r="T397" i="17" s="1"/>
  <c r="T457" i="17" a="1"/>
  <c r="T457" i="17" s="1"/>
  <c r="T8" i="17" a="1"/>
  <c r="T8" i="17" s="1"/>
  <c r="T68" i="17" a="1"/>
  <c r="T68" i="17" s="1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218" i="17" a="1"/>
  <c r="T218" i="17"/>
  <c r="T308" i="17" a="1"/>
  <c r="T308" i="17" s="1"/>
  <c r="T248" i="17" a="1"/>
  <c r="T248" i="17" s="1"/>
  <c r="T278" i="17" a="1"/>
  <c r="T278" i="17" s="1"/>
  <c r="T338" i="17" a="1"/>
  <c r="T338" i="17" s="1"/>
  <c r="T428" i="17" a="1"/>
  <c r="T428" i="17" s="1"/>
  <c r="T368" i="17" a="1"/>
  <c r="T368" i="17" s="1"/>
  <c r="T398" i="17" a="1"/>
  <c r="T398" i="17" s="1"/>
  <c r="T458" i="17" a="1"/>
  <c r="T458" i="17" s="1"/>
  <c r="T9" i="17" a="1"/>
  <c r="T9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219" i="17" a="1"/>
  <c r="T219" i="17" s="1"/>
  <c r="T309" i="17" a="1"/>
  <c r="T309" i="17" s="1"/>
  <c r="T249" i="17" a="1"/>
  <c r="T249" i="17" s="1"/>
  <c r="T279" i="17" a="1"/>
  <c r="T279" i="17"/>
  <c r="T339" i="17" a="1"/>
  <c r="T339" i="17" s="1"/>
  <c r="T429" i="17" a="1"/>
  <c r="T429" i="17" s="1"/>
  <c r="T369" i="17" a="1"/>
  <c r="T369" i="17" s="1"/>
  <c r="T399" i="17" a="1"/>
  <c r="T399" i="17"/>
  <c r="T459" i="17" a="1"/>
  <c r="T459" i="17" s="1"/>
  <c r="T10" i="17" a="1"/>
  <c r="T10" i="17" s="1"/>
  <c r="T80" i="17" a="1"/>
  <c r="T80" i="17" s="1"/>
  <c r="T81" i="17" a="1"/>
  <c r="T81" i="17" s="1"/>
  <c r="T82" i="17" a="1"/>
  <c r="T82" i="17"/>
  <c r="T83" i="17" a="1"/>
  <c r="T83" i="17" s="1"/>
  <c r="T84" i="17" a="1"/>
  <c r="T84" i="17" s="1"/>
  <c r="T85" i="17" a="1"/>
  <c r="T85" i="17" s="1"/>
  <c r="T220" i="17" a="1"/>
  <c r="T220" i="17" s="1"/>
  <c r="T310" i="17" a="1"/>
  <c r="T310" i="17" s="1"/>
  <c r="T250" i="17" a="1"/>
  <c r="T250" i="17" s="1"/>
  <c r="T280" i="17" a="1"/>
  <c r="T280" i="17"/>
  <c r="T340" i="17" a="1"/>
  <c r="T340" i="17" s="1"/>
  <c r="T430" i="17" a="1"/>
  <c r="T430" i="17" s="1"/>
  <c r="T370" i="17" a="1"/>
  <c r="T370" i="17" s="1"/>
  <c r="T400" i="17" a="1"/>
  <c r="T400" i="17" s="1"/>
  <c r="T460" i="17" a="1"/>
  <c r="T460" i="17" s="1"/>
  <c r="T11" i="17" a="1"/>
  <c r="T11" i="17" s="1"/>
  <c r="T86" i="17" a="1"/>
  <c r="T86" i="17"/>
  <c r="T87" i="17" a="1"/>
  <c r="T87" i="17" s="1"/>
  <c r="T88" i="17" a="1"/>
  <c r="T88" i="17"/>
  <c r="T89" i="17" a="1"/>
  <c r="T89" i="17" s="1"/>
  <c r="T90" i="17" a="1"/>
  <c r="T90" i="17" s="1"/>
  <c r="T91" i="17" a="1"/>
  <c r="T91" i="17" s="1"/>
  <c r="T221" i="17" a="1"/>
  <c r="T221" i="17" s="1"/>
  <c r="T311" i="17" a="1"/>
  <c r="T311" i="17" s="1"/>
  <c r="T251" i="17" a="1"/>
  <c r="T251" i="17" s="1"/>
  <c r="T281" i="17" a="1"/>
  <c r="T281" i="17"/>
  <c r="T341" i="17" a="1"/>
  <c r="T341" i="17" s="1"/>
  <c r="T431" i="17" a="1"/>
  <c r="T431" i="17" s="1"/>
  <c r="T371" i="17" a="1"/>
  <c r="T371" i="17" s="1"/>
  <c r="T401" i="17" a="1"/>
  <c r="T401" i="17" s="1"/>
  <c r="T461" i="17" a="1"/>
  <c r="T461" i="17" s="1"/>
  <c r="T12" i="17" a="1"/>
  <c r="T12" i="17" s="1"/>
  <c r="T92" i="17" a="1"/>
  <c r="T92" i="17" s="1"/>
  <c r="T93" i="17" a="1"/>
  <c r="T93" i="17" s="1"/>
  <c r="T94" i="17" a="1"/>
  <c r="T94" i="17"/>
  <c r="T95" i="17" a="1"/>
  <c r="T95" i="17" s="1"/>
  <c r="T96" i="17" a="1"/>
  <c r="T96" i="17" s="1"/>
  <c r="T97" i="17" a="1"/>
  <c r="T97" i="17" s="1"/>
  <c r="T222" i="17" a="1"/>
  <c r="T222" i="17" s="1"/>
  <c r="T312" i="17" a="1"/>
  <c r="T312" i="17" s="1"/>
  <c r="T252" i="17" a="1"/>
  <c r="T252" i="17" s="1"/>
  <c r="T282" i="17" a="1"/>
  <c r="T282" i="17" s="1"/>
  <c r="T342" i="17" a="1"/>
  <c r="T342" i="17" s="1"/>
  <c r="T432" i="17" a="1"/>
  <c r="T432" i="17" s="1"/>
  <c r="T372" i="17" a="1"/>
  <c r="T372" i="17" s="1"/>
  <c r="T402" i="17" a="1"/>
  <c r="T402" i="17" s="1"/>
  <c r="T462" i="17" a="1"/>
  <c r="T462" i="17" s="1"/>
  <c r="T13" i="17" a="1"/>
  <c r="T13" i="17" s="1"/>
  <c r="T98" i="17" a="1"/>
  <c r="T98" i="17" s="1"/>
  <c r="T99" i="17" a="1"/>
  <c r="T99" i="17" s="1"/>
  <c r="T100" i="17" a="1"/>
  <c r="T100" i="17" s="1"/>
  <c r="T101" i="17" a="1"/>
  <c r="T101" i="17" s="1"/>
  <c r="T102" i="17" a="1"/>
  <c r="T102" i="17" s="1"/>
  <c r="T103" i="17" a="1"/>
  <c r="T103" i="17" s="1"/>
  <c r="T223" i="17" a="1"/>
  <c r="T223" i="17" s="1"/>
  <c r="T313" i="17" a="1"/>
  <c r="T313" i="17" s="1"/>
  <c r="T253" i="17" a="1"/>
  <c r="T253" i="17" s="1"/>
  <c r="T283" i="17" a="1"/>
  <c r="T283" i="17" s="1"/>
  <c r="T343" i="17" a="1"/>
  <c r="T343" i="17" s="1"/>
  <c r="T433" i="17" a="1"/>
  <c r="T433" i="17" s="1"/>
  <c r="T373" i="17" a="1"/>
  <c r="T373" i="17" s="1"/>
  <c r="T403" i="17" a="1"/>
  <c r="T403" i="17" s="1"/>
  <c r="T463" i="17" a="1"/>
  <c r="T463" i="17" s="1"/>
  <c r="T14" i="17" a="1"/>
  <c r="T14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224" i="17" a="1"/>
  <c r="T224" i="17" s="1"/>
  <c r="T314" i="17" a="1"/>
  <c r="T314" i="17" s="1"/>
  <c r="T254" i="17" a="1"/>
  <c r="T254" i="17" s="1"/>
  <c r="T284" i="17" a="1"/>
  <c r="T284" i="17" s="1"/>
  <c r="T344" i="17" a="1"/>
  <c r="T344" i="17" s="1"/>
  <c r="T434" i="17" a="1"/>
  <c r="T434" i="17" s="1"/>
  <c r="T374" i="17" a="1"/>
  <c r="T374" i="17" s="1"/>
  <c r="T404" i="17" a="1"/>
  <c r="T404" i="17" s="1"/>
  <c r="T464" i="17" a="1"/>
  <c r="T464" i="17" s="1"/>
  <c r="T15" i="17" a="1"/>
  <c r="T15" i="17" s="1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/>
  <c r="T115" i="17" a="1"/>
  <c r="T115" i="17" s="1"/>
  <c r="T225" i="17" a="1"/>
  <c r="T225" i="17" s="1"/>
  <c r="T315" i="17" a="1"/>
  <c r="T315" i="17" s="1"/>
  <c r="T255" i="17" a="1"/>
  <c r="T255" i="17" s="1"/>
  <c r="T285" i="17" a="1"/>
  <c r="T285" i="17" s="1"/>
  <c r="T345" i="17" a="1"/>
  <c r="T345" i="17" s="1"/>
  <c r="T435" i="17" a="1"/>
  <c r="T435" i="17" s="1"/>
  <c r="T375" i="17" a="1"/>
  <c r="T375" i="17" s="1"/>
  <c r="T405" i="17" a="1"/>
  <c r="T405" i="17" s="1"/>
  <c r="T465" i="17" a="1"/>
  <c r="T465" i="17" s="1"/>
  <c r="T16" i="17" a="1"/>
  <c r="T16" i="17" s="1"/>
  <c r="T116" i="17" a="1"/>
  <c r="T116" i="17"/>
  <c r="T117" i="17" a="1"/>
  <c r="T117" i="17" s="1"/>
  <c r="T118" i="17" a="1"/>
  <c r="T118" i="17" s="1"/>
  <c r="T119" i="17" a="1"/>
  <c r="T119" i="17" s="1"/>
  <c r="T120" i="17" a="1"/>
  <c r="T120" i="17" s="1"/>
  <c r="T121" i="17" a="1"/>
  <c r="T121" i="17" s="1"/>
  <c r="T226" i="17" a="1"/>
  <c r="T226" i="17"/>
  <c r="T316" i="17" a="1"/>
  <c r="T316" i="17" s="1"/>
  <c r="T256" i="17" a="1"/>
  <c r="T256" i="17" s="1"/>
  <c r="T286" i="17" a="1"/>
  <c r="T286" i="17"/>
  <c r="T346" i="17" a="1"/>
  <c r="T346" i="17" s="1"/>
  <c r="T436" i="17" a="1"/>
  <c r="T436" i="17" s="1"/>
  <c r="T376" i="17" a="1"/>
  <c r="T376" i="17" s="1"/>
  <c r="T406" i="17" a="1"/>
  <c r="T406" i="17" s="1"/>
  <c r="T466" i="17" a="1"/>
  <c r="T466" i="17" s="1"/>
  <c r="T17" i="17" a="1"/>
  <c r="T17" i="17" s="1"/>
  <c r="T122" i="17" a="1"/>
  <c r="T122" i="17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227" i="17" a="1"/>
  <c r="T227" i="17" s="1"/>
  <c r="T317" i="17" a="1"/>
  <c r="T317" i="17" s="1"/>
  <c r="T257" i="17" a="1"/>
  <c r="T257" i="17" s="1"/>
  <c r="T287" i="17" a="1"/>
  <c r="T287" i="17"/>
  <c r="T347" i="17" a="1"/>
  <c r="T347" i="17" s="1"/>
  <c r="T437" i="17" a="1"/>
  <c r="T437" i="17" s="1"/>
  <c r="T377" i="17" a="1"/>
  <c r="T377" i="17" s="1"/>
  <c r="T407" i="17" a="1"/>
  <c r="T407" i="17"/>
  <c r="T467" i="17" a="1"/>
  <c r="T467" i="17" s="1"/>
  <c r="T18" i="17" a="1"/>
  <c r="T18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228" i="17" a="1"/>
  <c r="T228" i="17" s="1"/>
  <c r="T318" i="17" a="1"/>
  <c r="T318" i="17" s="1"/>
  <c r="T258" i="17" a="1"/>
  <c r="T258" i="17" s="1"/>
  <c r="T288" i="17" a="1"/>
  <c r="T288" i="17"/>
  <c r="T348" i="17" a="1"/>
  <c r="T348" i="17" s="1"/>
  <c r="T438" i="17" a="1"/>
  <c r="T438" i="17" s="1"/>
  <c r="T378" i="17" a="1"/>
  <c r="T378" i="17" s="1"/>
  <c r="T408" i="17" a="1"/>
  <c r="T408" i="17" s="1"/>
  <c r="T468" i="17" a="1"/>
  <c r="T468" i="17" s="1"/>
  <c r="T19" i="17" a="1"/>
  <c r="T19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229" i="17" a="1"/>
  <c r="T229" i="17" s="1"/>
  <c r="T319" i="17" a="1"/>
  <c r="T319" i="17" s="1"/>
  <c r="T259" i="17" a="1"/>
  <c r="T259" i="17" s="1"/>
  <c r="T289" i="17" a="1"/>
  <c r="T289" i="17" s="1"/>
  <c r="T349" i="17" a="1"/>
  <c r="T349" i="17" s="1"/>
  <c r="T439" i="17" a="1"/>
  <c r="T439" i="17" s="1"/>
  <c r="T379" i="17" a="1"/>
  <c r="T379" i="17" s="1"/>
  <c r="T409" i="17" a="1"/>
  <c r="T409" i="17" s="1"/>
  <c r="T469" i="17" a="1"/>
  <c r="T469" i="17" s="1"/>
  <c r="T20" i="17" a="1"/>
  <c r="T20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230" i="17" a="1"/>
  <c r="T230" i="17" s="1"/>
  <c r="T320" i="17" a="1"/>
  <c r="T320" i="17" s="1"/>
  <c r="T260" i="17" a="1"/>
  <c r="T260" i="17" s="1"/>
  <c r="T290" i="17" a="1"/>
  <c r="T290" i="17" s="1"/>
  <c r="T350" i="17" a="1"/>
  <c r="T350" i="17" s="1"/>
  <c r="T440" i="17" a="1"/>
  <c r="T440" i="17" s="1"/>
  <c r="T380" i="17" a="1"/>
  <c r="T380" i="17" s="1"/>
  <c r="T410" i="17" a="1"/>
  <c r="T410" i="17"/>
  <c r="T470" i="17" a="1"/>
  <c r="T470" i="17" s="1"/>
  <c r="T21" i="17" a="1"/>
  <c r="T21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/>
  <c r="T151" i="17" a="1"/>
  <c r="T151" i="17" s="1"/>
  <c r="T231" i="17" a="1"/>
  <c r="T231" i="17" s="1"/>
  <c r="T321" i="17" a="1"/>
  <c r="T321" i="17" s="1"/>
  <c r="T261" i="17" a="1"/>
  <c r="T261" i="17" s="1"/>
  <c r="T291" i="17" a="1"/>
  <c r="T291" i="17" s="1"/>
  <c r="T351" i="17" a="1"/>
  <c r="T351" i="17" s="1"/>
  <c r="T441" i="17" a="1"/>
  <c r="T441" i="17"/>
  <c r="T381" i="17" a="1"/>
  <c r="T381" i="17" s="1"/>
  <c r="T411" i="17" a="1"/>
  <c r="T411" i="17"/>
  <c r="T471" i="17" a="1"/>
  <c r="T471" i="17" s="1"/>
  <c r="T22" i="17" a="1"/>
  <c r="T22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/>
  <c r="T157" i="17" a="1"/>
  <c r="T157" i="17" s="1"/>
  <c r="T232" i="17" a="1"/>
  <c r="T232" i="17" s="1"/>
  <c r="T322" i="17" a="1"/>
  <c r="T322" i="17" s="1"/>
  <c r="T262" i="17" a="1"/>
  <c r="T262" i="17" s="1"/>
  <c r="T292" i="17" a="1"/>
  <c r="T292" i="17" s="1"/>
  <c r="T352" i="17" a="1"/>
  <c r="T352" i="17" s="1"/>
  <c r="T442" i="17" a="1"/>
  <c r="T442" i="17"/>
  <c r="T382" i="17" a="1"/>
  <c r="T382" i="17" s="1"/>
  <c r="T412" i="17" a="1"/>
  <c r="T412" i="17" s="1"/>
  <c r="T472" i="17" a="1"/>
  <c r="T472" i="17" s="1"/>
  <c r="T23" i="17" a="1"/>
  <c r="T23" i="17" s="1"/>
  <c r="T158" i="17" a="1"/>
  <c r="T158" i="17" s="1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233" i="17" a="1"/>
  <c r="T233" i="17" s="1"/>
  <c r="T323" i="17" a="1"/>
  <c r="T323" i="17" s="1"/>
  <c r="T263" i="17" a="1"/>
  <c r="T263" i="17" s="1"/>
  <c r="T293" i="17" a="1"/>
  <c r="T293" i="17" s="1"/>
  <c r="T353" i="17" a="1"/>
  <c r="T353" i="17" s="1"/>
  <c r="T443" i="17" a="1"/>
  <c r="T443" i="17" s="1"/>
  <c r="T383" i="17" a="1"/>
  <c r="T383" i="17" s="1"/>
  <c r="T413" i="17" a="1"/>
  <c r="T413" i="17" s="1"/>
  <c r="T473" i="17" a="1"/>
  <c r="T473" i="17" s="1"/>
  <c r="T24" i="17" a="1"/>
  <c r="T24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 s="1"/>
  <c r="T234" i="17" a="1"/>
  <c r="T234" i="17" s="1"/>
  <c r="T324" i="17" a="1"/>
  <c r="T324" i="17" s="1"/>
  <c r="T264" i="17" a="1"/>
  <c r="T264" i="17" s="1"/>
  <c r="T294" i="17" a="1"/>
  <c r="T294" i="17" s="1"/>
  <c r="T354" i="17" a="1"/>
  <c r="T354" i="17" s="1"/>
  <c r="T444" i="17" a="1"/>
  <c r="T444" i="17" s="1"/>
  <c r="T384" i="17" a="1"/>
  <c r="T384" i="17" s="1"/>
  <c r="T414" i="17" a="1"/>
  <c r="T414" i="17"/>
  <c r="T474" i="17" a="1"/>
  <c r="T474" i="17" s="1"/>
  <c r="T25" i="17" a="1"/>
  <c r="T25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/>
  <c r="T175" i="17" a="1"/>
  <c r="T175" i="17" s="1"/>
  <c r="T235" i="17" a="1"/>
  <c r="T235" i="17" s="1"/>
  <c r="T325" i="17" a="1"/>
  <c r="T325" i="17" s="1"/>
  <c r="T265" i="17" a="1"/>
  <c r="T265" i="17" s="1"/>
  <c r="T295" i="17" a="1"/>
  <c r="T295" i="17" s="1"/>
  <c r="T355" i="17" a="1"/>
  <c r="T355" i="17" s="1"/>
  <c r="T445" i="17" a="1"/>
  <c r="T445" i="17"/>
  <c r="T385" i="17" a="1"/>
  <c r="T385" i="17" s="1"/>
  <c r="T415" i="17" a="1"/>
  <c r="T415" i="17" s="1"/>
  <c r="T475" i="17" a="1"/>
  <c r="T475" i="17" s="1"/>
  <c r="T26" i="17" a="1"/>
  <c r="T26" i="17" s="1"/>
  <c r="T176" i="17" a="1"/>
  <c r="T176" i="17" s="1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236" i="17" a="1"/>
  <c r="T236" i="17" s="1"/>
  <c r="T326" i="17" a="1"/>
  <c r="T326" i="17" s="1"/>
  <c r="T266" i="17" a="1"/>
  <c r="T266" i="17" s="1"/>
  <c r="T296" i="17" a="1"/>
  <c r="T296" i="17" s="1"/>
  <c r="T356" i="17" a="1"/>
  <c r="T356" i="17" s="1"/>
  <c r="T446" i="17" a="1"/>
  <c r="T446" i="17" s="1"/>
  <c r="T386" i="17" a="1"/>
  <c r="T386" i="17" s="1"/>
  <c r="T416" i="17" a="1"/>
  <c r="T416" i="17" s="1"/>
  <c r="T476" i="17" a="1"/>
  <c r="T476" i="17" s="1"/>
  <c r="T27" i="17" a="1"/>
  <c r="T27" i="17" s="1"/>
  <c r="T182" i="17" a="1"/>
  <c r="T182" i="17" s="1"/>
  <c r="T183" i="17" a="1"/>
  <c r="T183" i="17" s="1"/>
  <c r="T184" i="17" a="1"/>
  <c r="T184" i="17" s="1"/>
  <c r="T185" i="17" a="1"/>
  <c r="T185" i="17" s="1"/>
  <c r="T186" i="17" a="1"/>
  <c r="T186" i="17" s="1"/>
  <c r="T187" i="17" a="1"/>
  <c r="T187" i="17" s="1"/>
  <c r="T237" i="17" a="1"/>
  <c r="T237" i="17" s="1"/>
  <c r="T327" i="17" a="1"/>
  <c r="T327" i="17" s="1"/>
  <c r="T267" i="17" a="1"/>
  <c r="T267" i="17" s="1"/>
  <c r="T297" i="17" a="1"/>
  <c r="T297" i="17" s="1"/>
  <c r="T357" i="17" a="1"/>
  <c r="T357" i="17" s="1"/>
  <c r="T447" i="17" a="1"/>
  <c r="T447" i="17" s="1"/>
  <c r="T387" i="17" a="1"/>
  <c r="T387" i="17" s="1"/>
  <c r="T417" i="17" a="1"/>
  <c r="T417" i="17" s="1"/>
  <c r="T477" i="17" a="1"/>
  <c r="T477" i="17" s="1"/>
  <c r="T28" i="17" a="1"/>
  <c r="T28" i="17" s="1"/>
  <c r="T188" i="17" a="1"/>
  <c r="T188" i="17" s="1"/>
  <c r="T189" i="17" a="1"/>
  <c r="T189" i="17" s="1"/>
  <c r="T190" i="17" a="1"/>
  <c r="T190" i="17" s="1"/>
  <c r="T191" i="17" a="1"/>
  <c r="T191" i="17" s="1"/>
  <c r="T192" i="17" a="1"/>
  <c r="T192" i="17" s="1"/>
  <c r="T193" i="17" a="1"/>
  <c r="T193" i="17" s="1"/>
  <c r="T238" i="17" a="1"/>
  <c r="T238" i="17" s="1"/>
  <c r="T328" i="17" a="1"/>
  <c r="T328" i="17" s="1"/>
  <c r="T268" i="17" a="1"/>
  <c r="T268" i="17" s="1"/>
  <c r="T298" i="17" a="1"/>
  <c r="T298" i="17" s="1"/>
  <c r="T358" i="17" a="1"/>
  <c r="T358" i="17" s="1"/>
  <c r="T448" i="17" a="1"/>
  <c r="T448" i="17" s="1"/>
  <c r="T388" i="17" a="1"/>
  <c r="T388" i="17" s="1"/>
  <c r="T418" i="17" a="1"/>
  <c r="T418" i="17" s="1"/>
  <c r="T478" i="17" a="1"/>
  <c r="T478" i="17" s="1"/>
  <c r="T29" i="17" a="1"/>
  <c r="T29" i="17" s="1"/>
  <c r="T194" i="17" a="1"/>
  <c r="T194" i="17" s="1"/>
  <c r="T195" i="17" a="1"/>
  <c r="T195" i="17" s="1"/>
  <c r="T196" i="17" a="1"/>
  <c r="T196" i="17" s="1"/>
  <c r="T197" i="17" a="1"/>
  <c r="T197" i="17" s="1"/>
  <c r="T198" i="17" a="1"/>
  <c r="T198" i="17" s="1"/>
  <c r="T199" i="17" a="1"/>
  <c r="T199" i="17" s="1"/>
  <c r="T239" i="17" a="1"/>
  <c r="T239" i="17" s="1"/>
  <c r="T329" i="17" a="1"/>
  <c r="T329" i="17" s="1"/>
  <c r="T269" i="17" a="1"/>
  <c r="T269" i="17" s="1"/>
  <c r="T299" i="17" a="1"/>
  <c r="T299" i="17" s="1"/>
  <c r="T359" i="17" a="1"/>
  <c r="T359" i="17" s="1"/>
  <c r="T449" i="17" a="1"/>
  <c r="T449" i="17" s="1"/>
  <c r="T389" i="17" a="1"/>
  <c r="T389" i="17" s="1"/>
  <c r="T419" i="17" a="1"/>
  <c r="T419" i="17" s="1"/>
  <c r="T479" i="17" a="1"/>
  <c r="T479" i="17" s="1"/>
  <c r="T30" i="17" a="1"/>
  <c r="T30" i="17" s="1"/>
  <c r="T200" i="17" a="1"/>
  <c r="T200" i="17" s="1"/>
  <c r="T201" i="17" a="1"/>
  <c r="T201" i="17" s="1"/>
  <c r="T202" i="17" a="1"/>
  <c r="T202" i="17" s="1"/>
  <c r="T203" i="17" a="1"/>
  <c r="T203" i="17" s="1"/>
  <c r="T204" i="17" a="1"/>
  <c r="T204" i="17" s="1"/>
  <c r="T205" i="17" a="1"/>
  <c r="T205" i="17" s="1"/>
  <c r="T240" i="17" a="1"/>
  <c r="T240" i="17" s="1"/>
  <c r="T330" i="17" a="1"/>
  <c r="T330" i="17" s="1"/>
  <c r="T270" i="17" a="1"/>
  <c r="T270" i="17" s="1"/>
  <c r="T300" i="17" a="1"/>
  <c r="T300" i="17" s="1"/>
  <c r="T360" i="17" a="1"/>
  <c r="T360" i="17" s="1"/>
  <c r="T450" i="17" a="1"/>
  <c r="T450" i="17" s="1"/>
  <c r="T390" i="17" a="1"/>
  <c r="T390" i="17" s="1"/>
  <c r="T420" i="17" a="1"/>
  <c r="T420" i="17" s="1"/>
  <c r="T480" i="17" a="1"/>
  <c r="T480" i="17" s="1"/>
  <c r="T31" i="17" a="1"/>
  <c r="T31" i="17" s="1"/>
  <c r="T206" i="17" a="1"/>
  <c r="T206" i="17" s="1"/>
  <c r="T207" i="17" a="1"/>
  <c r="T207" i="17" s="1"/>
  <c r="T208" i="17" a="1"/>
  <c r="T208" i="17" s="1"/>
  <c r="T209" i="17" a="1"/>
  <c r="T209" i="17" s="1"/>
  <c r="T210" i="17" a="1"/>
  <c r="T210" i="17" s="1"/>
  <c r="T211" i="17" a="1"/>
  <c r="T211" i="17" s="1"/>
  <c r="T241" i="17" a="1"/>
  <c r="T241" i="17" s="1"/>
  <c r="T331" i="17" a="1"/>
  <c r="T331" i="17" s="1"/>
  <c r="T271" i="17" a="1"/>
  <c r="T271" i="17" s="1"/>
  <c r="T301" i="17" a="1"/>
  <c r="T301" i="17" s="1"/>
  <c r="T361" i="17" a="1"/>
  <c r="T361" i="17" s="1"/>
  <c r="T451" i="17" a="1"/>
  <c r="T451" i="17" s="1"/>
  <c r="T391" i="17" a="1"/>
  <c r="T391" i="17" s="1"/>
  <c r="T421" i="17" a="1"/>
  <c r="T421" i="17" s="1"/>
  <c r="T481" i="17" a="1"/>
  <c r="T481" i="17" s="1"/>
  <c r="U2" i="17" a="1"/>
  <c r="U2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212" i="17" a="1"/>
  <c r="U212" i="17" s="1"/>
  <c r="U302" i="17" a="1"/>
  <c r="U302" i="17" s="1"/>
  <c r="U242" i="17" a="1"/>
  <c r="U242" i="17" s="1"/>
  <c r="U272" i="17" a="1"/>
  <c r="U272" i="17" s="1"/>
  <c r="U332" i="17" a="1"/>
  <c r="U332" i="17" s="1"/>
  <c r="U422" i="17" a="1"/>
  <c r="U422" i="17" s="1"/>
  <c r="U362" i="17" a="1"/>
  <c r="U362" i="17" s="1"/>
  <c r="U392" i="17" a="1"/>
  <c r="U392" i="17"/>
  <c r="U452" i="17" a="1"/>
  <c r="U452" i="17" s="1"/>
  <c r="U3" i="17" a="1"/>
  <c r="U3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/>
  <c r="U43" i="17" a="1"/>
  <c r="U43" i="17" s="1"/>
  <c r="U213" i="17" a="1"/>
  <c r="U213" i="17" s="1"/>
  <c r="U303" i="17" a="1"/>
  <c r="U303" i="17" s="1"/>
  <c r="U243" i="17" a="1"/>
  <c r="U243" i="17" s="1"/>
  <c r="U273" i="17" a="1"/>
  <c r="U273" i="17" s="1"/>
  <c r="U333" i="17" a="1"/>
  <c r="U333" i="17" s="1"/>
  <c r="U423" i="17" a="1"/>
  <c r="U423" i="17"/>
  <c r="U363" i="17" a="1"/>
  <c r="U363" i="17" s="1"/>
  <c r="U393" i="17" a="1"/>
  <c r="U393" i="17"/>
  <c r="U453" i="17" a="1"/>
  <c r="U453" i="17" s="1"/>
  <c r="U4" i="17" a="1"/>
  <c r="U4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/>
  <c r="U49" i="17" a="1"/>
  <c r="U49" i="17" s="1"/>
  <c r="U214" i="17" a="1"/>
  <c r="U214" i="17" s="1"/>
  <c r="U304" i="17" a="1"/>
  <c r="U304" i="17" s="1"/>
  <c r="U244" i="17" a="1"/>
  <c r="U244" i="17" s="1"/>
  <c r="U274" i="17" a="1"/>
  <c r="U274" i="17" s="1"/>
  <c r="U334" i="17" a="1"/>
  <c r="U334" i="17" s="1"/>
  <c r="U424" i="17" a="1"/>
  <c r="U424" i="17"/>
  <c r="U364" i="17" a="1"/>
  <c r="U364" i="17" s="1"/>
  <c r="U394" i="17" a="1"/>
  <c r="U394" i="17" s="1"/>
  <c r="U454" i="17" a="1"/>
  <c r="U454" i="17" s="1"/>
  <c r="U5" i="17" a="1"/>
  <c r="U5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215" i="17" a="1"/>
  <c r="U215" i="17" s="1"/>
  <c r="U305" i="17" a="1"/>
  <c r="U305" i="17" s="1"/>
  <c r="U245" i="17" a="1"/>
  <c r="U245" i="17" s="1"/>
  <c r="U275" i="17" a="1"/>
  <c r="U275" i="17" s="1"/>
  <c r="U335" i="17" a="1"/>
  <c r="U335" i="17" s="1"/>
  <c r="U425" i="17" a="1"/>
  <c r="U425" i="17" s="1"/>
  <c r="U365" i="17" a="1"/>
  <c r="U365" i="17" s="1"/>
  <c r="U395" i="17" a="1"/>
  <c r="U395" i="17" s="1"/>
  <c r="U455" i="17" a="1"/>
  <c r="U455" i="17" s="1"/>
  <c r="U6" i="17" a="1"/>
  <c r="U6" i="17" s="1"/>
  <c r="U56" i="17" a="1"/>
  <c r="U56" i="17" s="1"/>
  <c r="U57" i="17" a="1"/>
  <c r="U57" i="17"/>
  <c r="U58" i="17" a="1"/>
  <c r="U58" i="17" s="1"/>
  <c r="U59" i="17" a="1"/>
  <c r="U59" i="17" s="1"/>
  <c r="U60" i="17" a="1"/>
  <c r="U60" i="17"/>
  <c r="U61" i="17" a="1"/>
  <c r="U61" i="17" s="1"/>
  <c r="U216" i="17" a="1"/>
  <c r="U216" i="17" s="1"/>
  <c r="U306" i="17" a="1"/>
  <c r="U306" i="17" s="1"/>
  <c r="U246" i="17" a="1"/>
  <c r="U246" i="17" s="1"/>
  <c r="U276" i="17" a="1"/>
  <c r="U276" i="17" s="1"/>
  <c r="U336" i="17" a="1"/>
  <c r="U336" i="17" s="1"/>
  <c r="U426" i="17" a="1"/>
  <c r="U426" i="17"/>
  <c r="U366" i="17" a="1"/>
  <c r="U366" i="17" s="1"/>
  <c r="U396" i="17" a="1"/>
  <c r="U396" i="17" s="1"/>
  <c r="U456" i="17" a="1"/>
  <c r="U456" i="17" s="1"/>
  <c r="U7" i="17" a="1"/>
  <c r="U7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217" i="17" a="1"/>
  <c r="U217" i="17" s="1"/>
  <c r="U307" i="17" a="1"/>
  <c r="U307" i="17" s="1"/>
  <c r="U247" i="17" a="1"/>
  <c r="U247" i="17" s="1"/>
  <c r="U277" i="17" a="1"/>
  <c r="U277" i="17" s="1"/>
  <c r="U337" i="17" a="1"/>
  <c r="U337" i="17" s="1"/>
  <c r="U427" i="17" a="1"/>
  <c r="U427" i="17"/>
  <c r="U367" i="17" a="1"/>
  <c r="U367" i="17" s="1"/>
  <c r="U397" i="17" a="1"/>
  <c r="U397" i="17"/>
  <c r="U457" i="17" a="1"/>
  <c r="U457" i="17" s="1"/>
  <c r="U8" i="17" a="1"/>
  <c r="U8" i="17" s="1"/>
  <c r="U68" i="17" a="1"/>
  <c r="U68" i="17" s="1"/>
  <c r="U69" i="17" a="1"/>
  <c r="U69" i="17"/>
  <c r="U70" i="17" a="1"/>
  <c r="U70" i="17" s="1"/>
  <c r="U71" i="17" a="1"/>
  <c r="U71" i="17" s="1"/>
  <c r="U72" i="17" a="1"/>
  <c r="U72" i="17" s="1"/>
  <c r="U73" i="17" a="1"/>
  <c r="U73" i="17" s="1"/>
  <c r="U218" i="17" a="1"/>
  <c r="U218" i="17" s="1"/>
  <c r="U308" i="17" a="1"/>
  <c r="U308" i="17" s="1"/>
  <c r="U248" i="17" a="1"/>
  <c r="U248" i="17" s="1"/>
  <c r="U278" i="17" a="1"/>
  <c r="U278" i="17" s="1"/>
  <c r="U338" i="17" a="1"/>
  <c r="U338" i="17" s="1"/>
  <c r="U428" i="17" a="1"/>
  <c r="U428" i="17" s="1"/>
  <c r="U368" i="17" a="1"/>
  <c r="U368" i="17" s="1"/>
  <c r="U398" i="17" a="1"/>
  <c r="U398" i="17" s="1"/>
  <c r="U458" i="17" a="1"/>
  <c r="U458" i="17" s="1"/>
  <c r="U9" i="17" a="1"/>
  <c r="U9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219" i="17" a="1"/>
  <c r="U219" i="17" s="1"/>
  <c r="U309" i="17" a="1"/>
  <c r="U309" i="17" s="1"/>
  <c r="U249" i="17" a="1"/>
  <c r="U249" i="17" s="1"/>
  <c r="U279" i="17" a="1"/>
  <c r="U279" i="17" s="1"/>
  <c r="U339" i="17" a="1"/>
  <c r="U339" i="17" s="1"/>
  <c r="U429" i="17" a="1"/>
  <c r="U429" i="17" s="1"/>
  <c r="U369" i="17" a="1"/>
  <c r="U369" i="17" s="1"/>
  <c r="U399" i="17" a="1"/>
  <c r="U399" i="17"/>
  <c r="U459" i="17" a="1"/>
  <c r="U459" i="17" s="1"/>
  <c r="U10" i="17" a="1"/>
  <c r="U10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220" i="17" a="1"/>
  <c r="U220" i="17" s="1"/>
  <c r="U310" i="17" a="1"/>
  <c r="U310" i="17" s="1"/>
  <c r="U250" i="17" a="1"/>
  <c r="U250" i="17" s="1"/>
  <c r="U280" i="17" a="1"/>
  <c r="U280" i="17" s="1"/>
  <c r="U340" i="17" a="1"/>
  <c r="U340" i="17" s="1"/>
  <c r="U430" i="17" a="1"/>
  <c r="U430" i="17" s="1"/>
  <c r="U370" i="17" a="1"/>
  <c r="U370" i="17" s="1"/>
  <c r="U400" i="17" a="1"/>
  <c r="U400" i="17" s="1"/>
  <c r="U460" i="17" a="1"/>
  <c r="U460" i="17" s="1"/>
  <c r="U11" i="17" a="1"/>
  <c r="U11" i="17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221" i="17" a="1"/>
  <c r="U221" i="17" s="1"/>
  <c r="U311" i="17" a="1"/>
  <c r="U311" i="17" s="1"/>
  <c r="U251" i="17" a="1"/>
  <c r="U251" i="17" s="1"/>
  <c r="U281" i="17" a="1"/>
  <c r="U281" i="17" s="1"/>
  <c r="U341" i="17" a="1"/>
  <c r="U341" i="17" s="1"/>
  <c r="U431" i="17" a="1"/>
  <c r="U431" i="17" s="1"/>
  <c r="U371" i="17" a="1"/>
  <c r="U371" i="17" s="1"/>
  <c r="U401" i="17" a="1"/>
  <c r="U401" i="17" s="1"/>
  <c r="U461" i="17" a="1"/>
  <c r="U461" i="17" s="1"/>
  <c r="U12" i="17" a="1"/>
  <c r="U12" i="17" s="1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222" i="17" a="1"/>
  <c r="U222" i="17" s="1"/>
  <c r="U312" i="17" a="1"/>
  <c r="U312" i="17" s="1"/>
  <c r="U252" i="17" a="1"/>
  <c r="U252" i="17" s="1"/>
  <c r="U282" i="17" a="1"/>
  <c r="U282" i="17" s="1"/>
  <c r="U342" i="17" a="1"/>
  <c r="U342" i="17" s="1"/>
  <c r="U432" i="17" a="1"/>
  <c r="U432" i="17" s="1"/>
  <c r="U372" i="17" a="1"/>
  <c r="U372" i="17" s="1"/>
  <c r="U402" i="17" a="1"/>
  <c r="U402" i="17" s="1"/>
  <c r="U462" i="17" a="1"/>
  <c r="U462" i="17" s="1"/>
  <c r="U13" i="17" a="1"/>
  <c r="U13" i="17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223" i="17" a="1"/>
  <c r="U223" i="17" s="1"/>
  <c r="U313" i="17" a="1"/>
  <c r="U313" i="17" s="1"/>
  <c r="U253" i="17" a="1"/>
  <c r="U253" i="17"/>
  <c r="U283" i="17" a="1"/>
  <c r="U283" i="17" s="1"/>
  <c r="U343" i="17" a="1"/>
  <c r="U343" i="17" s="1"/>
  <c r="U433" i="17" a="1"/>
  <c r="U433" i="17" s="1"/>
  <c r="U373" i="17" a="1"/>
  <c r="U373" i="17" s="1"/>
  <c r="U403" i="17" a="1"/>
  <c r="U403" i="17" s="1"/>
  <c r="U463" i="17" a="1"/>
  <c r="U463" i="17" s="1"/>
  <c r="U14" i="17" a="1"/>
  <c r="U14" i="17" s="1"/>
  <c r="U104" i="17" a="1"/>
  <c r="U104" i="17" s="1"/>
  <c r="U105" i="17" a="1"/>
  <c r="U105" i="17"/>
  <c r="U106" i="17" a="1"/>
  <c r="U106" i="17" s="1"/>
  <c r="U107" i="17" a="1"/>
  <c r="U107" i="17" s="1"/>
  <c r="U108" i="17" a="1"/>
  <c r="U108" i="17" s="1"/>
  <c r="U109" i="17" a="1"/>
  <c r="U109" i="17" s="1"/>
  <c r="U224" i="17" a="1"/>
  <c r="U224" i="17" s="1"/>
  <c r="U314" i="17" a="1"/>
  <c r="U314" i="17" s="1"/>
  <c r="U254" i="17" a="1"/>
  <c r="U254" i="17" s="1"/>
  <c r="U284" i="17" a="1"/>
  <c r="U284" i="17" s="1"/>
  <c r="U344" i="17" a="1"/>
  <c r="U344" i="17" s="1"/>
  <c r="U434" i="17" a="1"/>
  <c r="U434" i="17" s="1"/>
  <c r="U374" i="17" a="1"/>
  <c r="U374" i="17" s="1"/>
  <c r="U404" i="17" a="1"/>
  <c r="U404" i="17" s="1"/>
  <c r="U464" i="17" a="1"/>
  <c r="U464" i="17" s="1"/>
  <c r="U15" i="17" a="1"/>
  <c r="U15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/>
  <c r="U115" i="17" a="1"/>
  <c r="U115" i="17" s="1"/>
  <c r="U225" i="17" a="1"/>
  <c r="U225" i="17" s="1"/>
  <c r="U315" i="17" a="1"/>
  <c r="U315" i="17" s="1"/>
  <c r="U255" i="17" a="1"/>
  <c r="U255" i="17" s="1"/>
  <c r="U285" i="17" a="1"/>
  <c r="U285" i="17" s="1"/>
  <c r="U345" i="17" a="1"/>
  <c r="U345" i="17" s="1"/>
  <c r="U435" i="17" a="1"/>
  <c r="U435" i="17"/>
  <c r="U375" i="17" a="1"/>
  <c r="U375" i="17" s="1"/>
  <c r="U405" i="17" a="1"/>
  <c r="U405" i="17" s="1"/>
  <c r="U465" i="17" a="1"/>
  <c r="U465" i="17" s="1"/>
  <c r="U16" i="17" a="1"/>
  <c r="U16" i="17" s="1"/>
  <c r="U116" i="17" a="1"/>
  <c r="U116" i="17" s="1"/>
  <c r="U117" i="17" a="1"/>
  <c r="U117" i="17"/>
  <c r="U118" i="17" a="1"/>
  <c r="U118" i="17" s="1"/>
  <c r="U119" i="17" a="1"/>
  <c r="U119" i="17" s="1"/>
  <c r="U120" i="17" a="1"/>
  <c r="U120" i="17" s="1"/>
  <c r="U121" i="17" a="1"/>
  <c r="U121" i="17" s="1"/>
  <c r="U226" i="17" a="1"/>
  <c r="U226" i="17" s="1"/>
  <c r="U316" i="17" a="1"/>
  <c r="U316" i="17" s="1"/>
  <c r="U256" i="17" a="1"/>
  <c r="U256" i="17" s="1"/>
  <c r="U286" i="17" a="1"/>
  <c r="U286" i="17" s="1"/>
  <c r="U346" i="17" a="1"/>
  <c r="U346" i="17" s="1"/>
  <c r="U436" i="17" a="1"/>
  <c r="U436" i="17" s="1"/>
  <c r="U376" i="17" a="1"/>
  <c r="U376" i="17" s="1"/>
  <c r="U406" i="17" a="1"/>
  <c r="U406" i="17" s="1"/>
  <c r="U466" i="17" a="1"/>
  <c r="U466" i="17" s="1"/>
  <c r="U17" i="17" a="1"/>
  <c r="U17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/>
  <c r="U127" i="17" a="1"/>
  <c r="U127" i="17" s="1"/>
  <c r="U227" i="17" a="1"/>
  <c r="U227" i="17" s="1"/>
  <c r="U317" i="17" a="1"/>
  <c r="U317" i="17" s="1"/>
  <c r="U257" i="17" a="1"/>
  <c r="U257" i="17"/>
  <c r="U287" i="17" a="1"/>
  <c r="U287" i="17" s="1"/>
  <c r="U347" i="17" a="1"/>
  <c r="U347" i="17" s="1"/>
  <c r="U437" i="17" a="1"/>
  <c r="U437" i="17" s="1"/>
  <c r="U377" i="17" a="1"/>
  <c r="U377" i="17" s="1"/>
  <c r="U407" i="17" a="1"/>
  <c r="U407" i="17"/>
  <c r="U467" i="17" a="1"/>
  <c r="U467" i="17" s="1"/>
  <c r="U18" i="17" a="1"/>
  <c r="U18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/>
  <c r="U133" i="17" a="1"/>
  <c r="U133" i="17" s="1"/>
  <c r="U228" i="17" a="1"/>
  <c r="U228" i="17" s="1"/>
  <c r="U318" i="17" a="1"/>
  <c r="U318" i="17" s="1"/>
  <c r="U258" i="17" a="1"/>
  <c r="U258" i="17" s="1"/>
  <c r="U288" i="17" a="1"/>
  <c r="U288" i="17" s="1"/>
  <c r="U348" i="17" a="1"/>
  <c r="U348" i="17" s="1"/>
  <c r="U438" i="17" a="1"/>
  <c r="U438" i="17" s="1"/>
  <c r="U378" i="17" a="1"/>
  <c r="U378" i="17" s="1"/>
  <c r="U408" i="17" a="1"/>
  <c r="U408" i="17" s="1"/>
  <c r="U468" i="17" a="1"/>
  <c r="U468" i="17" s="1"/>
  <c r="U19" i="17" a="1"/>
  <c r="U19" i="17"/>
  <c r="U134" i="17" a="1"/>
  <c r="U134" i="17" s="1"/>
  <c r="U135" i="17" a="1"/>
  <c r="U135" i="17"/>
  <c r="U136" i="17" a="1"/>
  <c r="U136" i="17" s="1"/>
  <c r="U137" i="17" a="1"/>
  <c r="U137" i="17" s="1"/>
  <c r="U138" i="17" a="1"/>
  <c r="U138" i="17" s="1"/>
  <c r="U139" i="17" a="1"/>
  <c r="U139" i="17" s="1"/>
  <c r="U229" i="17" a="1"/>
  <c r="U229" i="17" s="1"/>
  <c r="U319" i="17" a="1"/>
  <c r="U319" i="17" s="1"/>
  <c r="U259" i="17" a="1"/>
  <c r="U259" i="17" s="1"/>
  <c r="U289" i="17" a="1"/>
  <c r="U289" i="17" s="1"/>
  <c r="U349" i="17" a="1"/>
  <c r="U349" i="17" s="1"/>
  <c r="U439" i="17" a="1"/>
  <c r="U439" i="17" s="1"/>
  <c r="U379" i="17" a="1"/>
  <c r="U379" i="17" s="1"/>
  <c r="U409" i="17" a="1"/>
  <c r="U409" i="17" s="1"/>
  <c r="U469" i="17" a="1"/>
  <c r="U469" i="17" s="1"/>
  <c r="U20" i="17" a="1"/>
  <c r="U20" i="17" s="1"/>
  <c r="U140" i="17" a="1"/>
  <c r="U140" i="17" s="1"/>
  <c r="U141" i="17" a="1"/>
  <c r="U141" i="17" s="1"/>
  <c r="U142" i="17" a="1"/>
  <c r="U142" i="17" s="1"/>
  <c r="U143" i="17" a="1"/>
  <c r="U143" i="17" s="1"/>
  <c r="U144" i="17" a="1"/>
  <c r="U144" i="17" s="1"/>
  <c r="U145" i="17" a="1"/>
  <c r="U145" i="17" s="1"/>
  <c r="U230" i="17" a="1"/>
  <c r="U230" i="17" s="1"/>
  <c r="U320" i="17" a="1"/>
  <c r="U320" i="17" s="1"/>
  <c r="U260" i="17" a="1"/>
  <c r="U260" i="17" s="1"/>
  <c r="U290" i="17" a="1"/>
  <c r="U290" i="17" s="1"/>
  <c r="U350" i="17" a="1"/>
  <c r="U350" i="17" s="1"/>
  <c r="U440" i="17" a="1"/>
  <c r="U440" i="17" s="1"/>
  <c r="U380" i="17" a="1"/>
  <c r="U380" i="17" s="1"/>
  <c r="U410" i="17" a="1"/>
  <c r="U410" i="17"/>
  <c r="U470" i="17" a="1"/>
  <c r="U470" i="17" s="1"/>
  <c r="U21" i="17" a="1"/>
  <c r="U21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231" i="17" a="1"/>
  <c r="U231" i="17" s="1"/>
  <c r="U321" i="17" a="1"/>
  <c r="U321" i="17" s="1"/>
  <c r="U261" i="17" a="1"/>
  <c r="U261" i="17" s="1"/>
  <c r="U291" i="17" a="1"/>
  <c r="U291" i="17" s="1"/>
  <c r="U351" i="17" a="1"/>
  <c r="U351" i="17" s="1"/>
  <c r="U441" i="17" a="1"/>
  <c r="U441" i="17" s="1"/>
  <c r="U381" i="17" a="1"/>
  <c r="U381" i="17" s="1"/>
  <c r="U411" i="17" a="1"/>
  <c r="U411" i="17"/>
  <c r="U471" i="17" a="1"/>
  <c r="U471" i="17" s="1"/>
  <c r="U22" i="17" a="1"/>
  <c r="U22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/>
  <c r="U157" i="17" a="1"/>
  <c r="U157" i="17" s="1"/>
  <c r="U232" i="17" a="1"/>
  <c r="U232" i="17" s="1"/>
  <c r="U322" i="17" a="1"/>
  <c r="U322" i="17" s="1"/>
  <c r="U262" i="17" a="1"/>
  <c r="U262" i="17" s="1"/>
  <c r="U292" i="17" a="1"/>
  <c r="U292" i="17" s="1"/>
  <c r="U352" i="17" a="1"/>
  <c r="U352" i="17" s="1"/>
  <c r="U442" i="17" a="1"/>
  <c r="U442" i="17" s="1"/>
  <c r="U382" i="17" a="1"/>
  <c r="U382" i="17" s="1"/>
  <c r="U412" i="17" a="1"/>
  <c r="U412" i="17" s="1"/>
  <c r="U472" i="17" a="1"/>
  <c r="U472" i="17" s="1"/>
  <c r="U23" i="17" a="1"/>
  <c r="U23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/>
  <c r="U163" i="17" a="1"/>
  <c r="U163" i="17" s="1"/>
  <c r="U233" i="17" a="1"/>
  <c r="U233" i="17" s="1"/>
  <c r="U323" i="17" a="1"/>
  <c r="U323" i="17" s="1"/>
  <c r="U263" i="17" a="1"/>
  <c r="U263" i="17"/>
  <c r="U293" i="17" a="1"/>
  <c r="U293" i="17" s="1"/>
  <c r="U353" i="17" a="1"/>
  <c r="U353" i="17" s="1"/>
  <c r="U443" i="17" a="1"/>
  <c r="U443" i="17" s="1"/>
  <c r="U383" i="17" a="1"/>
  <c r="U383" i="17" s="1"/>
  <c r="U413" i="17" a="1"/>
  <c r="U413" i="17" s="1"/>
  <c r="U473" i="17" a="1"/>
  <c r="U473" i="17" s="1"/>
  <c r="U24" i="17" a="1"/>
  <c r="U24" i="17" s="1"/>
  <c r="U164" i="17" a="1"/>
  <c r="U164" i="17" s="1"/>
  <c r="U165" i="17" a="1"/>
  <c r="U165" i="17"/>
  <c r="U166" i="17" a="1"/>
  <c r="U166" i="17" s="1"/>
  <c r="U167" i="17" a="1"/>
  <c r="U167" i="17" s="1"/>
  <c r="U168" i="17" a="1"/>
  <c r="U168" i="17" s="1"/>
  <c r="U169" i="17" a="1"/>
  <c r="U169" i="17" s="1"/>
  <c r="U234" i="17" a="1"/>
  <c r="U234" i="17" s="1"/>
  <c r="U324" i="17" a="1"/>
  <c r="U324" i="17" s="1"/>
  <c r="U264" i="17" a="1"/>
  <c r="U264" i="17" s="1"/>
  <c r="U294" i="17" a="1"/>
  <c r="U294" i="17" s="1"/>
  <c r="U354" i="17" a="1"/>
  <c r="U354" i="17" s="1"/>
  <c r="U444" i="17" a="1"/>
  <c r="U444" i="17" s="1"/>
  <c r="U384" i="17" a="1"/>
  <c r="U384" i="17" s="1"/>
  <c r="U414" i="17" a="1"/>
  <c r="U414" i="17" s="1"/>
  <c r="U474" i="17" a="1"/>
  <c r="U474" i="17" s="1"/>
  <c r="U25" i="17" a="1"/>
  <c r="U25" i="17"/>
  <c r="U170" i="17" a="1"/>
  <c r="U170" i="17" s="1"/>
  <c r="U171" i="17" a="1"/>
  <c r="U171" i="17"/>
  <c r="U172" i="17" a="1"/>
  <c r="U172" i="17" s="1"/>
  <c r="U173" i="17" a="1"/>
  <c r="U173" i="17" s="1"/>
  <c r="U174" i="17" a="1"/>
  <c r="U174" i="17" s="1"/>
  <c r="U175" i="17" a="1"/>
  <c r="U175" i="17" s="1"/>
  <c r="U235" i="17" a="1"/>
  <c r="U235" i="17" s="1"/>
  <c r="U325" i="17" a="1"/>
  <c r="U325" i="17" s="1"/>
  <c r="U265" i="17" a="1"/>
  <c r="U265" i="17" s="1"/>
  <c r="U295" i="17" a="1"/>
  <c r="U295" i="17" s="1"/>
  <c r="U355" i="17" a="1"/>
  <c r="U355" i="17" s="1"/>
  <c r="U445" i="17" a="1"/>
  <c r="U445" i="17"/>
  <c r="U385" i="17" a="1"/>
  <c r="U385" i="17" s="1"/>
  <c r="U415" i="17" a="1"/>
  <c r="U415" i="17"/>
  <c r="U475" i="17" a="1"/>
  <c r="U475" i="17" s="1"/>
  <c r="U26" i="17" a="1"/>
  <c r="U26" i="17" s="1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/>
  <c r="U181" i="17" a="1"/>
  <c r="U181" i="17" s="1"/>
  <c r="U236" i="17" a="1"/>
  <c r="U236" i="17" s="1"/>
  <c r="U326" i="17" a="1"/>
  <c r="U326" i="17" s="1"/>
  <c r="U266" i="17" a="1"/>
  <c r="U266" i="17" s="1"/>
  <c r="U296" i="17" a="1"/>
  <c r="U296" i="17" s="1"/>
  <c r="U356" i="17" a="1"/>
  <c r="U356" i="17" s="1"/>
  <c r="U446" i="17" a="1"/>
  <c r="U446" i="17" s="1"/>
  <c r="U386" i="17" a="1"/>
  <c r="U386" i="17" s="1"/>
  <c r="U416" i="17" a="1"/>
  <c r="U416" i="17" s="1"/>
  <c r="U476" i="17" a="1"/>
  <c r="U476" i="17" s="1"/>
  <c r="U27" i="17" a="1"/>
  <c r="U27" i="17" s="1"/>
  <c r="U182" i="17" a="1"/>
  <c r="U182" i="17" s="1"/>
  <c r="U183" i="17" a="1"/>
  <c r="U183" i="17" s="1"/>
  <c r="U184" i="17" a="1"/>
  <c r="U184" i="17" s="1"/>
  <c r="U185" i="17" a="1"/>
  <c r="U185" i="17" s="1"/>
  <c r="U186" i="17" a="1"/>
  <c r="U186" i="17" s="1"/>
  <c r="U187" i="17" a="1"/>
  <c r="U187" i="17" s="1"/>
  <c r="U237" i="17" a="1"/>
  <c r="U237" i="17" s="1"/>
  <c r="U327" i="17" a="1"/>
  <c r="U327" i="17" s="1"/>
  <c r="U267" i="17" a="1"/>
  <c r="U267" i="17" s="1"/>
  <c r="U297" i="17" a="1"/>
  <c r="U297" i="17" s="1"/>
  <c r="U357" i="17" a="1"/>
  <c r="U357" i="17" s="1"/>
  <c r="U447" i="17" a="1"/>
  <c r="U447" i="17" s="1"/>
  <c r="U387" i="17" a="1"/>
  <c r="U387" i="17" s="1"/>
  <c r="U417" i="17" a="1"/>
  <c r="U417" i="17" s="1"/>
  <c r="U477" i="17" a="1"/>
  <c r="U477" i="17" s="1"/>
  <c r="U28" i="17" a="1"/>
  <c r="U28" i="17" s="1"/>
  <c r="U188" i="17" a="1"/>
  <c r="U188" i="17" s="1"/>
  <c r="U189" i="17" a="1"/>
  <c r="U189" i="17"/>
  <c r="U190" i="17" a="1"/>
  <c r="U190" i="17" s="1"/>
  <c r="U191" i="17" a="1"/>
  <c r="U191" i="17" s="1"/>
  <c r="U192" i="17" a="1"/>
  <c r="U192" i="17" s="1"/>
  <c r="U193" i="17" a="1"/>
  <c r="U193" i="17" s="1"/>
  <c r="U238" i="17" a="1"/>
  <c r="U238" i="17" s="1"/>
  <c r="U328" i="17" a="1"/>
  <c r="U328" i="17" s="1"/>
  <c r="U268" i="17" a="1"/>
  <c r="U268" i="17" s="1"/>
  <c r="U298" i="17" a="1"/>
  <c r="U298" i="17" s="1"/>
  <c r="U358" i="17" a="1"/>
  <c r="U358" i="17" s="1"/>
  <c r="U448" i="17" a="1"/>
  <c r="U448" i="17" s="1"/>
  <c r="U388" i="17" a="1"/>
  <c r="U388" i="17" s="1"/>
  <c r="U418" i="17" a="1"/>
  <c r="U418" i="17"/>
  <c r="U478" i="17" a="1"/>
  <c r="U478" i="17" s="1"/>
  <c r="U29" i="17" a="1"/>
  <c r="U29" i="17"/>
  <c r="U194" i="17" a="1"/>
  <c r="U194" i="17" s="1"/>
  <c r="U195" i="17" a="1"/>
  <c r="U195" i="17"/>
  <c r="U196" i="17" a="1"/>
  <c r="U196" i="17" s="1"/>
  <c r="U197" i="17" a="1"/>
  <c r="U197" i="17" s="1"/>
  <c r="U198" i="17" a="1"/>
  <c r="U198" i="17" s="1"/>
  <c r="U199" i="17" a="1"/>
  <c r="U199" i="17" s="1"/>
  <c r="U239" i="17" a="1"/>
  <c r="U239" i="17" s="1"/>
  <c r="U329" i="17" a="1"/>
  <c r="U329" i="17" s="1"/>
  <c r="U269" i="17" a="1"/>
  <c r="U269" i="17" s="1"/>
  <c r="U299" i="17" a="1"/>
  <c r="U299" i="17" s="1"/>
  <c r="U359" i="17" a="1"/>
  <c r="U359" i="17" s="1"/>
  <c r="U449" i="17" a="1"/>
  <c r="U449" i="17" s="1"/>
  <c r="U389" i="17" a="1"/>
  <c r="U389" i="17" s="1"/>
  <c r="U419" i="17" a="1"/>
  <c r="U419" i="17" s="1"/>
  <c r="U479" i="17" a="1"/>
  <c r="U479" i="17" s="1"/>
  <c r="U30" i="17" a="1"/>
  <c r="U30" i="17" s="1"/>
  <c r="U200" i="17" a="1"/>
  <c r="U200" i="17" s="1"/>
  <c r="U201" i="17" a="1"/>
  <c r="U201" i="17" s="1"/>
  <c r="U202" i="17" a="1"/>
  <c r="U202" i="17" s="1"/>
  <c r="U203" i="17" a="1"/>
  <c r="U203" i="17" s="1"/>
  <c r="U204" i="17" a="1"/>
  <c r="U204" i="17" s="1"/>
  <c r="U205" i="17" a="1"/>
  <c r="U205" i="17" s="1"/>
  <c r="U240" i="17" a="1"/>
  <c r="U240" i="17" s="1"/>
  <c r="U330" i="17" a="1"/>
  <c r="U330" i="17" s="1"/>
  <c r="U270" i="17" a="1"/>
  <c r="U270" i="17" s="1"/>
  <c r="U300" i="17" a="1"/>
  <c r="U300" i="17" s="1"/>
  <c r="U360" i="17" a="1"/>
  <c r="U360" i="17" s="1"/>
  <c r="U450" i="17" a="1"/>
  <c r="U450" i="17" s="1"/>
  <c r="U390" i="17" a="1"/>
  <c r="U390" i="17" s="1"/>
  <c r="U420" i="17" a="1"/>
  <c r="U420" i="17" s="1"/>
  <c r="U480" i="17" a="1"/>
  <c r="U480" i="17" s="1"/>
  <c r="U31" i="17" a="1"/>
  <c r="U31" i="17" s="1"/>
  <c r="U206" i="17" a="1"/>
  <c r="U206" i="17" s="1"/>
  <c r="U207" i="17" a="1"/>
  <c r="U207" i="17" s="1"/>
  <c r="U208" i="17" a="1"/>
  <c r="U208" i="17" s="1"/>
  <c r="U209" i="17" a="1"/>
  <c r="U209" i="17" s="1"/>
  <c r="U210" i="17" a="1"/>
  <c r="U210" i="17"/>
  <c r="U211" i="17" a="1"/>
  <c r="U211" i="17" s="1"/>
  <c r="U241" i="17" a="1"/>
  <c r="U241" i="17" s="1"/>
  <c r="U331" i="17" a="1"/>
  <c r="U331" i="17" s="1"/>
  <c r="U271" i="17" a="1"/>
  <c r="U271" i="17"/>
  <c r="U301" i="17" a="1"/>
  <c r="U301" i="17" s="1"/>
  <c r="U361" i="17" a="1"/>
  <c r="U361" i="17" s="1"/>
  <c r="U451" i="17" a="1"/>
  <c r="U451" i="17" s="1"/>
  <c r="U391" i="17" a="1"/>
  <c r="U391" i="17" s="1"/>
  <c r="U421" i="17" a="1"/>
  <c r="U421" i="17" s="1"/>
  <c r="U481" i="17" a="1"/>
  <c r="U481" i="17" s="1"/>
  <c r="V2" i="17" a="1"/>
  <c r="V2" i="17" s="1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 s="1"/>
  <c r="V212" i="17" a="1"/>
  <c r="V212" i="17" s="1"/>
  <c r="V302" i="17" a="1"/>
  <c r="V302" i="17" s="1"/>
  <c r="V242" i="17" a="1"/>
  <c r="V242" i="17" s="1"/>
  <c r="V272" i="17" a="1"/>
  <c r="V272" i="17" s="1"/>
  <c r="V332" i="17" a="1"/>
  <c r="V332" i="17" s="1"/>
  <c r="V422" i="17" a="1"/>
  <c r="V422" i="17" s="1"/>
  <c r="V362" i="17" a="1"/>
  <c r="V362" i="17" s="1"/>
  <c r="V392" i="17" a="1"/>
  <c r="V392" i="17" s="1"/>
  <c r="V452" i="17" a="1"/>
  <c r="V452" i="17" s="1"/>
  <c r="V3" i="17" a="1"/>
  <c r="V3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/>
  <c r="V43" i="17" a="1"/>
  <c r="V43" i="17" s="1"/>
  <c r="V213" i="17" a="1"/>
  <c r="V213" i="17" s="1"/>
  <c r="V303" i="17" a="1"/>
  <c r="V303" i="17" s="1"/>
  <c r="V243" i="17" a="1"/>
  <c r="V243" i="17" s="1"/>
  <c r="V273" i="17" a="1"/>
  <c r="V273" i="17" s="1"/>
  <c r="V333" i="17" a="1"/>
  <c r="V333" i="17" s="1"/>
  <c r="V423" i="17" a="1"/>
  <c r="V423" i="17" s="1"/>
  <c r="V363" i="17" a="1"/>
  <c r="V363" i="17" s="1"/>
  <c r="V393" i="17" a="1"/>
  <c r="V393" i="17" s="1"/>
  <c r="V453" i="17" a="1"/>
  <c r="V453" i="17" s="1"/>
  <c r="V4" i="17" a="1"/>
  <c r="V4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214" i="17" a="1"/>
  <c r="V214" i="17" s="1"/>
  <c r="V304" i="17" a="1"/>
  <c r="V304" i="17" s="1"/>
  <c r="V244" i="17" a="1"/>
  <c r="V244" i="17" s="1"/>
  <c r="V274" i="17" a="1"/>
  <c r="V274" i="17" s="1"/>
  <c r="V334" i="17" a="1"/>
  <c r="V334" i="17" s="1"/>
  <c r="V424" i="17" a="1"/>
  <c r="V424" i="17" s="1"/>
  <c r="V364" i="17" a="1"/>
  <c r="V364" i="17" s="1"/>
  <c r="V394" i="17" a="1"/>
  <c r="V394" i="17"/>
  <c r="V454" i="17" a="1"/>
  <c r="V454" i="17" s="1"/>
  <c r="V5" i="17" a="1"/>
  <c r="V5" i="17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215" i="17" a="1"/>
  <c r="V215" i="17" s="1"/>
  <c r="V305" i="17" a="1"/>
  <c r="V305" i="17" s="1"/>
  <c r="V245" i="17" a="1"/>
  <c r="V245" i="17" s="1"/>
  <c r="V275" i="17" a="1"/>
  <c r="V275" i="17" s="1"/>
  <c r="V335" i="17" a="1"/>
  <c r="V335" i="17" s="1"/>
  <c r="V425" i="17" a="1"/>
  <c r="V425" i="17" s="1"/>
  <c r="V365" i="17" a="1"/>
  <c r="V365" i="17" s="1"/>
  <c r="V395" i="17" a="1"/>
  <c r="V395" i="17" s="1"/>
  <c r="V455" i="17" a="1"/>
  <c r="V455" i="17" s="1"/>
  <c r="V6" i="17" a="1"/>
  <c r="V6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216" i="17" a="1"/>
  <c r="V216" i="17" s="1"/>
  <c r="V306" i="17" a="1"/>
  <c r="V306" i="17" s="1"/>
  <c r="V246" i="17" a="1"/>
  <c r="V246" i="17" s="1"/>
  <c r="V276" i="17" a="1"/>
  <c r="V276" i="17" s="1"/>
  <c r="V336" i="17" a="1"/>
  <c r="V336" i="17" s="1"/>
  <c r="V426" i="17" a="1"/>
  <c r="V426" i="17" s="1"/>
  <c r="V366" i="17" a="1"/>
  <c r="V366" i="17" s="1"/>
  <c r="V396" i="17" a="1"/>
  <c r="V396" i="17" s="1"/>
  <c r="V456" i="17" a="1"/>
  <c r="V456" i="17" s="1"/>
  <c r="V7" i="17" a="1"/>
  <c r="V7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217" i="17" a="1"/>
  <c r="V217" i="17" s="1"/>
  <c r="V307" i="17" a="1"/>
  <c r="V307" i="17" s="1"/>
  <c r="V247" i="17" a="1"/>
  <c r="V247" i="17" s="1"/>
  <c r="V277" i="17" a="1"/>
  <c r="V277" i="17" s="1"/>
  <c r="V337" i="17" a="1"/>
  <c r="V337" i="17" s="1"/>
  <c r="V427" i="17" a="1"/>
  <c r="V427" i="17"/>
  <c r="V367" i="17" a="1"/>
  <c r="V367" i="17" s="1"/>
  <c r="V397" i="17" a="1"/>
  <c r="V397" i="17"/>
  <c r="V457" i="17" a="1"/>
  <c r="V457" i="17" s="1"/>
  <c r="V8" i="17" a="1"/>
  <c r="V8" i="17" s="1"/>
  <c r="V68" i="17" a="1"/>
  <c r="V68" i="17" s="1"/>
  <c r="V69" i="17" a="1"/>
  <c r="V69" i="17"/>
  <c r="V70" i="17" a="1"/>
  <c r="V70" i="17" s="1"/>
  <c r="V71" i="17" a="1"/>
  <c r="V71" i="17" s="1"/>
  <c r="V72" i="17" a="1"/>
  <c r="V72" i="17" s="1"/>
  <c r="V73" i="17" a="1"/>
  <c r="V73" i="17" s="1"/>
  <c r="V218" i="17" a="1"/>
  <c r="V218" i="17" s="1"/>
  <c r="V308" i="17" a="1"/>
  <c r="V308" i="17" s="1"/>
  <c r="V248" i="17" a="1"/>
  <c r="V248" i="17" s="1"/>
  <c r="V278" i="17" a="1"/>
  <c r="V278" i="17" s="1"/>
  <c r="V338" i="17" a="1"/>
  <c r="V338" i="17" s="1"/>
  <c r="V428" i="17" a="1"/>
  <c r="V428" i="17" s="1"/>
  <c r="V368" i="17" a="1"/>
  <c r="V368" i="17" s="1"/>
  <c r="V398" i="17" a="1"/>
  <c r="V398" i="17" s="1"/>
  <c r="V458" i="17" a="1"/>
  <c r="V458" i="17" s="1"/>
  <c r="V9" i="17" a="1"/>
  <c r="V9" i="17" s="1"/>
  <c r="V74" i="17" a="1"/>
  <c r="V74" i="17" s="1"/>
  <c r="V75" i="17" a="1"/>
  <c r="V75" i="17" s="1"/>
  <c r="V76" i="17" a="1"/>
  <c r="V76" i="17" s="1"/>
  <c r="V77" i="17" a="1"/>
  <c r="V77" i="17" s="1"/>
  <c r="V78" i="17" a="1"/>
  <c r="V78" i="17" s="1"/>
  <c r="V79" i="17" a="1"/>
  <c r="V79" i="17" s="1"/>
  <c r="V219" i="17" a="1"/>
  <c r="V219" i="17" s="1"/>
  <c r="V309" i="17" a="1"/>
  <c r="V309" i="17" s="1"/>
  <c r="V249" i="17" a="1"/>
  <c r="V249" i="17"/>
  <c r="V279" i="17" a="1"/>
  <c r="V279" i="17" s="1"/>
  <c r="V339" i="17" a="1"/>
  <c r="V339" i="17" s="1"/>
  <c r="V429" i="17" a="1"/>
  <c r="V429" i="17" s="1"/>
  <c r="V369" i="17" a="1"/>
  <c r="V369" i="17" s="1"/>
  <c r="V399" i="17" a="1"/>
  <c r="V399" i="17" s="1"/>
  <c r="V459" i="17" a="1"/>
  <c r="V459" i="17" s="1"/>
  <c r="V10" i="17" a="1"/>
  <c r="V10" i="17" s="1"/>
  <c r="V80" i="17" a="1"/>
  <c r="V80" i="17" s="1"/>
  <c r="V81" i="17" a="1"/>
  <c r="V81" i="17" s="1"/>
  <c r="V82" i="17" a="1"/>
  <c r="V82" i="17" s="1"/>
  <c r="V83" i="17" a="1"/>
  <c r="V83" i="17" s="1"/>
  <c r="V84" i="17" a="1"/>
  <c r="V84" i="17" s="1"/>
  <c r="V85" i="17" a="1"/>
  <c r="V85" i="17" s="1"/>
  <c r="V220" i="17" a="1"/>
  <c r="V220" i="17" s="1"/>
  <c r="V310" i="17" a="1"/>
  <c r="V310" i="17" s="1"/>
  <c r="V250" i="17" a="1"/>
  <c r="V250" i="17" s="1"/>
  <c r="V280" i="17" a="1"/>
  <c r="V280" i="17" s="1"/>
  <c r="V340" i="17" a="1"/>
  <c r="V340" i="17" s="1"/>
  <c r="V430" i="17" a="1"/>
  <c r="V430" i="17" s="1"/>
  <c r="V370" i="17" a="1"/>
  <c r="V370" i="17" s="1"/>
  <c r="V400" i="17" a="1"/>
  <c r="V400" i="17" s="1"/>
  <c r="V460" i="17" a="1"/>
  <c r="V460" i="17" s="1"/>
  <c r="V11" i="17" a="1"/>
  <c r="V11" i="17" s="1"/>
  <c r="V86" i="17" a="1"/>
  <c r="V86" i="17" s="1"/>
  <c r="V87" i="17" a="1"/>
  <c r="V87" i="17"/>
  <c r="V88" i="17" a="1"/>
  <c r="V88" i="17" s="1"/>
  <c r="V89" i="17" a="1"/>
  <c r="V89" i="17" s="1"/>
  <c r="V90" i="17" a="1"/>
  <c r="V90" i="17" s="1"/>
  <c r="V91" i="17" a="1"/>
  <c r="V91" i="17" s="1"/>
  <c r="V221" i="17" a="1"/>
  <c r="V221" i="17" s="1"/>
  <c r="V311" i="17" a="1"/>
  <c r="V311" i="17" s="1"/>
  <c r="V251" i="17" a="1"/>
  <c r="V251" i="17" s="1"/>
  <c r="V281" i="17" a="1"/>
  <c r="V281" i="17" s="1"/>
  <c r="V341" i="17" a="1"/>
  <c r="V341" i="17" s="1"/>
  <c r="V431" i="17" a="1"/>
  <c r="V431" i="17"/>
  <c r="V371" i="17" a="1"/>
  <c r="V371" i="17" s="1"/>
  <c r="V401" i="17" a="1"/>
  <c r="V401" i="17"/>
  <c r="V461" i="17" a="1"/>
  <c r="V461" i="17" s="1"/>
  <c r="V12" i="17" a="1"/>
  <c r="V12" i="17"/>
  <c r="V92" i="17" a="1"/>
  <c r="V92" i="17" s="1"/>
  <c r="V93" i="17" a="1"/>
  <c r="V93" i="17" s="1"/>
  <c r="V94" i="17" a="1"/>
  <c r="V94" i="17" s="1"/>
  <c r="V95" i="17" a="1"/>
  <c r="V95" i="17" s="1"/>
  <c r="V96" i="17" a="1"/>
  <c r="V96" i="17" s="1"/>
  <c r="V97" i="17" a="1"/>
  <c r="V97" i="17" s="1"/>
  <c r="V222" i="17" a="1"/>
  <c r="V222" i="17" s="1"/>
  <c r="V312" i="17" a="1"/>
  <c r="V312" i="17" s="1"/>
  <c r="V252" i="17" a="1"/>
  <c r="V252" i="17" s="1"/>
  <c r="V282" i="17" a="1"/>
  <c r="V282" i="17" s="1"/>
  <c r="V342" i="17" a="1"/>
  <c r="V342" i="17" s="1"/>
  <c r="V432" i="17" a="1"/>
  <c r="V432" i="17"/>
  <c r="V372" i="17" a="1"/>
  <c r="V372" i="17" s="1"/>
  <c r="V402" i="17" a="1"/>
  <c r="V402" i="17" s="1"/>
  <c r="V462" i="17" a="1"/>
  <c r="V462" i="17" s="1"/>
  <c r="V13" i="17" a="1"/>
  <c r="V13" i="17" s="1"/>
  <c r="V98" i="17" a="1"/>
  <c r="V98" i="17" s="1"/>
  <c r="V99" i="17" a="1"/>
  <c r="V99" i="17" s="1"/>
  <c r="V100" i="17" a="1"/>
  <c r="V100" i="17" s="1"/>
  <c r="V101" i="17" a="1"/>
  <c r="V101" i="17" s="1"/>
  <c r="V102" i="17" a="1"/>
  <c r="V102" i="17"/>
  <c r="V103" i="17" a="1"/>
  <c r="V103" i="17" s="1"/>
  <c r="V223" i="17" a="1"/>
  <c r="V223" i="17" s="1"/>
  <c r="V313" i="17" a="1"/>
  <c r="V313" i="17" s="1"/>
  <c r="V253" i="17" a="1"/>
  <c r="V253" i="17" s="1"/>
  <c r="V283" i="17" a="1"/>
  <c r="V283" i="17" s="1"/>
  <c r="V343" i="17" a="1"/>
  <c r="V343" i="17" s="1"/>
  <c r="V433" i="17" a="1"/>
  <c r="V433" i="17" s="1"/>
  <c r="V373" i="17" a="1"/>
  <c r="V373" i="17" s="1"/>
  <c r="V403" i="17" a="1"/>
  <c r="V403" i="17" s="1"/>
  <c r="V463" i="17" a="1"/>
  <c r="V463" i="17" s="1"/>
  <c r="V14" i="17" a="1"/>
  <c r="V14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224" i="17" a="1"/>
  <c r="V224" i="17" s="1"/>
  <c r="V314" i="17" a="1"/>
  <c r="V314" i="17" s="1"/>
  <c r="V254" i="17" a="1"/>
  <c r="V254" i="17" s="1"/>
  <c r="V284" i="17" a="1"/>
  <c r="V284" i="17" s="1"/>
  <c r="V344" i="17" a="1"/>
  <c r="V344" i="17" s="1"/>
  <c r="V434" i="17" a="1"/>
  <c r="V434" i="17" s="1"/>
  <c r="V374" i="17" a="1"/>
  <c r="V374" i="17"/>
  <c r="V404" i="17" a="1"/>
  <c r="V404" i="17" s="1"/>
  <c r="V464" i="17" a="1"/>
  <c r="V464" i="17" s="1"/>
  <c r="V15" i="17" a="1"/>
  <c r="V15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225" i="17" a="1"/>
  <c r="V225" i="17" s="1"/>
  <c r="V315" i="17" a="1"/>
  <c r="V315" i="17" s="1"/>
  <c r="V255" i="17" a="1"/>
  <c r="V255" i="17" s="1"/>
  <c r="V285" i="17" a="1"/>
  <c r="V285" i="17" s="1"/>
  <c r="V345" i="17" a="1"/>
  <c r="V345" i="17" s="1"/>
  <c r="V435" i="17" a="1"/>
  <c r="V435" i="17" s="1"/>
  <c r="V375" i="17" a="1"/>
  <c r="V375" i="17" s="1"/>
  <c r="V405" i="17" a="1"/>
  <c r="V405" i="17" s="1"/>
  <c r="V465" i="17" a="1"/>
  <c r="V465" i="17" s="1"/>
  <c r="V16" i="17" a="1"/>
  <c r="V16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226" i="17" a="1"/>
  <c r="V226" i="17" s="1"/>
  <c r="V316" i="17" a="1"/>
  <c r="V316" i="17" s="1"/>
  <c r="V256" i="17" a="1"/>
  <c r="V256" i="17" s="1"/>
  <c r="V286" i="17" a="1"/>
  <c r="V286" i="17" s="1"/>
  <c r="V346" i="17" a="1"/>
  <c r="V346" i="17" s="1"/>
  <c r="V436" i="17" a="1"/>
  <c r="V436" i="17" s="1"/>
  <c r="V376" i="17" a="1"/>
  <c r="V376" i="17" s="1"/>
  <c r="V406" i="17" a="1"/>
  <c r="V406" i="17" s="1"/>
  <c r="V466" i="17" a="1"/>
  <c r="V466" i="17" s="1"/>
  <c r="V17" i="17" a="1"/>
  <c r="V17" i="17" s="1"/>
  <c r="V122" i="17" a="1"/>
  <c r="V122" i="17" s="1"/>
  <c r="V123" i="17" a="1"/>
  <c r="V123" i="17" s="1"/>
  <c r="V124" i="17" a="1"/>
  <c r="V124" i="17" s="1"/>
  <c r="V125" i="17" a="1"/>
  <c r="V125" i="17"/>
  <c r="V126" i="17" a="1"/>
  <c r="V126" i="17" s="1"/>
  <c r="V127" i="17" a="1"/>
  <c r="V127" i="17" s="1"/>
  <c r="V227" i="17" a="1"/>
  <c r="V227" i="17" s="1"/>
  <c r="V317" i="17" a="1"/>
  <c r="V317" i="17" s="1"/>
  <c r="V257" i="17" a="1"/>
  <c r="V257" i="17" s="1"/>
  <c r="V287" i="17" a="1"/>
  <c r="V287" i="17" s="1"/>
  <c r="V347" i="17" a="1"/>
  <c r="V347" i="17" s="1"/>
  <c r="V437" i="17" a="1"/>
  <c r="V437" i="17" s="1"/>
  <c r="V377" i="17" a="1"/>
  <c r="V377" i="17" s="1"/>
  <c r="V407" i="17" a="1"/>
  <c r="V407" i="17" s="1"/>
  <c r="V467" i="17" a="1"/>
  <c r="V467" i="17" s="1"/>
  <c r="V18" i="17" a="1"/>
  <c r="V18" i="17" s="1"/>
  <c r="V128" i="17" a="1"/>
  <c r="V128" i="17" s="1"/>
  <c r="V129" i="17" a="1"/>
  <c r="V129" i="17" s="1"/>
  <c r="V130" i="17" a="1"/>
  <c r="V130" i="17" s="1"/>
  <c r="V131" i="17" a="1"/>
  <c r="V131" i="17" s="1"/>
  <c r="V132" i="17" a="1"/>
  <c r="V132" i="17" s="1"/>
  <c r="V133" i="17" a="1"/>
  <c r="V133" i="17" s="1"/>
  <c r="V228" i="17" a="1"/>
  <c r="V228" i="17" s="1"/>
  <c r="V318" i="17" a="1"/>
  <c r="V318" i="17" s="1"/>
  <c r="V258" i="17" a="1"/>
  <c r="V258" i="17" s="1"/>
  <c r="V288" i="17" a="1"/>
  <c r="V288" i="17" s="1"/>
  <c r="V348" i="17" a="1"/>
  <c r="V348" i="17" s="1"/>
  <c r="V438" i="17" a="1"/>
  <c r="V438" i="17" s="1"/>
  <c r="V378" i="17" a="1"/>
  <c r="V378" i="17" s="1"/>
  <c r="V408" i="17" a="1"/>
  <c r="V408" i="17" s="1"/>
  <c r="V468" i="17" a="1"/>
  <c r="V468" i="17" s="1"/>
  <c r="V19" i="17" a="1"/>
  <c r="V19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229" i="17" a="1"/>
  <c r="V229" i="17" s="1"/>
  <c r="V319" i="17" a="1"/>
  <c r="V319" i="17" s="1"/>
  <c r="V259" i="17" a="1"/>
  <c r="V259" i="17" s="1"/>
  <c r="V289" i="17" a="1"/>
  <c r="V289" i="17" s="1"/>
  <c r="V349" i="17" a="1"/>
  <c r="V349" i="17" s="1"/>
  <c r="V439" i="17" a="1"/>
  <c r="V439" i="17" s="1"/>
  <c r="V379" i="17" a="1"/>
  <c r="V379" i="17" s="1"/>
  <c r="V409" i="17" a="1"/>
  <c r="V409" i="17" s="1"/>
  <c r="V469" i="17" a="1"/>
  <c r="V469" i="17" s="1"/>
  <c r="V20" i="17" a="1"/>
  <c r="V20" i="17" s="1"/>
  <c r="V140" i="17" a="1"/>
  <c r="V140" i="17" s="1"/>
  <c r="V141" i="17" a="1"/>
  <c r="V141" i="17" s="1"/>
  <c r="V142" i="17" a="1"/>
  <c r="V142" i="17" s="1"/>
  <c r="V143" i="17" a="1"/>
  <c r="V143" i="17" s="1"/>
  <c r="V144" i="17" a="1"/>
  <c r="V144" i="17" s="1"/>
  <c r="V145" i="17" a="1"/>
  <c r="V145" i="17" s="1"/>
  <c r="V230" i="17" a="1"/>
  <c r="V230" i="17" s="1"/>
  <c r="V320" i="17" a="1"/>
  <c r="V320" i="17" s="1"/>
  <c r="V260" i="17" a="1"/>
  <c r="V260" i="17" s="1"/>
  <c r="V290" i="17" a="1"/>
  <c r="V290" i="17" s="1"/>
  <c r="V350" i="17" a="1"/>
  <c r="V350" i="17" s="1"/>
  <c r="V440" i="17" a="1"/>
  <c r="V440" i="17" s="1"/>
  <c r="V380" i="17" a="1"/>
  <c r="V380" i="17" s="1"/>
  <c r="V410" i="17" a="1"/>
  <c r="V410" i="17" s="1"/>
  <c r="V470" i="17" a="1"/>
  <c r="V470" i="17" s="1"/>
  <c r="V21" i="17" a="1"/>
  <c r="V21" i="17" s="1"/>
  <c r="V146" i="17" a="1"/>
  <c r="V146" i="17" s="1"/>
  <c r="V147" i="17" a="1"/>
  <c r="V147" i="17"/>
  <c r="V148" i="17" a="1"/>
  <c r="V148" i="17" s="1"/>
  <c r="V149" i="17" a="1"/>
  <c r="V149" i="17" s="1"/>
  <c r="V150" i="17" a="1"/>
  <c r="V150" i="17" s="1"/>
  <c r="V151" i="17" a="1"/>
  <c r="V151" i="17" s="1"/>
  <c r="V231" i="17" a="1"/>
  <c r="V231" i="17" s="1"/>
  <c r="V321" i="17" a="1"/>
  <c r="V321" i="17" s="1"/>
  <c r="V261" i="17" a="1"/>
  <c r="V261" i="17" s="1"/>
  <c r="V291" i="17" a="1"/>
  <c r="V291" i="17" s="1"/>
  <c r="V351" i="17" a="1"/>
  <c r="V351" i="17" s="1"/>
  <c r="V441" i="17" a="1"/>
  <c r="V441" i="17" s="1"/>
  <c r="V381" i="17" a="1"/>
  <c r="V381" i="17" s="1"/>
  <c r="V411" i="17" a="1"/>
  <c r="V411" i="17" s="1"/>
  <c r="V471" i="17" a="1"/>
  <c r="V471" i="17" s="1"/>
  <c r="V22" i="17" a="1"/>
  <c r="V22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/>
  <c r="V232" i="17" a="1"/>
  <c r="V232" i="17" s="1"/>
  <c r="V322" i="17" a="1"/>
  <c r="V322" i="17" s="1"/>
  <c r="V262" i="17" a="1"/>
  <c r="V262" i="17" s="1"/>
  <c r="V292" i="17" a="1"/>
  <c r="V292" i="17" s="1"/>
  <c r="V352" i="17" a="1"/>
  <c r="V352" i="17" s="1"/>
  <c r="V442" i="17" a="1"/>
  <c r="V442" i="17" s="1"/>
  <c r="V382" i="17" a="1"/>
  <c r="V382" i="17" s="1"/>
  <c r="V412" i="17" a="1"/>
  <c r="V412" i="17" s="1"/>
  <c r="V472" i="17" a="1"/>
  <c r="V472" i="17" s="1"/>
  <c r="V23" i="17" a="1"/>
  <c r="V23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233" i="17" a="1"/>
  <c r="V233" i="17" s="1"/>
  <c r="V323" i="17" a="1"/>
  <c r="V323" i="17" s="1"/>
  <c r="V263" i="17" a="1"/>
  <c r="V263" i="17" s="1"/>
  <c r="V293" i="17" a="1"/>
  <c r="V293" i="17" s="1"/>
  <c r="V353" i="17" a="1"/>
  <c r="V353" i="17" s="1"/>
  <c r="V443" i="17" a="1"/>
  <c r="V443" i="17" s="1"/>
  <c r="V383" i="17" a="1"/>
  <c r="V383" i="17" s="1"/>
  <c r="V413" i="17" a="1"/>
  <c r="V413" i="17" s="1"/>
  <c r="V473" i="17" a="1"/>
  <c r="V473" i="17" s="1"/>
  <c r="V24" i="17" a="1"/>
  <c r="V24" i="17" s="1"/>
  <c r="V164" i="17" a="1"/>
  <c r="V164" i="17" s="1"/>
  <c r="V165" i="17" a="1"/>
  <c r="V165" i="17" s="1"/>
  <c r="V166" i="17" a="1"/>
  <c r="V166" i="17" s="1"/>
  <c r="V167" i="17" a="1"/>
  <c r="V167" i="17" s="1"/>
  <c r="V168" i="17" a="1"/>
  <c r="V168" i="17" s="1"/>
  <c r="V169" i="17" a="1"/>
  <c r="V169" i="17"/>
  <c r="V234" i="17" a="1"/>
  <c r="V234" i="17" s="1"/>
  <c r="V324" i="17" a="1"/>
  <c r="V324" i="17" s="1"/>
  <c r="V264" i="17" a="1"/>
  <c r="V264" i="17" s="1"/>
  <c r="V294" i="17" a="1"/>
  <c r="V294" i="17" s="1"/>
  <c r="V354" i="17" a="1"/>
  <c r="V354" i="17" s="1"/>
  <c r="V444" i="17" a="1"/>
  <c r="V444" i="17" s="1"/>
  <c r="V384" i="17" a="1"/>
  <c r="V384" i="17" s="1"/>
  <c r="V414" i="17" a="1"/>
  <c r="V414" i="17" s="1"/>
  <c r="V474" i="17" a="1"/>
  <c r="V474" i="17" s="1"/>
  <c r="V25" i="17" a="1"/>
  <c r="V25" i="17" s="1"/>
  <c r="V170" i="17" a="1"/>
  <c r="V170" i="17" s="1"/>
  <c r="V171" i="17" a="1"/>
  <c r="V171" i="17"/>
  <c r="V172" i="17" a="1"/>
  <c r="V172" i="17" s="1"/>
  <c r="V173" i="17" a="1"/>
  <c r="V173" i="17" s="1"/>
  <c r="V174" i="17" a="1"/>
  <c r="V174" i="17" s="1"/>
  <c r="V175" i="17" a="1"/>
  <c r="V175" i="17" s="1"/>
  <c r="V235" i="17" a="1"/>
  <c r="V235" i="17" s="1"/>
  <c r="V325" i="17" a="1"/>
  <c r="V325" i="17" s="1"/>
  <c r="V265" i="17" a="1"/>
  <c r="V265" i="17" s="1"/>
  <c r="V295" i="17" a="1"/>
  <c r="V295" i="17" s="1"/>
  <c r="V355" i="17" a="1"/>
  <c r="V355" i="17" s="1"/>
  <c r="V445" i="17" a="1"/>
  <c r="V445" i="17" s="1"/>
  <c r="V385" i="17" a="1"/>
  <c r="V385" i="17" s="1"/>
  <c r="V415" i="17" a="1"/>
  <c r="V415" i="17" s="1"/>
  <c r="V475" i="17" a="1"/>
  <c r="V475" i="17" s="1"/>
  <c r="V26" i="17" a="1"/>
  <c r="V26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/>
  <c r="V236" i="17" a="1"/>
  <c r="V236" i="17" s="1"/>
  <c r="V326" i="17" a="1"/>
  <c r="V326" i="17" s="1"/>
  <c r="V266" i="17" a="1"/>
  <c r="V266" i="17" s="1"/>
  <c r="V296" i="17" a="1"/>
  <c r="V296" i="17" s="1"/>
  <c r="V356" i="17" a="1"/>
  <c r="V356" i="17" s="1"/>
  <c r="V446" i="17" a="1"/>
  <c r="V446" i="17" s="1"/>
  <c r="V386" i="17" a="1"/>
  <c r="V386" i="17" s="1"/>
  <c r="V416" i="17" a="1"/>
  <c r="V416" i="17" s="1"/>
  <c r="V476" i="17" a="1"/>
  <c r="V476" i="17" s="1"/>
  <c r="V27" i="17" a="1"/>
  <c r="V27" i="17" s="1"/>
  <c r="V182" i="17" a="1"/>
  <c r="V182" i="17" s="1"/>
  <c r="V183" i="17" a="1"/>
  <c r="V183" i="17" s="1"/>
  <c r="V184" i="17" a="1"/>
  <c r="V184" i="17" s="1"/>
  <c r="V185" i="17" a="1"/>
  <c r="V185" i="17" s="1"/>
  <c r="V186" i="17" a="1"/>
  <c r="V186" i="17" s="1"/>
  <c r="V187" i="17" a="1"/>
  <c r="V187" i="17" s="1"/>
  <c r="V237" i="17" a="1"/>
  <c r="V237" i="17" s="1"/>
  <c r="V327" i="17" a="1"/>
  <c r="V327" i="17" s="1"/>
  <c r="V267" i="17" a="1"/>
  <c r="V267" i="17" s="1"/>
  <c r="V297" i="17" a="1"/>
  <c r="V297" i="17" s="1"/>
  <c r="V357" i="17" a="1"/>
  <c r="V357" i="17" s="1"/>
  <c r="V447" i="17" a="1"/>
  <c r="V447" i="17" s="1"/>
  <c r="V387" i="17" a="1"/>
  <c r="V387" i="17" s="1"/>
  <c r="V417" i="17" a="1"/>
  <c r="V417" i="17" s="1"/>
  <c r="V477" i="17" a="1"/>
  <c r="V477" i="17" s="1"/>
  <c r="V28" i="17" a="1"/>
  <c r="V28" i="17" s="1"/>
  <c r="V188" i="17" a="1"/>
  <c r="V188" i="17" s="1"/>
  <c r="V189" i="17" a="1"/>
  <c r="V189" i="17" s="1"/>
  <c r="V190" i="17" a="1"/>
  <c r="V190" i="17" s="1"/>
  <c r="V191" i="17" a="1"/>
  <c r="V191" i="17" s="1"/>
  <c r="V192" i="17" a="1"/>
  <c r="V192" i="17" s="1"/>
  <c r="V193" i="17" a="1"/>
  <c r="V193" i="17" s="1"/>
  <c r="V238" i="17" a="1"/>
  <c r="V238" i="17" s="1"/>
  <c r="V328" i="17" a="1"/>
  <c r="V328" i="17" s="1"/>
  <c r="V268" i="17" a="1"/>
  <c r="V268" i="17"/>
  <c r="V298" i="17" a="1"/>
  <c r="V298" i="17" s="1"/>
  <c r="V358" i="17" a="1"/>
  <c r="V358" i="17" s="1"/>
  <c r="V448" i="17" a="1"/>
  <c r="V448" i="17" s="1"/>
  <c r="V388" i="17" a="1"/>
  <c r="V388" i="17" s="1"/>
  <c r="V418" i="17" a="1"/>
  <c r="V418" i="17" s="1"/>
  <c r="V478" i="17" a="1"/>
  <c r="V478" i="17" s="1"/>
  <c r="V29" i="17" a="1"/>
  <c r="V29" i="17" s="1"/>
  <c r="V194" i="17" a="1"/>
  <c r="V194" i="17" s="1"/>
  <c r="V195" i="17" a="1"/>
  <c r="V195" i="17" s="1"/>
  <c r="V196" i="17" a="1"/>
  <c r="V196" i="17" s="1"/>
  <c r="V197" i="17" a="1"/>
  <c r="V197" i="17" s="1"/>
  <c r="V198" i="17" a="1"/>
  <c r="V198" i="17" s="1"/>
  <c r="V199" i="17" a="1"/>
  <c r="V199" i="17" s="1"/>
  <c r="V239" i="17" a="1"/>
  <c r="V239" i="17" s="1"/>
  <c r="V329" i="17" a="1"/>
  <c r="V329" i="17" s="1"/>
  <c r="V269" i="17" a="1"/>
  <c r="V269" i="17" s="1"/>
  <c r="V299" i="17" a="1"/>
  <c r="V299" i="17" s="1"/>
  <c r="V359" i="17" a="1"/>
  <c r="V359" i="17" s="1"/>
  <c r="V449" i="17" a="1"/>
  <c r="V449" i="17" s="1"/>
  <c r="V389" i="17" a="1"/>
  <c r="V389" i="17" s="1"/>
  <c r="V419" i="17" a="1"/>
  <c r="V419" i="17" s="1"/>
  <c r="V479" i="17" a="1"/>
  <c r="V479" i="17" s="1"/>
  <c r="V30" i="17" a="1"/>
  <c r="V30" i="17" s="1"/>
  <c r="V200" i="17" a="1"/>
  <c r="V200" i="17" s="1"/>
  <c r="V201" i="17" a="1"/>
  <c r="V201" i="17" s="1"/>
  <c r="V202" i="17" a="1"/>
  <c r="V202" i="17" s="1"/>
  <c r="V203" i="17" a="1"/>
  <c r="V203" i="17" s="1"/>
  <c r="V204" i="17" a="1"/>
  <c r="V204" i="17" s="1"/>
  <c r="V205" i="17" a="1"/>
  <c r="V205" i="17" s="1"/>
  <c r="V240" i="17" a="1"/>
  <c r="V240" i="17" s="1"/>
  <c r="V330" i="17" a="1"/>
  <c r="V330" i="17" s="1"/>
  <c r="V270" i="17" a="1"/>
  <c r="V270" i="17"/>
  <c r="V300" i="17" a="1"/>
  <c r="V300" i="17" s="1"/>
  <c r="V360" i="17" a="1"/>
  <c r="V360" i="17" s="1"/>
  <c r="V450" i="17" a="1"/>
  <c r="V450" i="17" s="1"/>
  <c r="V390" i="17" a="1"/>
  <c r="V390" i="17" s="1"/>
  <c r="V420" i="17" a="1"/>
  <c r="V420" i="17" s="1"/>
  <c r="V480" i="17" a="1"/>
  <c r="V480" i="17" s="1"/>
  <c r="V31" i="17" a="1"/>
  <c r="V31" i="17" s="1"/>
  <c r="V206" i="17" a="1"/>
  <c r="V206" i="17" s="1"/>
  <c r="V207" i="17" a="1"/>
  <c r="V207" i="17"/>
  <c r="V208" i="17" a="1"/>
  <c r="V208" i="17" s="1"/>
  <c r="V209" i="17" a="1"/>
  <c r="V209" i="17" s="1"/>
  <c r="V210" i="17" a="1"/>
  <c r="V210" i="17" s="1"/>
  <c r="V211" i="17" a="1"/>
  <c r="V211" i="17" s="1"/>
  <c r="V241" i="17" a="1"/>
  <c r="V241" i="17" s="1"/>
  <c r="V331" i="17" a="1"/>
  <c r="V331" i="17" s="1"/>
  <c r="V271" i="17" a="1"/>
  <c r="V271" i="17" s="1"/>
  <c r="V301" i="17" a="1"/>
  <c r="V301" i="17" s="1"/>
  <c r="V361" i="17" a="1"/>
  <c r="V361" i="17" s="1"/>
  <c r="V451" i="17" a="1"/>
  <c r="V451" i="17" s="1"/>
  <c r="V391" i="17" a="1"/>
  <c r="V391" i="17" s="1"/>
  <c r="V421" i="17" a="1"/>
  <c r="V421" i="17" s="1"/>
  <c r="V481" i="17" a="1"/>
  <c r="V481" i="17" s="1"/>
  <c r="X2" i="17" a="1"/>
  <c r="X2" i="17" s="1"/>
  <c r="X32" i="17" a="1"/>
  <c r="X32" i="17" s="1"/>
  <c r="Y32" i="17" s="1"/>
  <c r="Q32" i="17" s="1"/>
  <c r="W32" i="17" s="1"/>
  <c r="X33" i="17" a="1"/>
  <c r="X33" i="17" s="1"/>
  <c r="X34" i="17" a="1"/>
  <c r="X34" i="17" s="1"/>
  <c r="Y34" i="17" s="1"/>
  <c r="Q34" i="17" s="1"/>
  <c r="W34" i="17" s="1"/>
  <c r="X35" i="17" a="1"/>
  <c r="X35" i="17" s="1"/>
  <c r="X36" i="17" a="1"/>
  <c r="X36" i="17" s="1"/>
  <c r="Y36" i="17" s="1"/>
  <c r="X37" i="17" a="1"/>
  <c r="X37" i="17" s="1"/>
  <c r="Y37" i="17" s="1"/>
  <c r="Q37" i="17" s="1"/>
  <c r="W37" i="17" s="1"/>
  <c r="X212" i="17" a="1"/>
  <c r="X212" i="17"/>
  <c r="X302" i="17" a="1"/>
  <c r="X302" i="17" s="1"/>
  <c r="X242" i="17" a="1"/>
  <c r="X242" i="17" s="1"/>
  <c r="X272" i="17" a="1"/>
  <c r="X272" i="17" s="1"/>
  <c r="X332" i="17" a="1"/>
  <c r="X332" i="17" s="1"/>
  <c r="Y332" i="17" s="1"/>
  <c r="Q332" i="17" s="1"/>
  <c r="W332" i="17" s="1"/>
  <c r="X422" i="17" a="1"/>
  <c r="X422" i="17" s="1"/>
  <c r="X362" i="17" a="1"/>
  <c r="X362" i="17"/>
  <c r="X392" i="17" a="1"/>
  <c r="X392" i="17" s="1"/>
  <c r="Y392" i="17" s="1"/>
  <c r="X452" i="17" a="1"/>
  <c r="X452" i="17" s="1"/>
  <c r="Y452" i="17" s="1"/>
  <c r="Q452" i="17" s="1"/>
  <c r="W452" i="17" s="1"/>
  <c r="X3" i="17" a="1"/>
  <c r="X3" i="17" s="1"/>
  <c r="X38" i="17" a="1"/>
  <c r="X38" i="17" s="1"/>
  <c r="Y38" i="17" s="1"/>
  <c r="Q38" i="17" s="1"/>
  <c r="W38" i="17" s="1"/>
  <c r="X39" i="17" a="1"/>
  <c r="X39" i="17" s="1"/>
  <c r="Y39" i="17" s="1"/>
  <c r="Q39" i="17" s="1"/>
  <c r="W39" i="17" s="1"/>
  <c r="X40" i="17" a="1"/>
  <c r="X40" i="17" s="1"/>
  <c r="Y40" i="17" s="1"/>
  <c r="Q40" i="17" s="1"/>
  <c r="W40" i="17" s="1"/>
  <c r="X41" i="17" a="1"/>
  <c r="X41" i="17" s="1"/>
  <c r="X42" i="17" a="1"/>
  <c r="X42" i="17" s="1"/>
  <c r="Y42" i="17" s="1"/>
  <c r="Q42" i="17" s="1"/>
  <c r="W42" i="17" s="1"/>
  <c r="X43" i="17" a="1"/>
  <c r="X43" i="17"/>
  <c r="X213" i="17" a="1"/>
  <c r="X213" i="17" s="1"/>
  <c r="Y213" i="17" s="1"/>
  <c r="X303" i="17" a="1"/>
  <c r="X303" i="17" s="1"/>
  <c r="X243" i="17" a="1"/>
  <c r="X243" i="17" s="1"/>
  <c r="Y243" i="17" s="1"/>
  <c r="Q243" i="17" s="1"/>
  <c r="W243" i="17" s="1"/>
  <c r="X273" i="17" a="1"/>
  <c r="X273" i="17" s="1"/>
  <c r="Y273" i="17" s="1"/>
  <c r="Q273" i="17" s="1"/>
  <c r="W273" i="17" s="1"/>
  <c r="X333" i="17" a="1"/>
  <c r="X333" i="17" s="1"/>
  <c r="Y333" i="17" s="1"/>
  <c r="X423" i="17" a="1"/>
  <c r="X423" i="17" s="1"/>
  <c r="X363" i="17" a="1"/>
  <c r="X363" i="17" s="1"/>
  <c r="Y363" i="17" s="1"/>
  <c r="Q363" i="17" s="1"/>
  <c r="W363" i="17" s="1"/>
  <c r="X393" i="17" a="1"/>
  <c r="X393" i="17" s="1"/>
  <c r="Y393" i="17" s="1"/>
  <c r="X453" i="17" a="1"/>
  <c r="X453" i="17" s="1"/>
  <c r="Y453" i="17" s="1"/>
  <c r="Q453" i="17" s="1"/>
  <c r="W453" i="17" s="1"/>
  <c r="X4" i="17" a="1"/>
  <c r="X4" i="17" s="1"/>
  <c r="X44" i="17" a="1"/>
  <c r="X44" i="17" s="1"/>
  <c r="Y44" i="17" s="1"/>
  <c r="Q44" i="17" s="1"/>
  <c r="W44" i="17" s="1"/>
  <c r="X45" i="17" a="1"/>
  <c r="X45" i="17" s="1"/>
  <c r="Y45" i="17" s="1"/>
  <c r="Q45" i="17" s="1"/>
  <c r="W45" i="17" s="1"/>
  <c r="X46" i="17" a="1"/>
  <c r="X46" i="17" s="1"/>
  <c r="Y46" i="17" s="1"/>
  <c r="Q46" i="17" s="1"/>
  <c r="W46" i="17" s="1"/>
  <c r="X47" i="17" a="1"/>
  <c r="X47" i="17" s="1"/>
  <c r="X48" i="17" a="1"/>
  <c r="X48" i="17" s="1"/>
  <c r="Y48" i="17" s="1"/>
  <c r="Q48" i="17" s="1"/>
  <c r="W48" i="17" s="1"/>
  <c r="X49" i="17" a="1"/>
  <c r="X49" i="17" s="1"/>
  <c r="Y49" i="17" s="1"/>
  <c r="Q49" i="17" s="1"/>
  <c r="W49" i="17" s="1"/>
  <c r="X214" i="17" a="1"/>
  <c r="X214" i="17" s="1"/>
  <c r="Y214" i="17" s="1"/>
  <c r="Q214" i="17" s="1"/>
  <c r="W214" i="17" s="1"/>
  <c r="X304" i="17" a="1"/>
  <c r="X304" i="17" s="1"/>
  <c r="X244" i="17" a="1"/>
  <c r="X244" i="17" s="1"/>
  <c r="X274" i="17" a="1"/>
  <c r="X274" i="17" s="1"/>
  <c r="X334" i="17" a="1"/>
  <c r="X334" i="17" s="1"/>
  <c r="Y334" i="17" s="1"/>
  <c r="Q334" i="17" s="1"/>
  <c r="W334" i="17" s="1"/>
  <c r="X424" i="17" a="1"/>
  <c r="X424" i="17" s="1"/>
  <c r="X364" i="17" a="1"/>
  <c r="X364" i="17" s="1"/>
  <c r="Y364" i="17" s="1"/>
  <c r="Q364" i="17" s="1"/>
  <c r="W364" i="17" s="1"/>
  <c r="X394" i="17" a="1"/>
  <c r="X394" i="17" s="1"/>
  <c r="X454" i="17" a="1"/>
  <c r="X454" i="17" s="1"/>
  <c r="Y454" i="17" s="1"/>
  <c r="Q454" i="17" s="1"/>
  <c r="W454" i="17" s="1"/>
  <c r="X5" i="17" a="1"/>
  <c r="X5" i="17" s="1"/>
  <c r="X50" i="17" a="1"/>
  <c r="X50" i="17" s="1"/>
  <c r="Y50" i="17" s="1"/>
  <c r="Q50" i="17" s="1"/>
  <c r="W50" i="17" s="1"/>
  <c r="X51" i="17" a="1"/>
  <c r="X51" i="17" s="1"/>
  <c r="Y51" i="17" s="1"/>
  <c r="Q51" i="17" s="1"/>
  <c r="W51" i="17" s="1"/>
  <c r="X52" i="17" a="1"/>
  <c r="X52" i="17" s="1"/>
  <c r="Y52" i="17" s="1"/>
  <c r="Q52" i="17" s="1"/>
  <c r="W52" i="17" s="1"/>
  <c r="X53" i="17" a="1"/>
  <c r="X53" i="17" s="1"/>
  <c r="X54" i="17" a="1"/>
  <c r="X54" i="17" s="1"/>
  <c r="Y54" i="17" s="1"/>
  <c r="Q54" i="17" s="1"/>
  <c r="W54" i="17" s="1"/>
  <c r="X55" i="17" a="1"/>
  <c r="X55" i="17" s="1"/>
  <c r="Y55" i="17" s="1"/>
  <c r="Q55" i="17" s="1"/>
  <c r="W55" i="17" s="1"/>
  <c r="X215" i="17" a="1"/>
  <c r="X215" i="17" s="1"/>
  <c r="Y215" i="17" s="1"/>
  <c r="Q215" i="17" s="1"/>
  <c r="W215" i="17" s="1"/>
  <c r="X305" i="17" a="1"/>
  <c r="X305" i="17" s="1"/>
  <c r="X245" i="17" a="1"/>
  <c r="X245" i="17" s="1"/>
  <c r="Y245" i="17" s="1"/>
  <c r="Q245" i="17" s="1"/>
  <c r="W245" i="17" s="1"/>
  <c r="X275" i="17" a="1"/>
  <c r="X275" i="17" s="1"/>
  <c r="Y275" i="17" s="1"/>
  <c r="Q275" i="17" s="1"/>
  <c r="W275" i="17" s="1"/>
  <c r="X335" i="17" a="1"/>
  <c r="X335" i="17" s="1"/>
  <c r="Y335" i="17" s="1"/>
  <c r="Q335" i="17" s="1"/>
  <c r="W335" i="17" s="1"/>
  <c r="X425" i="17" a="1"/>
  <c r="X425" i="17" s="1"/>
  <c r="X365" i="17" a="1"/>
  <c r="X365" i="17" s="1"/>
  <c r="Y365" i="17" s="1"/>
  <c r="Q365" i="17" s="1"/>
  <c r="W365" i="17" s="1"/>
  <c r="X395" i="17" a="1"/>
  <c r="X395" i="17" s="1"/>
  <c r="Y395" i="17" s="1"/>
  <c r="Q395" i="17" s="1"/>
  <c r="W395" i="17" s="1"/>
  <c r="X455" i="17" a="1"/>
  <c r="X455" i="17"/>
  <c r="X6" i="17" a="1"/>
  <c r="X6" i="17" s="1"/>
  <c r="X56" i="17" a="1"/>
  <c r="X56" i="17" s="1"/>
  <c r="X57" i="17" a="1"/>
  <c r="X57" i="17" s="1"/>
  <c r="Y57" i="17" s="1"/>
  <c r="Q57" i="17" s="1"/>
  <c r="W57" i="17" s="1"/>
  <c r="X58" i="17" a="1"/>
  <c r="X58" i="17" s="1"/>
  <c r="Y58" i="17" s="1"/>
  <c r="Q58" i="17" s="1"/>
  <c r="W58" i="17" s="1"/>
  <c r="X59" i="17" a="1"/>
  <c r="X59" i="17" s="1"/>
  <c r="X60" i="17" a="1"/>
  <c r="X60" i="17"/>
  <c r="Y60" i="17" s="1"/>
  <c r="Q60" i="17" s="1"/>
  <c r="W60" i="17" s="1"/>
  <c r="X61" i="17" a="1"/>
  <c r="X61" i="17" s="1"/>
  <c r="Y61" i="17" s="1"/>
  <c r="Q61" i="17" s="1"/>
  <c r="W61" i="17" s="1"/>
  <c r="X216" i="17" a="1"/>
  <c r="X216" i="17" s="1"/>
  <c r="X306" i="17" a="1"/>
  <c r="X306" i="17" s="1"/>
  <c r="X246" i="17" a="1"/>
  <c r="X246" i="17" s="1"/>
  <c r="Y246" i="17" s="1"/>
  <c r="Q246" i="17" s="1"/>
  <c r="W246" i="17" s="1"/>
  <c r="X276" i="17" a="1"/>
  <c r="X276" i="17" s="1"/>
  <c r="X336" i="17" a="1"/>
  <c r="X336" i="17" s="1"/>
  <c r="Y336" i="17" s="1"/>
  <c r="Q336" i="17" s="1"/>
  <c r="W336" i="17" s="1"/>
  <c r="X426" i="17" a="1"/>
  <c r="X426" i="17" s="1"/>
  <c r="X366" i="17" a="1"/>
  <c r="X366" i="17"/>
  <c r="X396" i="17" a="1"/>
  <c r="X396" i="17"/>
  <c r="X456" i="17" a="1"/>
  <c r="X456" i="17" s="1"/>
  <c r="Y456" i="17" s="1"/>
  <c r="Q456" i="17" s="1"/>
  <c r="W456" i="17" s="1"/>
  <c r="X7" i="17" a="1"/>
  <c r="X7" i="17" s="1"/>
  <c r="X62" i="17" a="1"/>
  <c r="X62" i="17" s="1"/>
  <c r="Y62" i="17" s="1"/>
  <c r="Q62" i="17" s="1"/>
  <c r="W62" i="17" s="1"/>
  <c r="X63" i="17" a="1"/>
  <c r="X63" i="17" s="1"/>
  <c r="Y63" i="17" s="1"/>
  <c r="Q63" i="17" s="1"/>
  <c r="W63" i="17" s="1"/>
  <c r="X64" i="17" a="1"/>
  <c r="X64" i="17"/>
  <c r="X65" i="17" a="1"/>
  <c r="X65" i="17" s="1"/>
  <c r="X66" i="17" a="1"/>
  <c r="X66" i="17" s="1"/>
  <c r="Y66" i="17" s="1"/>
  <c r="Q66" i="17" s="1"/>
  <c r="W66" i="17" s="1"/>
  <c r="X67" i="17" a="1"/>
  <c r="X67" i="17" s="1"/>
  <c r="X217" i="17" a="1"/>
  <c r="X217" i="17" s="1"/>
  <c r="Y217" i="17" s="1"/>
  <c r="Q217" i="17" s="1"/>
  <c r="W217" i="17" s="1"/>
  <c r="X307" i="17" a="1"/>
  <c r="X307" i="17" s="1"/>
  <c r="X247" i="17" a="1"/>
  <c r="X247" i="17" s="1"/>
  <c r="Y247" i="17" s="1"/>
  <c r="Q247" i="17" s="1"/>
  <c r="W247" i="17" s="1"/>
  <c r="X277" i="17" a="1"/>
  <c r="X277" i="17" s="1"/>
  <c r="Y277" i="17" s="1"/>
  <c r="Q277" i="17" s="1"/>
  <c r="W277" i="17" s="1"/>
  <c r="X337" i="17" a="1"/>
  <c r="X337" i="17" s="1"/>
  <c r="Y337" i="17" s="1"/>
  <c r="Q337" i="17" s="1"/>
  <c r="W337" i="17" s="1"/>
  <c r="X427" i="17" a="1"/>
  <c r="X427" i="17" s="1"/>
  <c r="X367" i="17" a="1"/>
  <c r="X367" i="17" s="1"/>
  <c r="Y367" i="17" s="1"/>
  <c r="Q367" i="17" s="1"/>
  <c r="W367" i="17" s="1"/>
  <c r="X397" i="17" a="1"/>
  <c r="X397" i="17" s="1"/>
  <c r="Y397" i="17" s="1"/>
  <c r="Q397" i="17" s="1"/>
  <c r="W397" i="17" s="1"/>
  <c r="X457" i="17" a="1"/>
  <c r="X457" i="17" s="1"/>
  <c r="Y457" i="17" s="1"/>
  <c r="Q457" i="17" s="1"/>
  <c r="W457" i="17" s="1"/>
  <c r="X8" i="17" a="1"/>
  <c r="X8" i="17" s="1"/>
  <c r="X68" i="17" a="1"/>
  <c r="X68" i="17" s="1"/>
  <c r="X69" i="17" a="1"/>
  <c r="X69" i="17" s="1"/>
  <c r="Y69" i="17" s="1"/>
  <c r="Q69" i="17" s="1"/>
  <c r="W69" i="17" s="1"/>
  <c r="X70" i="17" a="1"/>
  <c r="X70" i="17" s="1"/>
  <c r="Y70" i="17" s="1"/>
  <c r="Q70" i="17" s="1"/>
  <c r="W70" i="17" s="1"/>
  <c r="X71" i="17" a="1"/>
  <c r="X71" i="17" s="1"/>
  <c r="X72" i="17" a="1"/>
  <c r="X72" i="17" s="1"/>
  <c r="Y72" i="17" s="1"/>
  <c r="Q72" i="17" s="1"/>
  <c r="W72" i="17" s="1"/>
  <c r="X73" i="17" a="1"/>
  <c r="X73" i="17" s="1"/>
  <c r="X218" i="17" a="1"/>
  <c r="X218" i="17" s="1"/>
  <c r="Y218" i="17" s="1"/>
  <c r="Q218" i="17" s="1"/>
  <c r="W218" i="17" s="1"/>
  <c r="X308" i="17" a="1"/>
  <c r="X308" i="17" s="1"/>
  <c r="X248" i="17" a="1"/>
  <c r="X248" i="17" s="1"/>
  <c r="Y248" i="17" s="1"/>
  <c r="Q248" i="17" s="1"/>
  <c r="W248" i="17" s="1"/>
  <c r="X278" i="17" a="1"/>
  <c r="X278" i="17" s="1"/>
  <c r="Y278" i="17" s="1"/>
  <c r="Q278" i="17" s="1"/>
  <c r="W278" i="17" s="1"/>
  <c r="X338" i="17" a="1"/>
  <c r="X338" i="17" s="1"/>
  <c r="Y338" i="17" s="1"/>
  <c r="Q338" i="17" s="1"/>
  <c r="W338" i="17" s="1"/>
  <c r="X428" i="17" a="1"/>
  <c r="X428" i="17" s="1"/>
  <c r="X368" i="17" a="1"/>
  <c r="X368" i="17" s="1"/>
  <c r="X398" i="17" a="1"/>
  <c r="X398" i="17" s="1"/>
  <c r="Y398" i="17" s="1"/>
  <c r="Q398" i="17" s="1"/>
  <c r="W398" i="17" s="1"/>
  <c r="X458" i="17" a="1"/>
  <c r="X458" i="17" s="1"/>
  <c r="Y458" i="17" s="1"/>
  <c r="X9" i="17" a="1"/>
  <c r="X9" i="17" s="1"/>
  <c r="X74" i="17" a="1"/>
  <c r="X74" i="17" s="1"/>
  <c r="Y74" i="17" s="1"/>
  <c r="Q74" i="17" s="1"/>
  <c r="W74" i="17" s="1"/>
  <c r="X75" i="17" a="1"/>
  <c r="X75" i="17" s="1"/>
  <c r="X76" i="17" a="1"/>
  <c r="X76" i="17" s="1"/>
  <c r="Y76" i="17" s="1"/>
  <c r="Q76" i="17" s="1"/>
  <c r="W76" i="17" s="1"/>
  <c r="X77" i="17" a="1"/>
  <c r="X77" i="17" s="1"/>
  <c r="X78" i="17" a="1"/>
  <c r="X78" i="17" s="1"/>
  <c r="Y78" i="17" s="1"/>
  <c r="Q78" i="17" s="1"/>
  <c r="W78" i="17" s="1"/>
  <c r="X79" i="17" a="1"/>
  <c r="X79" i="17" s="1"/>
  <c r="Y79" i="17" s="1"/>
  <c r="Q79" i="17" s="1"/>
  <c r="W79" i="17" s="1"/>
  <c r="X219" i="17" a="1"/>
  <c r="X219" i="17" s="1"/>
  <c r="Y219" i="17" s="1"/>
  <c r="Q219" i="17" s="1"/>
  <c r="W219" i="17" s="1"/>
  <c r="X309" i="17" a="1"/>
  <c r="X309" i="17" s="1"/>
  <c r="X249" i="17" a="1"/>
  <c r="X249" i="17" s="1"/>
  <c r="Y249" i="17" s="1"/>
  <c r="Q249" i="17" s="1"/>
  <c r="W249" i="17" s="1"/>
  <c r="X279" i="17" a="1"/>
  <c r="X279" i="17" s="1"/>
  <c r="Y279" i="17" s="1"/>
  <c r="X339" i="17" a="1"/>
  <c r="X339" i="17" s="1"/>
  <c r="Y339" i="17" s="1"/>
  <c r="Q339" i="17" s="1"/>
  <c r="W339" i="17" s="1"/>
  <c r="X429" i="17" a="1"/>
  <c r="X429" i="17" s="1"/>
  <c r="X369" i="17" a="1"/>
  <c r="X369" i="17" s="1"/>
  <c r="Y369" i="17" s="1"/>
  <c r="Q369" i="17" s="1"/>
  <c r="W369" i="17" s="1"/>
  <c r="X399" i="17" a="1"/>
  <c r="X399" i="17" s="1"/>
  <c r="Y399" i="17" s="1"/>
  <c r="Q399" i="17" s="1"/>
  <c r="W399" i="17" s="1"/>
  <c r="X459" i="17" a="1"/>
  <c r="X459" i="17"/>
  <c r="X10" i="17" a="1"/>
  <c r="X10" i="17" s="1"/>
  <c r="X80" i="17" a="1"/>
  <c r="X80" i="17"/>
  <c r="X81" i="17" a="1"/>
  <c r="X81" i="17" s="1"/>
  <c r="Y81" i="17" s="1"/>
  <c r="Q81" i="17" s="1"/>
  <c r="W81" i="17" s="1"/>
  <c r="X82" i="17" a="1"/>
  <c r="X82" i="17" s="1"/>
  <c r="Y82" i="17" s="1"/>
  <c r="Q82" i="17" s="1"/>
  <c r="W82" i="17" s="1"/>
  <c r="X83" i="17" a="1"/>
  <c r="X83" i="17" s="1"/>
  <c r="X84" i="17" a="1"/>
  <c r="X84" i="17"/>
  <c r="X85" i="17" a="1"/>
  <c r="X85" i="17" s="1"/>
  <c r="X220" i="17" a="1"/>
  <c r="X220" i="17" s="1"/>
  <c r="Y220" i="17" s="1"/>
  <c r="Q220" i="17" s="1"/>
  <c r="W220" i="17" s="1"/>
  <c r="X310" i="17" a="1"/>
  <c r="X310" i="17" s="1"/>
  <c r="X250" i="17" a="1"/>
  <c r="X250" i="17" s="1"/>
  <c r="Y250" i="17" s="1"/>
  <c r="Q250" i="17" s="1"/>
  <c r="W250" i="17" s="1"/>
  <c r="X280" i="17" a="1"/>
  <c r="X280" i="17" s="1"/>
  <c r="Y280" i="17" s="1"/>
  <c r="Q280" i="17" s="1"/>
  <c r="W280" i="17" s="1"/>
  <c r="X340" i="17" a="1"/>
  <c r="X340" i="17" s="1"/>
  <c r="Y340" i="17" s="1"/>
  <c r="Q340" i="17" s="1"/>
  <c r="W340" i="17" s="1"/>
  <c r="X430" i="17" a="1"/>
  <c r="X430" i="17" s="1"/>
  <c r="X370" i="17" a="1"/>
  <c r="X370" i="17"/>
  <c r="X400" i="17" a="1"/>
  <c r="X400" i="17" s="1"/>
  <c r="X460" i="17" a="1"/>
  <c r="X460" i="17" s="1"/>
  <c r="Y460" i="17" s="1"/>
  <c r="Q460" i="17" s="1"/>
  <c r="W460" i="17" s="1"/>
  <c r="X11" i="17" a="1"/>
  <c r="X11" i="17" s="1"/>
  <c r="X86" i="17" a="1"/>
  <c r="X86" i="17" s="1"/>
  <c r="Y86" i="17" s="1"/>
  <c r="Q86" i="17" s="1"/>
  <c r="W86" i="17" s="1"/>
  <c r="X87" i="17" a="1"/>
  <c r="X87" i="17" s="1"/>
  <c r="Y87" i="17" s="1"/>
  <c r="Q87" i="17" s="1"/>
  <c r="W87" i="17" s="1"/>
  <c r="X88" i="17" a="1"/>
  <c r="X88" i="17"/>
  <c r="Y88" i="17" s="1"/>
  <c r="Q88" i="17" s="1"/>
  <c r="W88" i="17" s="1"/>
  <c r="X89" i="17" a="1"/>
  <c r="X89" i="17" s="1"/>
  <c r="X90" i="17" a="1"/>
  <c r="X90" i="17" s="1"/>
  <c r="Y90" i="17" s="1"/>
  <c r="Q90" i="17" s="1"/>
  <c r="W90" i="17" s="1"/>
  <c r="X91" i="17" a="1"/>
  <c r="X91" i="17"/>
  <c r="X221" i="17" a="1"/>
  <c r="X221" i="17" s="1"/>
  <c r="Y221" i="17" s="1"/>
  <c r="Q221" i="17" s="1"/>
  <c r="W221" i="17" s="1"/>
  <c r="X311" i="17" a="1"/>
  <c r="X311" i="17" s="1"/>
  <c r="X251" i="17" a="1"/>
  <c r="X251" i="17" s="1"/>
  <c r="Y251" i="17" s="1"/>
  <c r="Q251" i="17" s="1"/>
  <c r="W251" i="17" s="1"/>
  <c r="X281" i="17" a="1"/>
  <c r="X281" i="17" s="1"/>
  <c r="Y281" i="17" s="1"/>
  <c r="Q281" i="17" s="1"/>
  <c r="W281" i="17" s="1"/>
  <c r="X341" i="17" a="1"/>
  <c r="X341" i="17" s="1"/>
  <c r="Y341" i="17" s="1"/>
  <c r="Q341" i="17" s="1"/>
  <c r="W341" i="17" s="1"/>
  <c r="X431" i="17" a="1"/>
  <c r="X431" i="17" s="1"/>
  <c r="X371" i="17" a="1"/>
  <c r="X371" i="17" s="1"/>
  <c r="Y371" i="17" s="1"/>
  <c r="Q371" i="17" s="1"/>
  <c r="W371" i="17" s="1"/>
  <c r="X401" i="17" a="1"/>
  <c r="X401" i="17" s="1"/>
  <c r="Y401" i="17" s="1"/>
  <c r="Q401" i="17" s="1"/>
  <c r="W401" i="17" s="1"/>
  <c r="X461" i="17" a="1"/>
  <c r="X461" i="17" s="1"/>
  <c r="Y461" i="17" s="1"/>
  <c r="Q461" i="17" s="1"/>
  <c r="W461" i="17" s="1"/>
  <c r="X12" i="17" a="1"/>
  <c r="X12" i="17" s="1"/>
  <c r="X92" i="17" a="1"/>
  <c r="X92" i="17" s="1"/>
  <c r="Y92" i="17" s="1"/>
  <c r="Q92" i="17" s="1"/>
  <c r="W92" i="17" s="1"/>
  <c r="X93" i="17" a="1"/>
  <c r="X93" i="17" s="1"/>
  <c r="Y93" i="17" s="1"/>
  <c r="Q93" i="17" s="1"/>
  <c r="W93" i="17" s="1"/>
  <c r="X94" i="17" a="1"/>
  <c r="X94" i="17" s="1"/>
  <c r="Y94" i="17" s="1"/>
  <c r="Q94" i="17" s="1"/>
  <c r="W94" i="17" s="1"/>
  <c r="X95" i="17" a="1"/>
  <c r="X95" i="17" s="1"/>
  <c r="X96" i="17" a="1"/>
  <c r="X96" i="17" s="1"/>
  <c r="Y96" i="17" s="1"/>
  <c r="Q96" i="17" s="1"/>
  <c r="W96" i="17" s="1"/>
  <c r="X97" i="17" a="1"/>
  <c r="X97" i="17" s="1"/>
  <c r="Y97" i="17" s="1"/>
  <c r="Q97" i="17" s="1"/>
  <c r="W97" i="17" s="1"/>
  <c r="X222" i="17" a="1"/>
  <c r="X222" i="17" s="1"/>
  <c r="Y222" i="17" s="1"/>
  <c r="Q222" i="17" s="1"/>
  <c r="W222" i="17" s="1"/>
  <c r="X312" i="17" a="1"/>
  <c r="X312" i="17" s="1"/>
  <c r="X252" i="17" a="1"/>
  <c r="X252" i="17" s="1"/>
  <c r="Y252" i="17" s="1"/>
  <c r="Q252" i="17" s="1"/>
  <c r="W252" i="17" s="1"/>
  <c r="X282" i="17" a="1"/>
  <c r="X282" i="17" s="1"/>
  <c r="Y282" i="17" s="1"/>
  <c r="Q282" i="17" s="1"/>
  <c r="W282" i="17" s="1"/>
  <c r="X342" i="17" a="1"/>
  <c r="X342" i="17" s="1"/>
  <c r="Y342" i="17" s="1"/>
  <c r="Q342" i="17" s="1"/>
  <c r="W342" i="17" s="1"/>
  <c r="X432" i="17" a="1"/>
  <c r="X432" i="17" s="1"/>
  <c r="X372" i="17" a="1"/>
  <c r="X372" i="17" s="1"/>
  <c r="Y372" i="17" s="1"/>
  <c r="Q372" i="17" s="1"/>
  <c r="W372" i="17" s="1"/>
  <c r="X402" i="17" a="1"/>
  <c r="X402" i="17" s="1"/>
  <c r="Y402" i="17" s="1"/>
  <c r="Q402" i="17" s="1"/>
  <c r="W402" i="17" s="1"/>
  <c r="X462" i="17" a="1"/>
  <c r="X462" i="17" s="1"/>
  <c r="Y462" i="17" s="1"/>
  <c r="Q462" i="17" s="1"/>
  <c r="W462" i="17" s="1"/>
  <c r="X13" i="17" a="1"/>
  <c r="X13" i="17" s="1"/>
  <c r="Y13" i="17" s="1"/>
  <c r="Q13" i="17" s="1"/>
  <c r="W13" i="17" s="1"/>
  <c r="X98" i="17" a="1"/>
  <c r="X98" i="17" s="1"/>
  <c r="Y98" i="17" s="1"/>
  <c r="Q98" i="17" s="1"/>
  <c r="W98" i="17" s="1"/>
  <c r="X99" i="17" a="1"/>
  <c r="X99" i="17" s="1"/>
  <c r="X100" i="17" a="1"/>
  <c r="X100" i="17" s="1"/>
  <c r="Y100" i="17" s="1"/>
  <c r="Q100" i="17" s="1"/>
  <c r="W100" i="17" s="1"/>
  <c r="X101" i="17" a="1"/>
  <c r="X101" i="17" s="1"/>
  <c r="X102" i="17" a="1"/>
  <c r="X102" i="17" s="1"/>
  <c r="Y102" i="17" s="1"/>
  <c r="Q102" i="17" s="1"/>
  <c r="W102" i="17" s="1"/>
  <c r="X103" i="17" a="1"/>
  <c r="X103" i="17" s="1"/>
  <c r="Y103" i="17" s="1"/>
  <c r="Q103" i="17" s="1"/>
  <c r="W103" i="17" s="1"/>
  <c r="X223" i="17" a="1"/>
  <c r="X223" i="17" s="1"/>
  <c r="Y223" i="17" s="1"/>
  <c r="Q223" i="17" s="1"/>
  <c r="W223" i="17" s="1"/>
  <c r="X313" i="17" a="1"/>
  <c r="X313" i="17" s="1"/>
  <c r="Y313" i="17" s="1"/>
  <c r="Q313" i="17" s="1"/>
  <c r="W313" i="17" s="1"/>
  <c r="X253" i="17" a="1"/>
  <c r="X253" i="17" s="1"/>
  <c r="Y253" i="17" s="1"/>
  <c r="Q253" i="17" s="1"/>
  <c r="W253" i="17" s="1"/>
  <c r="X283" i="17" a="1"/>
  <c r="X283" i="17" s="1"/>
  <c r="Y283" i="17" s="1"/>
  <c r="Q283" i="17" s="1"/>
  <c r="W283" i="17" s="1"/>
  <c r="X343" i="17" a="1"/>
  <c r="X343" i="17" s="1"/>
  <c r="Y343" i="17" s="1"/>
  <c r="Q343" i="17" s="1"/>
  <c r="W343" i="17" s="1"/>
  <c r="X433" i="17" a="1"/>
  <c r="X433" i="17" s="1"/>
  <c r="X373" i="17" a="1"/>
  <c r="X373" i="17" s="1"/>
  <c r="Y373" i="17" s="1"/>
  <c r="Q373" i="17" s="1"/>
  <c r="W373" i="17" s="1"/>
  <c r="X403" i="17" a="1"/>
  <c r="X403" i="17" s="1"/>
  <c r="Y403" i="17" s="1"/>
  <c r="Q403" i="17" s="1"/>
  <c r="W403" i="17" s="1"/>
  <c r="X463" i="17" a="1"/>
  <c r="X463" i="17"/>
  <c r="Y463" i="17" s="1"/>
  <c r="Q463" i="17" s="1"/>
  <c r="W463" i="17" s="1"/>
  <c r="X14" i="17" a="1"/>
  <c r="X14" i="17" s="1"/>
  <c r="X104" i="17" a="1"/>
  <c r="X104" i="17"/>
  <c r="X105" i="17" a="1"/>
  <c r="X105" i="17" s="1"/>
  <c r="Y105" i="17" s="1"/>
  <c r="Q105" i="17" s="1"/>
  <c r="W105" i="17" s="1"/>
  <c r="X106" i="17" a="1"/>
  <c r="X106" i="17" s="1"/>
  <c r="Y106" i="17" s="1"/>
  <c r="Q106" i="17" s="1"/>
  <c r="W106" i="17" s="1"/>
  <c r="X107" i="17" a="1"/>
  <c r="X107" i="17" s="1"/>
  <c r="X108" i="17" a="1"/>
  <c r="X108" i="17"/>
  <c r="Y108" i="17" s="1"/>
  <c r="Q108" i="17" s="1"/>
  <c r="W108" i="17" s="1"/>
  <c r="X109" i="17" a="1"/>
  <c r="X109" i="17" s="1"/>
  <c r="Y109" i="17" s="1"/>
  <c r="Q109" i="17" s="1"/>
  <c r="W109" i="17" s="1"/>
  <c r="X224" i="17" a="1"/>
  <c r="X224" i="17"/>
  <c r="X314" i="17" a="1"/>
  <c r="X314" i="17" s="1"/>
  <c r="X254" i="17" a="1"/>
  <c r="X254" i="17" s="1"/>
  <c r="Y254" i="17" s="1"/>
  <c r="Q254" i="17" s="1"/>
  <c r="W254" i="17" s="1"/>
  <c r="X284" i="17" a="1"/>
  <c r="X284" i="17" s="1"/>
  <c r="Y284" i="17" s="1"/>
  <c r="Q284" i="17" s="1"/>
  <c r="W284" i="17" s="1"/>
  <c r="X344" i="17" a="1"/>
  <c r="X344" i="17" s="1"/>
  <c r="Y344" i="17" s="1"/>
  <c r="Q344" i="17" s="1"/>
  <c r="W344" i="17" s="1"/>
  <c r="X434" i="17" a="1"/>
  <c r="X434" i="17" s="1"/>
  <c r="Y434" i="17" s="1"/>
  <c r="Q434" i="17" s="1"/>
  <c r="W434" i="17" s="1"/>
  <c r="X374" i="17" a="1"/>
  <c r="X374" i="17" s="1"/>
  <c r="Y374" i="17" s="1"/>
  <c r="Q374" i="17" s="1"/>
  <c r="W374" i="17" s="1"/>
  <c r="X404" i="17" a="1"/>
  <c r="X404" i="17" s="1"/>
  <c r="Y404" i="17" s="1"/>
  <c r="Q404" i="17" s="1"/>
  <c r="W404" i="17" s="1"/>
  <c r="X464" i="17" a="1"/>
  <c r="X464" i="17" s="1"/>
  <c r="Y464" i="17" s="1"/>
  <c r="Q464" i="17" s="1"/>
  <c r="W464" i="17" s="1"/>
  <c r="X15" i="17" a="1"/>
  <c r="X15" i="17" s="1"/>
  <c r="X110" i="17" a="1"/>
  <c r="X110" i="17" s="1"/>
  <c r="Y110" i="17" s="1"/>
  <c r="Q110" i="17" s="1"/>
  <c r="W110" i="17" s="1"/>
  <c r="X111" i="17" a="1"/>
  <c r="X111" i="17" s="1"/>
  <c r="Y111" i="17" s="1"/>
  <c r="Q111" i="17" s="1"/>
  <c r="W111" i="17" s="1"/>
  <c r="X112" i="17" a="1"/>
  <c r="X112" i="17" s="1"/>
  <c r="Y112" i="17" s="1"/>
  <c r="Q112" i="17" s="1"/>
  <c r="W112" i="17" s="1"/>
  <c r="X113" i="17" a="1"/>
  <c r="X113" i="17" s="1"/>
  <c r="Y113" i="17" s="1"/>
  <c r="Q113" i="17" s="1"/>
  <c r="W113" i="17" s="1"/>
  <c r="X114" i="17" a="1"/>
  <c r="X114" i="17" s="1"/>
  <c r="Y114" i="17" s="1"/>
  <c r="Q114" i="17" s="1"/>
  <c r="W114" i="17" s="1"/>
  <c r="X115" i="17" a="1"/>
  <c r="X115" i="17" s="1"/>
  <c r="Y115" i="17" s="1"/>
  <c r="Q115" i="17" s="1"/>
  <c r="W115" i="17" s="1"/>
  <c r="X225" i="17" a="1"/>
  <c r="X225" i="17" s="1"/>
  <c r="Y225" i="17" s="1"/>
  <c r="Q225" i="17" s="1"/>
  <c r="W225" i="17" s="1"/>
  <c r="X315" i="17" a="1"/>
  <c r="X315" i="17" s="1"/>
  <c r="X255" i="17" a="1"/>
  <c r="X255" i="17" s="1"/>
  <c r="Y255" i="17" s="1"/>
  <c r="Q255" i="17" s="1"/>
  <c r="W255" i="17" s="1"/>
  <c r="X285" i="17" a="1"/>
  <c r="X285" i="17" s="1"/>
  <c r="Y285" i="17" s="1"/>
  <c r="Q285" i="17" s="1"/>
  <c r="W285" i="17" s="1"/>
  <c r="X345" i="17" a="1"/>
  <c r="X345" i="17" s="1"/>
  <c r="Y345" i="17" s="1"/>
  <c r="Q345" i="17" s="1"/>
  <c r="W345" i="17" s="1"/>
  <c r="X435" i="17" a="1"/>
  <c r="X435" i="17" s="1"/>
  <c r="X375" i="17" a="1"/>
  <c r="X375" i="17" s="1"/>
  <c r="Y375" i="17" s="1"/>
  <c r="Q375" i="17" s="1"/>
  <c r="W375" i="17" s="1"/>
  <c r="X405" i="17" a="1"/>
  <c r="X405" i="17" s="1"/>
  <c r="Y405" i="17" s="1"/>
  <c r="Q405" i="17" s="1"/>
  <c r="W405" i="17" s="1"/>
  <c r="X465" i="17" a="1"/>
  <c r="X465" i="17" s="1"/>
  <c r="Y465" i="17" s="1"/>
  <c r="Q465" i="17" s="1"/>
  <c r="W465" i="17" s="1"/>
  <c r="X16" i="17" a="1"/>
  <c r="X16" i="17" s="1"/>
  <c r="X116" i="17" a="1"/>
  <c r="X116" i="17" s="1"/>
  <c r="Y116" i="17" s="1"/>
  <c r="Q116" i="17" s="1"/>
  <c r="W116" i="17" s="1"/>
  <c r="X117" i="17" a="1"/>
  <c r="X117" i="17" s="1"/>
  <c r="Y117" i="17" s="1"/>
  <c r="Q117" i="17" s="1"/>
  <c r="W117" i="17" s="1"/>
  <c r="X118" i="17" a="1"/>
  <c r="X118" i="17" s="1"/>
  <c r="Y118" i="17" s="1"/>
  <c r="Q118" i="17" s="1"/>
  <c r="W118" i="17" s="1"/>
  <c r="X119" i="17" a="1"/>
  <c r="X119" i="17" s="1"/>
  <c r="X120" i="17" a="1"/>
  <c r="X120" i="17" s="1"/>
  <c r="Y120" i="17" s="1"/>
  <c r="Q120" i="17" s="1"/>
  <c r="W120" i="17" s="1"/>
  <c r="X121" i="17" a="1"/>
  <c r="X121" i="17" s="1"/>
  <c r="Y121" i="17" s="1"/>
  <c r="Q121" i="17" s="1"/>
  <c r="W121" i="17" s="1"/>
  <c r="X226" i="17" a="1"/>
  <c r="X226" i="17" s="1"/>
  <c r="Y226" i="17" s="1"/>
  <c r="Q226" i="17" s="1"/>
  <c r="W226" i="17" s="1"/>
  <c r="X316" i="17" a="1"/>
  <c r="X316" i="17" s="1"/>
  <c r="X256" i="17" a="1"/>
  <c r="X256" i="17" s="1"/>
  <c r="Y256" i="17" s="1"/>
  <c r="Q256" i="17" s="1"/>
  <c r="W256" i="17" s="1"/>
  <c r="X286" i="17" a="1"/>
  <c r="X286" i="17" s="1"/>
  <c r="Y286" i="17" s="1"/>
  <c r="Q286" i="17" s="1"/>
  <c r="W286" i="17" s="1"/>
  <c r="X346" i="17" a="1"/>
  <c r="X346" i="17" s="1"/>
  <c r="Y346" i="17" s="1"/>
  <c r="Q346" i="17" s="1"/>
  <c r="W346" i="17" s="1"/>
  <c r="X436" i="17" a="1"/>
  <c r="X436" i="17" s="1"/>
  <c r="X376" i="17" a="1"/>
  <c r="X376" i="17" s="1"/>
  <c r="Y376" i="17" s="1"/>
  <c r="Q376" i="17" s="1"/>
  <c r="W376" i="17" s="1"/>
  <c r="X406" i="17" a="1"/>
  <c r="X406" i="17" s="1"/>
  <c r="Y406" i="17" s="1"/>
  <c r="Q406" i="17" s="1"/>
  <c r="W406" i="17" s="1"/>
  <c r="X466" i="17" a="1"/>
  <c r="X466" i="17" s="1"/>
  <c r="Y466" i="17" s="1"/>
  <c r="Q466" i="17" s="1"/>
  <c r="W466" i="17" s="1"/>
  <c r="X17" i="17" a="1"/>
  <c r="X17" i="17" s="1"/>
  <c r="Y17" i="17" s="1"/>
  <c r="Q17" i="17" s="1"/>
  <c r="W17" i="17" s="1"/>
  <c r="X122" i="17" a="1"/>
  <c r="X122" i="17" s="1"/>
  <c r="Y122" i="17" s="1"/>
  <c r="Q122" i="17" s="1"/>
  <c r="W122" i="17" s="1"/>
  <c r="X123" i="17" a="1"/>
  <c r="X123" i="17" s="1"/>
  <c r="Y123" i="17" s="1"/>
  <c r="Q123" i="17" s="1"/>
  <c r="W123" i="17" s="1"/>
  <c r="X124" i="17" a="1"/>
  <c r="X124" i="17" s="1"/>
  <c r="Y124" i="17" s="1"/>
  <c r="Q124" i="17" s="1"/>
  <c r="W124" i="17" s="1"/>
  <c r="X125" i="17" a="1"/>
  <c r="X125" i="17" s="1"/>
  <c r="X126" i="17" a="1"/>
  <c r="X126" i="17" s="1"/>
  <c r="Y126" i="17" s="1"/>
  <c r="Q126" i="17" s="1"/>
  <c r="W126" i="17" s="1"/>
  <c r="X127" i="17" a="1"/>
  <c r="X127" i="17" s="1"/>
  <c r="Y127" i="17" s="1"/>
  <c r="Q127" i="17" s="1"/>
  <c r="W127" i="17" s="1"/>
  <c r="X227" i="17" a="1"/>
  <c r="X227" i="17" s="1"/>
  <c r="Y227" i="17" s="1"/>
  <c r="Q227" i="17" s="1"/>
  <c r="W227" i="17" s="1"/>
  <c r="X317" i="17" a="1"/>
  <c r="X317" i="17" s="1"/>
  <c r="Y317" i="17" s="1"/>
  <c r="Q317" i="17" s="1"/>
  <c r="W317" i="17" s="1"/>
  <c r="X257" i="17" a="1"/>
  <c r="X257" i="17" s="1"/>
  <c r="Y257" i="17" s="1"/>
  <c r="Q257" i="17" s="1"/>
  <c r="W257" i="17" s="1"/>
  <c r="X287" i="17" a="1"/>
  <c r="X287" i="17" s="1"/>
  <c r="Y287" i="17" s="1"/>
  <c r="Q287" i="17" s="1"/>
  <c r="W287" i="17" s="1"/>
  <c r="X347" i="17" a="1"/>
  <c r="X347" i="17" s="1"/>
  <c r="Y347" i="17" s="1"/>
  <c r="Q347" i="17" s="1"/>
  <c r="W347" i="17" s="1"/>
  <c r="X437" i="17" a="1"/>
  <c r="X437" i="17" s="1"/>
  <c r="X377" i="17" a="1"/>
  <c r="X377" i="17" s="1"/>
  <c r="Y377" i="17" s="1"/>
  <c r="Q377" i="17" s="1"/>
  <c r="W377" i="17" s="1"/>
  <c r="X407" i="17" a="1"/>
  <c r="X407" i="17" s="1"/>
  <c r="Y407" i="17" s="1"/>
  <c r="Q407" i="17" s="1"/>
  <c r="W407" i="17" s="1"/>
  <c r="X467" i="17" a="1"/>
  <c r="X467" i="17" s="1"/>
  <c r="Y467" i="17" s="1"/>
  <c r="Q467" i="17" s="1"/>
  <c r="W467" i="17" s="1"/>
  <c r="X18" i="17" a="1"/>
  <c r="X18" i="17" s="1"/>
  <c r="Y18" i="17" s="1"/>
  <c r="Q18" i="17" s="1"/>
  <c r="W18" i="17" s="1"/>
  <c r="X128" i="17" a="1"/>
  <c r="X128" i="17" s="1"/>
  <c r="Y128" i="17" s="1"/>
  <c r="Q128" i="17" s="1"/>
  <c r="W128" i="17" s="1"/>
  <c r="X129" i="17" a="1"/>
  <c r="X129" i="17" s="1"/>
  <c r="Y129" i="17" s="1"/>
  <c r="Q129" i="17" s="1"/>
  <c r="W129" i="17" s="1"/>
  <c r="X130" i="17" a="1"/>
  <c r="X130" i="17" s="1"/>
  <c r="Y130" i="17" s="1"/>
  <c r="Q130" i="17" s="1"/>
  <c r="W130" i="17" s="1"/>
  <c r="X131" i="17" a="1"/>
  <c r="X131" i="17" s="1"/>
  <c r="X132" i="17" a="1"/>
  <c r="X132" i="17" s="1"/>
  <c r="Y132" i="17" s="1"/>
  <c r="Q132" i="17" s="1"/>
  <c r="W132" i="17" s="1"/>
  <c r="X133" i="17" a="1"/>
  <c r="X133" i="17" s="1"/>
  <c r="Y133" i="17" s="1"/>
  <c r="Q133" i="17" s="1"/>
  <c r="W133" i="17" s="1"/>
  <c r="X228" i="17" a="1"/>
  <c r="X228" i="17" s="1"/>
  <c r="Y228" i="17" s="1"/>
  <c r="Q228" i="17" s="1"/>
  <c r="W228" i="17" s="1"/>
  <c r="X318" i="17" a="1"/>
  <c r="X318" i="17" s="1"/>
  <c r="X258" i="17" a="1"/>
  <c r="X258" i="17" s="1"/>
  <c r="Y258" i="17" s="1"/>
  <c r="Q258" i="17" s="1"/>
  <c r="W258" i="17" s="1"/>
  <c r="X288" i="17" a="1"/>
  <c r="X288" i="17" s="1"/>
  <c r="Y288" i="17" s="1"/>
  <c r="Q288" i="17" s="1"/>
  <c r="W288" i="17" s="1"/>
  <c r="X348" i="17" a="1"/>
  <c r="X348" i="17" s="1"/>
  <c r="Y348" i="17" s="1"/>
  <c r="Q348" i="17" s="1"/>
  <c r="W348" i="17" s="1"/>
  <c r="X438" i="17" a="1"/>
  <c r="X438" i="17" s="1"/>
  <c r="X378" i="17" a="1"/>
  <c r="X378" i="17" s="1"/>
  <c r="Y378" i="17" s="1"/>
  <c r="Q378" i="17" s="1"/>
  <c r="W378" i="17" s="1"/>
  <c r="X408" i="17" a="1"/>
  <c r="X408" i="17" s="1"/>
  <c r="Y408" i="17" s="1"/>
  <c r="Q408" i="17" s="1"/>
  <c r="W408" i="17" s="1"/>
  <c r="X468" i="17" a="1"/>
  <c r="X468" i="17" s="1"/>
  <c r="Y468" i="17" s="1"/>
  <c r="Q468" i="17" s="1"/>
  <c r="W468" i="17" s="1"/>
  <c r="X19" i="17" a="1"/>
  <c r="X19" i="17" s="1"/>
  <c r="X134" i="17" a="1"/>
  <c r="X134" i="17" s="1"/>
  <c r="Y134" i="17" s="1"/>
  <c r="Q134" i="17" s="1"/>
  <c r="W134" i="17" s="1"/>
  <c r="X135" i="17" a="1"/>
  <c r="X135" i="17" s="1"/>
  <c r="Y135" i="17" s="1"/>
  <c r="Q135" i="17" s="1"/>
  <c r="W135" i="17" s="1"/>
  <c r="X136" i="17" a="1"/>
  <c r="X136" i="17" s="1"/>
  <c r="Y136" i="17" s="1"/>
  <c r="Q136" i="17" s="1"/>
  <c r="W136" i="17" s="1"/>
  <c r="X137" i="17" a="1"/>
  <c r="X137" i="17" s="1"/>
  <c r="Y137" i="17" s="1"/>
  <c r="Q137" i="17" s="1"/>
  <c r="W137" i="17" s="1"/>
  <c r="X138" i="17" a="1"/>
  <c r="X138" i="17" s="1"/>
  <c r="Y138" i="17" s="1"/>
  <c r="Q138" i="17" s="1"/>
  <c r="W138" i="17" s="1"/>
  <c r="X139" i="17" a="1"/>
  <c r="X139" i="17" s="1"/>
  <c r="Y139" i="17" s="1"/>
  <c r="Q139" i="17" s="1"/>
  <c r="W139" i="17" s="1"/>
  <c r="X229" i="17" a="1"/>
  <c r="X229" i="17" s="1"/>
  <c r="Y229" i="17" s="1"/>
  <c r="Q229" i="17" s="1"/>
  <c r="W229" i="17" s="1"/>
  <c r="X319" i="17" a="1"/>
  <c r="X319" i="17" s="1"/>
  <c r="X259" i="17" a="1"/>
  <c r="X259" i="17" s="1"/>
  <c r="Y259" i="17" s="1"/>
  <c r="Q259" i="17" s="1"/>
  <c r="W259" i="17" s="1"/>
  <c r="X289" i="17" a="1"/>
  <c r="X289" i="17" s="1"/>
  <c r="Y289" i="17" s="1"/>
  <c r="Q289" i="17" s="1"/>
  <c r="W289" i="17" s="1"/>
  <c r="X349" i="17" a="1"/>
  <c r="X349" i="17" s="1"/>
  <c r="Y349" i="17" s="1"/>
  <c r="Q349" i="17" s="1"/>
  <c r="W349" i="17" s="1"/>
  <c r="X439" i="17" a="1"/>
  <c r="X439" i="17" s="1"/>
  <c r="X379" i="17" a="1"/>
  <c r="X379" i="17" s="1"/>
  <c r="Y379" i="17" s="1"/>
  <c r="Q379" i="17" s="1"/>
  <c r="W379" i="17" s="1"/>
  <c r="X409" i="17" a="1"/>
  <c r="X409" i="17" s="1"/>
  <c r="Y409" i="17" s="1"/>
  <c r="Q409" i="17" s="1"/>
  <c r="W409" i="17" s="1"/>
  <c r="X469" i="17" a="1"/>
  <c r="X469" i="17" s="1"/>
  <c r="Y469" i="17" s="1"/>
  <c r="Q469" i="17" s="1"/>
  <c r="W469" i="17" s="1"/>
  <c r="X20" i="17" a="1"/>
  <c r="X20" i="17" s="1"/>
  <c r="X140" i="17" a="1"/>
  <c r="X140" i="17" s="1"/>
  <c r="Y140" i="17" s="1"/>
  <c r="Q140" i="17" s="1"/>
  <c r="W140" i="17" s="1"/>
  <c r="X141" i="17" a="1"/>
  <c r="X141" i="17" s="1"/>
  <c r="Y141" i="17" s="1"/>
  <c r="Q141" i="17" s="1"/>
  <c r="W141" i="17" s="1"/>
  <c r="X142" i="17" a="1"/>
  <c r="X142" i="17" s="1"/>
  <c r="Y142" i="17" s="1"/>
  <c r="Q142" i="17" s="1"/>
  <c r="W142" i="17" s="1"/>
  <c r="X143" i="17" a="1"/>
  <c r="X143" i="17" s="1"/>
  <c r="X144" i="17" a="1"/>
  <c r="X144" i="17" s="1"/>
  <c r="Y144" i="17" s="1"/>
  <c r="Q144" i="17" s="1"/>
  <c r="W144" i="17" s="1"/>
  <c r="X145" i="17" a="1"/>
  <c r="X145" i="17" s="1"/>
  <c r="Y145" i="17" s="1"/>
  <c r="Q145" i="17" s="1"/>
  <c r="W145" i="17" s="1"/>
  <c r="X230" i="17" a="1"/>
  <c r="X230" i="17" s="1"/>
  <c r="Y230" i="17" s="1"/>
  <c r="Q230" i="17" s="1"/>
  <c r="W230" i="17" s="1"/>
  <c r="X320" i="17" a="1"/>
  <c r="X320" i="17" s="1"/>
  <c r="X260" i="17" a="1"/>
  <c r="X260" i="17" s="1"/>
  <c r="Y260" i="17" s="1"/>
  <c r="Q260" i="17" s="1"/>
  <c r="W260" i="17" s="1"/>
  <c r="X290" i="17" a="1"/>
  <c r="X290" i="17" s="1"/>
  <c r="Y290" i="17" s="1"/>
  <c r="Q290" i="17" s="1"/>
  <c r="W290" i="17" s="1"/>
  <c r="X350" i="17" a="1"/>
  <c r="X350" i="17" s="1"/>
  <c r="Y350" i="17" s="1"/>
  <c r="Q350" i="17" s="1"/>
  <c r="W350" i="17" s="1"/>
  <c r="X440" i="17" a="1"/>
  <c r="X440" i="17" s="1"/>
  <c r="X380" i="17" a="1"/>
  <c r="X380" i="17" s="1"/>
  <c r="Y380" i="17" s="1"/>
  <c r="Q380" i="17" s="1"/>
  <c r="W380" i="17" s="1"/>
  <c r="X410" i="17" a="1"/>
  <c r="X410" i="17" s="1"/>
  <c r="Y410" i="17" s="1"/>
  <c r="Q410" i="17" s="1"/>
  <c r="W410" i="17" s="1"/>
  <c r="X470" i="17" a="1"/>
  <c r="X470" i="17" s="1"/>
  <c r="Y470" i="17" s="1"/>
  <c r="Q470" i="17" s="1"/>
  <c r="W470" i="17" s="1"/>
  <c r="X21" i="17" a="1"/>
  <c r="X21" i="17" s="1"/>
  <c r="X146" i="17" a="1"/>
  <c r="X146" i="17" s="1"/>
  <c r="Y146" i="17" s="1"/>
  <c r="Q146" i="17" s="1"/>
  <c r="W146" i="17" s="1"/>
  <c r="X147" i="17" a="1"/>
  <c r="X147" i="17" s="1"/>
  <c r="Y147" i="17" s="1"/>
  <c r="Q147" i="17" s="1"/>
  <c r="W147" i="17" s="1"/>
  <c r="X148" i="17" a="1"/>
  <c r="X148" i="17" s="1"/>
  <c r="Y148" i="17" s="1"/>
  <c r="Q148" i="17" s="1"/>
  <c r="W148" i="17" s="1"/>
  <c r="X149" i="17" a="1"/>
  <c r="X149" i="17" s="1"/>
  <c r="X150" i="17" a="1"/>
  <c r="X150" i="17" s="1"/>
  <c r="Y150" i="17" s="1"/>
  <c r="Q150" i="17" s="1"/>
  <c r="W150" i="17" s="1"/>
  <c r="X151" i="17" a="1"/>
  <c r="X151" i="17" s="1"/>
  <c r="Y151" i="17" s="1"/>
  <c r="Q151" i="17" s="1"/>
  <c r="W151" i="17" s="1"/>
  <c r="X231" i="17" a="1"/>
  <c r="X231" i="17" s="1"/>
  <c r="Y231" i="17" s="1"/>
  <c r="Q231" i="17" s="1"/>
  <c r="W231" i="17" s="1"/>
  <c r="X321" i="17" a="1"/>
  <c r="X321" i="17" s="1"/>
  <c r="X261" i="17" a="1"/>
  <c r="X261" i="17" s="1"/>
  <c r="Y261" i="17" s="1"/>
  <c r="Q261" i="17" s="1"/>
  <c r="W261" i="17" s="1"/>
  <c r="X291" i="17" a="1"/>
  <c r="X291" i="17" s="1"/>
  <c r="Y291" i="17" s="1"/>
  <c r="Q291" i="17" s="1"/>
  <c r="W291" i="17" s="1"/>
  <c r="X351" i="17" a="1"/>
  <c r="X351" i="17" s="1"/>
  <c r="Y351" i="17" s="1"/>
  <c r="Q351" i="17" s="1"/>
  <c r="W351" i="17" s="1"/>
  <c r="X441" i="17" a="1"/>
  <c r="X441" i="17" s="1"/>
  <c r="X381" i="17" a="1"/>
  <c r="X381" i="17" s="1"/>
  <c r="Y381" i="17" s="1"/>
  <c r="Q381" i="17" s="1"/>
  <c r="W381" i="17" s="1"/>
  <c r="X411" i="17" a="1"/>
  <c r="X411" i="17" s="1"/>
  <c r="Y411" i="17" s="1"/>
  <c r="Q411" i="17" s="1"/>
  <c r="W411" i="17" s="1"/>
  <c r="X471" i="17" a="1"/>
  <c r="X471" i="17" s="1"/>
  <c r="Y471" i="17" s="1"/>
  <c r="X22" i="17" a="1"/>
  <c r="X22" i="17" s="1"/>
  <c r="X152" i="17" a="1"/>
  <c r="X152" i="17" s="1"/>
  <c r="Y152" i="17" s="1"/>
  <c r="Q152" i="17" s="1"/>
  <c r="W152" i="17" s="1"/>
  <c r="X153" i="17" a="1"/>
  <c r="X153" i="17" s="1"/>
  <c r="Y153" i="17" s="1"/>
  <c r="Q153" i="17" s="1"/>
  <c r="W153" i="17" s="1"/>
  <c r="X154" i="17" a="1"/>
  <c r="X154" i="17" s="1"/>
  <c r="Y154" i="17" s="1"/>
  <c r="Q154" i="17" s="1"/>
  <c r="W154" i="17" s="1"/>
  <c r="X155" i="17" a="1"/>
  <c r="X155" i="17" s="1"/>
  <c r="X156" i="17" a="1"/>
  <c r="X156" i="17" s="1"/>
  <c r="Y156" i="17" s="1"/>
  <c r="Q156" i="17" s="1"/>
  <c r="W156" i="17" s="1"/>
  <c r="X157" i="17" a="1"/>
  <c r="X157" i="17" s="1"/>
  <c r="Y157" i="17" s="1"/>
  <c r="Q157" i="17" s="1"/>
  <c r="W157" i="17" s="1"/>
  <c r="X232" i="17" a="1"/>
  <c r="X232" i="17"/>
  <c r="X322" i="17" a="1"/>
  <c r="X322" i="17" s="1"/>
  <c r="X262" i="17" a="1"/>
  <c r="X262" i="17" s="1"/>
  <c r="Y262" i="17" s="1"/>
  <c r="Q262" i="17" s="1"/>
  <c r="W262" i="17" s="1"/>
  <c r="X292" i="17" a="1"/>
  <c r="X292" i="17" s="1"/>
  <c r="Y292" i="17" s="1"/>
  <c r="Q292" i="17" s="1"/>
  <c r="W292" i="17" s="1"/>
  <c r="X352" i="17" a="1"/>
  <c r="X352" i="17" s="1"/>
  <c r="Y352" i="17" s="1"/>
  <c r="Q352" i="17" s="1"/>
  <c r="W352" i="17" s="1"/>
  <c r="X442" i="17" a="1"/>
  <c r="X442" i="17" s="1"/>
  <c r="X382" i="17" a="1"/>
  <c r="X382" i="17" s="1"/>
  <c r="Y382" i="17" s="1"/>
  <c r="Q382" i="17" s="1"/>
  <c r="W382" i="17" s="1"/>
  <c r="X412" i="17" a="1"/>
  <c r="X412" i="17"/>
  <c r="Y412" i="17" s="1"/>
  <c r="Q412" i="17" s="1"/>
  <c r="W412" i="17" s="1"/>
  <c r="X472" i="17" a="1"/>
  <c r="X472" i="17" s="1"/>
  <c r="Y472" i="17" s="1"/>
  <c r="Q472" i="17" s="1"/>
  <c r="W472" i="17" s="1"/>
  <c r="X23" i="17" a="1"/>
  <c r="X23" i="17" s="1"/>
  <c r="X158" i="17" a="1"/>
  <c r="X158" i="17" s="1"/>
  <c r="Y158" i="17" s="1"/>
  <c r="Q158" i="17" s="1"/>
  <c r="W158" i="17" s="1"/>
  <c r="X159" i="17" a="1"/>
  <c r="X159" i="17" s="1"/>
  <c r="Y159" i="17" s="1"/>
  <c r="Q159" i="17" s="1"/>
  <c r="W159" i="17" s="1"/>
  <c r="X160" i="17" a="1"/>
  <c r="X160" i="17" s="1"/>
  <c r="Y160" i="17" s="1"/>
  <c r="Q160" i="17" s="1"/>
  <c r="W160" i="17" s="1"/>
  <c r="X161" i="17" a="1"/>
  <c r="X161" i="17" s="1"/>
  <c r="X162" i="17" a="1"/>
  <c r="X162" i="17"/>
  <c r="Y162" i="17" s="1"/>
  <c r="Q162" i="17" s="1"/>
  <c r="W162" i="17" s="1"/>
  <c r="X163" i="17" a="1"/>
  <c r="X163" i="17" s="1"/>
  <c r="Y163" i="17" s="1"/>
  <c r="Q163" i="17" s="1"/>
  <c r="W163" i="17" s="1"/>
  <c r="X233" i="17" a="1"/>
  <c r="X233" i="17"/>
  <c r="X323" i="17" a="1"/>
  <c r="X323" i="17" s="1"/>
  <c r="X263" i="17" a="1"/>
  <c r="X263" i="17" s="1"/>
  <c r="Y263" i="17" s="1"/>
  <c r="Q263" i="17" s="1"/>
  <c r="W263" i="17" s="1"/>
  <c r="X293" i="17" a="1"/>
  <c r="X293" i="17" s="1"/>
  <c r="Y293" i="17" s="1"/>
  <c r="Q293" i="17" s="1"/>
  <c r="W293" i="17" s="1"/>
  <c r="X353" i="17" a="1"/>
  <c r="X353" i="17" s="1"/>
  <c r="Y353" i="17" s="1"/>
  <c r="Q353" i="17" s="1"/>
  <c r="W353" i="17" s="1"/>
  <c r="X443" i="17" a="1"/>
  <c r="X443" i="17" s="1"/>
  <c r="Y443" i="17" s="1"/>
  <c r="Q443" i="17" s="1"/>
  <c r="W443" i="17" s="1"/>
  <c r="X383" i="17" a="1"/>
  <c r="X383" i="17" s="1"/>
  <c r="Y383" i="17" s="1"/>
  <c r="Q383" i="17" s="1"/>
  <c r="W383" i="17" s="1"/>
  <c r="X413" i="17" a="1"/>
  <c r="X413" i="17" s="1"/>
  <c r="Y413" i="17" s="1"/>
  <c r="Q413" i="17" s="1"/>
  <c r="W413" i="17" s="1"/>
  <c r="X473" i="17" a="1"/>
  <c r="X473" i="17" s="1"/>
  <c r="Y473" i="17" s="1"/>
  <c r="Q473" i="17" s="1"/>
  <c r="W473" i="17" s="1"/>
  <c r="X24" i="17" a="1"/>
  <c r="X24" i="17" s="1"/>
  <c r="Y24" i="17" s="1"/>
  <c r="Q24" i="17" s="1"/>
  <c r="W24" i="17" s="1"/>
  <c r="X164" i="17" a="1"/>
  <c r="X164" i="17" s="1"/>
  <c r="Y164" i="17" s="1"/>
  <c r="Q164" i="17" s="1"/>
  <c r="W164" i="17" s="1"/>
  <c r="X165" i="17" a="1"/>
  <c r="X165" i="17" s="1"/>
  <c r="Y165" i="17" s="1"/>
  <c r="Q165" i="17" s="1"/>
  <c r="W165" i="17" s="1"/>
  <c r="X166" i="17" a="1"/>
  <c r="X166" i="17" s="1"/>
  <c r="Y166" i="17" s="1"/>
  <c r="Q166" i="17" s="1"/>
  <c r="W166" i="17" s="1"/>
  <c r="X167" i="17" a="1"/>
  <c r="X167" i="17" s="1"/>
  <c r="Y167" i="17" s="1"/>
  <c r="Q167" i="17" s="1"/>
  <c r="W167" i="17" s="1"/>
  <c r="X168" i="17" a="1"/>
  <c r="X168" i="17" s="1"/>
  <c r="Y168" i="17" s="1"/>
  <c r="Q168" i="17" s="1"/>
  <c r="W168" i="17" s="1"/>
  <c r="X169" i="17" a="1"/>
  <c r="X169" i="17" s="1"/>
  <c r="Y169" i="17" s="1"/>
  <c r="Q169" i="17" s="1"/>
  <c r="W169" i="17" s="1"/>
  <c r="X234" i="17" a="1"/>
  <c r="X234" i="17" s="1"/>
  <c r="Y234" i="17" s="1"/>
  <c r="Q234" i="17" s="1"/>
  <c r="W234" i="17" s="1"/>
  <c r="X324" i="17" a="1"/>
  <c r="X324" i="17" s="1"/>
  <c r="Y324" i="17" s="1"/>
  <c r="Q324" i="17" s="1"/>
  <c r="W324" i="17" s="1"/>
  <c r="X264" i="17" a="1"/>
  <c r="X264" i="17" s="1"/>
  <c r="Y264" i="17" s="1"/>
  <c r="Q264" i="17" s="1"/>
  <c r="W264" i="17" s="1"/>
  <c r="X294" i="17" a="1"/>
  <c r="X294" i="17" s="1"/>
  <c r="Y294" i="17" s="1"/>
  <c r="Q294" i="17" s="1"/>
  <c r="W294" i="17" s="1"/>
  <c r="X354" i="17" a="1"/>
  <c r="X354" i="17" s="1"/>
  <c r="Y354" i="17" s="1"/>
  <c r="Q354" i="17" s="1"/>
  <c r="W354" i="17" s="1"/>
  <c r="X444" i="17" a="1"/>
  <c r="X444" i="17" s="1"/>
  <c r="Y444" i="17" s="1"/>
  <c r="Q444" i="17" s="1"/>
  <c r="W444" i="17" s="1"/>
  <c r="X384" i="17" a="1"/>
  <c r="X384" i="17" s="1"/>
  <c r="Y384" i="17" s="1"/>
  <c r="Q384" i="17" s="1"/>
  <c r="W384" i="17" s="1"/>
  <c r="X414" i="17" a="1"/>
  <c r="X414" i="17" s="1"/>
  <c r="Y414" i="17" s="1"/>
  <c r="Q414" i="17" s="1"/>
  <c r="W414" i="17" s="1"/>
  <c r="X474" i="17" a="1"/>
  <c r="X474" i="17" s="1"/>
  <c r="Y474" i="17" s="1"/>
  <c r="Q474" i="17" s="1"/>
  <c r="W474" i="17" s="1"/>
  <c r="X25" i="17" a="1"/>
  <c r="X25" i="17" s="1"/>
  <c r="Y25" i="17" s="1"/>
  <c r="Q25" i="17" s="1"/>
  <c r="W25" i="17" s="1"/>
  <c r="X170" i="17" a="1"/>
  <c r="X170" i="17" s="1"/>
  <c r="Y170" i="17" s="1"/>
  <c r="Q170" i="17" s="1"/>
  <c r="W170" i="17" s="1"/>
  <c r="X171" i="17" a="1"/>
  <c r="X171" i="17" s="1"/>
  <c r="Y171" i="17" s="1"/>
  <c r="Q171" i="17" s="1"/>
  <c r="W171" i="17" s="1"/>
  <c r="X172" i="17" a="1"/>
  <c r="X172" i="17" s="1"/>
  <c r="Y172" i="17" s="1"/>
  <c r="Q172" i="17" s="1"/>
  <c r="W172" i="17" s="1"/>
  <c r="X173" i="17" a="1"/>
  <c r="X173" i="17" s="1"/>
  <c r="Y173" i="17" s="1"/>
  <c r="Q173" i="17" s="1"/>
  <c r="W173" i="17" s="1"/>
  <c r="X174" i="17" a="1"/>
  <c r="X174" i="17" s="1"/>
  <c r="Y174" i="17" s="1"/>
  <c r="Q174" i="17" s="1"/>
  <c r="W174" i="17" s="1"/>
  <c r="X175" i="17" a="1"/>
  <c r="X175" i="17" s="1"/>
  <c r="Y175" i="17" s="1"/>
  <c r="Q175" i="17" s="1"/>
  <c r="W175" i="17" s="1"/>
  <c r="X235" i="17" a="1"/>
  <c r="X235" i="17" s="1"/>
  <c r="Y235" i="17" s="1"/>
  <c r="Q235" i="17" s="1"/>
  <c r="W235" i="17" s="1"/>
  <c r="X325" i="17" a="1"/>
  <c r="X325" i="17" s="1"/>
  <c r="Y325" i="17" s="1"/>
  <c r="Q325" i="17" s="1"/>
  <c r="W325" i="17" s="1"/>
  <c r="X265" i="17" a="1"/>
  <c r="X265" i="17" s="1"/>
  <c r="Y265" i="17" s="1"/>
  <c r="Q265" i="17" s="1"/>
  <c r="W265" i="17" s="1"/>
  <c r="X295" i="17" a="1"/>
  <c r="X295" i="17" s="1"/>
  <c r="Y295" i="17" s="1"/>
  <c r="Q295" i="17" s="1"/>
  <c r="W295" i="17" s="1"/>
  <c r="X355" i="17" a="1"/>
  <c r="X355" i="17" s="1"/>
  <c r="Y355" i="17" s="1"/>
  <c r="Q355" i="17" s="1"/>
  <c r="W355" i="17" s="1"/>
  <c r="X445" i="17" a="1"/>
  <c r="X445" i="17" s="1"/>
  <c r="Y445" i="17" s="1"/>
  <c r="Q445" i="17" s="1"/>
  <c r="W445" i="17" s="1"/>
  <c r="X385" i="17" a="1"/>
  <c r="X385" i="17" s="1"/>
  <c r="Y385" i="17" s="1"/>
  <c r="Q385" i="17" s="1"/>
  <c r="W385" i="17" s="1"/>
  <c r="X415" i="17" a="1"/>
  <c r="X415" i="17" s="1"/>
  <c r="Y415" i="17" s="1"/>
  <c r="Q415" i="17" s="1"/>
  <c r="W415" i="17" s="1"/>
  <c r="X475" i="17" a="1"/>
  <c r="X475" i="17" s="1"/>
  <c r="X26" i="17" a="1"/>
  <c r="X26" i="17" s="1"/>
  <c r="Y26" i="17" s="1"/>
  <c r="Q26" i="17" s="1"/>
  <c r="W26" i="17" s="1"/>
  <c r="X176" i="17" a="1"/>
  <c r="X176" i="17" s="1"/>
  <c r="Y176" i="17" s="1"/>
  <c r="Q176" i="17" s="1"/>
  <c r="W176" i="17" s="1"/>
  <c r="X177" i="17" a="1"/>
  <c r="X177" i="17" s="1"/>
  <c r="Y177" i="17" s="1"/>
  <c r="Q177" i="17" s="1"/>
  <c r="W177" i="17" s="1"/>
  <c r="X178" i="17" a="1"/>
  <c r="X178" i="17" s="1"/>
  <c r="Y178" i="17" s="1"/>
  <c r="Q178" i="17" s="1"/>
  <c r="W178" i="17" s="1"/>
  <c r="X179" i="17" a="1"/>
  <c r="X179" i="17" s="1"/>
  <c r="Y179" i="17" s="1"/>
  <c r="Q179" i="17" s="1"/>
  <c r="W179" i="17" s="1"/>
  <c r="X180" i="17" a="1"/>
  <c r="X180" i="17" s="1"/>
  <c r="Y180" i="17" s="1"/>
  <c r="Q180" i="17" s="1"/>
  <c r="W180" i="17" s="1"/>
  <c r="X181" i="17" a="1"/>
  <c r="X181" i="17" s="1"/>
  <c r="Y181" i="17" s="1"/>
  <c r="Q181" i="17" s="1"/>
  <c r="W181" i="17" s="1"/>
  <c r="X236" i="17" a="1"/>
  <c r="X236" i="17" s="1"/>
  <c r="Y236" i="17" s="1"/>
  <c r="Q236" i="17" s="1"/>
  <c r="W236" i="17" s="1"/>
  <c r="X326" i="17" a="1"/>
  <c r="X326" i="17" s="1"/>
  <c r="Y326" i="17" s="1"/>
  <c r="Q326" i="17" s="1"/>
  <c r="W326" i="17" s="1"/>
  <c r="X266" i="17" a="1"/>
  <c r="X266" i="17" s="1"/>
  <c r="Y266" i="17" s="1"/>
  <c r="Q266" i="17" s="1"/>
  <c r="W266" i="17" s="1"/>
  <c r="X296" i="17" a="1"/>
  <c r="X296" i="17" s="1"/>
  <c r="Y296" i="17" s="1"/>
  <c r="Q296" i="17" s="1"/>
  <c r="W296" i="17" s="1"/>
  <c r="X356" i="17" a="1"/>
  <c r="X356" i="17" s="1"/>
  <c r="Y356" i="17" s="1"/>
  <c r="Q356" i="17" s="1"/>
  <c r="W356" i="17" s="1"/>
  <c r="X446" i="17" a="1"/>
  <c r="X446" i="17" s="1"/>
  <c r="Y446" i="17" s="1"/>
  <c r="Q446" i="17" s="1"/>
  <c r="W446" i="17" s="1"/>
  <c r="X386" i="17" a="1"/>
  <c r="X386" i="17" s="1"/>
  <c r="Y386" i="17" s="1"/>
  <c r="Q386" i="17" s="1"/>
  <c r="W386" i="17" s="1"/>
  <c r="X416" i="17" a="1"/>
  <c r="X416" i="17" s="1"/>
  <c r="Y416" i="17" s="1"/>
  <c r="Q416" i="17" s="1"/>
  <c r="W416" i="17" s="1"/>
  <c r="X476" i="17" a="1"/>
  <c r="X476" i="17" s="1"/>
  <c r="Y476" i="17" s="1"/>
  <c r="X27" i="17" a="1"/>
  <c r="X27" i="17" s="1"/>
  <c r="Y27" i="17" s="1"/>
  <c r="Q27" i="17" s="1"/>
  <c r="W27" i="17" s="1"/>
  <c r="X182" i="17" a="1"/>
  <c r="X182" i="17" s="1"/>
  <c r="Y182" i="17" s="1"/>
  <c r="Q182" i="17" s="1"/>
  <c r="W182" i="17" s="1"/>
  <c r="X183" i="17" a="1"/>
  <c r="X183" i="17" s="1"/>
  <c r="Y183" i="17" s="1"/>
  <c r="Q183" i="17" s="1"/>
  <c r="W183" i="17" s="1"/>
  <c r="X184" i="17" a="1"/>
  <c r="X184" i="17" s="1"/>
  <c r="Y184" i="17" s="1"/>
  <c r="Q184" i="17" s="1"/>
  <c r="W184" i="17" s="1"/>
  <c r="X185" i="17" a="1"/>
  <c r="X185" i="17" s="1"/>
  <c r="Y185" i="17" s="1"/>
  <c r="Q185" i="17" s="1"/>
  <c r="W185" i="17" s="1"/>
  <c r="X186" i="17" a="1"/>
  <c r="X186" i="17" s="1"/>
  <c r="Y186" i="17" s="1"/>
  <c r="Q186" i="17" s="1"/>
  <c r="W186" i="17" s="1"/>
  <c r="X187" i="17" a="1"/>
  <c r="X187" i="17" s="1"/>
  <c r="Y187" i="17" s="1"/>
  <c r="Q187" i="17" s="1"/>
  <c r="W187" i="17" s="1"/>
  <c r="X237" i="17" a="1"/>
  <c r="X237" i="17" s="1"/>
  <c r="Y237" i="17" s="1"/>
  <c r="Q237" i="17" s="1"/>
  <c r="W237" i="17" s="1"/>
  <c r="X327" i="17" a="1"/>
  <c r="X327" i="17" s="1"/>
  <c r="Y327" i="17" s="1"/>
  <c r="Q327" i="17" s="1"/>
  <c r="W327" i="17" s="1"/>
  <c r="X267" i="17" a="1"/>
  <c r="X267" i="17" s="1"/>
  <c r="Y267" i="17" s="1"/>
  <c r="Q267" i="17" s="1"/>
  <c r="W267" i="17" s="1"/>
  <c r="X297" i="17" a="1"/>
  <c r="X297" i="17" s="1"/>
  <c r="Y297" i="17" s="1"/>
  <c r="Q297" i="17" s="1"/>
  <c r="W297" i="17" s="1"/>
  <c r="X357" i="17" a="1"/>
  <c r="X357" i="17" s="1"/>
  <c r="Y357" i="17" s="1"/>
  <c r="Q357" i="17" s="1"/>
  <c r="W357" i="17" s="1"/>
  <c r="X447" i="17" a="1"/>
  <c r="X447" i="17" s="1"/>
  <c r="Y447" i="17" s="1"/>
  <c r="Q447" i="17" s="1"/>
  <c r="W447" i="17" s="1"/>
  <c r="X387" i="17" a="1"/>
  <c r="X387" i="17" s="1"/>
  <c r="Y387" i="17" s="1"/>
  <c r="Q387" i="17" s="1"/>
  <c r="W387" i="17" s="1"/>
  <c r="X417" i="17" a="1"/>
  <c r="X417" i="17" s="1"/>
  <c r="Y417" i="17" s="1"/>
  <c r="Q417" i="17" s="1"/>
  <c r="W417" i="17" s="1"/>
  <c r="X477" i="17" a="1"/>
  <c r="X477" i="17" s="1"/>
  <c r="Y477" i="17" s="1"/>
  <c r="Q477" i="17" s="1"/>
  <c r="W477" i="17" s="1"/>
  <c r="X28" i="17" a="1"/>
  <c r="X28" i="17" s="1"/>
  <c r="Y28" i="17" s="1"/>
  <c r="Q28" i="17" s="1"/>
  <c r="W28" i="17" s="1"/>
  <c r="X188" i="17" a="1"/>
  <c r="X188" i="17" s="1"/>
  <c r="Y188" i="17" s="1"/>
  <c r="Q188" i="17" s="1"/>
  <c r="W188" i="17" s="1"/>
  <c r="X189" i="17" a="1"/>
  <c r="X189" i="17" s="1"/>
  <c r="Y189" i="17" s="1"/>
  <c r="Q189" i="17" s="1"/>
  <c r="W189" i="17" s="1"/>
  <c r="X190" i="17" a="1"/>
  <c r="X190" i="17" s="1"/>
  <c r="Y190" i="17" s="1"/>
  <c r="Q190" i="17" s="1"/>
  <c r="W190" i="17" s="1"/>
  <c r="X191" i="17" a="1"/>
  <c r="X191" i="17" s="1"/>
  <c r="Y191" i="17" s="1"/>
  <c r="Q191" i="17" s="1"/>
  <c r="W191" i="17" s="1"/>
  <c r="X192" i="17" a="1"/>
  <c r="X192" i="17" s="1"/>
  <c r="Y192" i="17" s="1"/>
  <c r="Q192" i="17" s="1"/>
  <c r="W192" i="17" s="1"/>
  <c r="X193" i="17" a="1"/>
  <c r="X193" i="17" s="1"/>
  <c r="Y193" i="17" s="1"/>
  <c r="X238" i="17" a="1"/>
  <c r="X238" i="17" s="1"/>
  <c r="Y238" i="17" s="1"/>
  <c r="Q238" i="17" s="1"/>
  <c r="W238" i="17" s="1"/>
  <c r="X328" i="17" a="1"/>
  <c r="X328" i="17" s="1"/>
  <c r="Y328" i="17" s="1"/>
  <c r="Q328" i="17" s="1"/>
  <c r="W328" i="17" s="1"/>
  <c r="X268" i="17" a="1"/>
  <c r="X268" i="17" s="1"/>
  <c r="Y268" i="17" s="1"/>
  <c r="Q268" i="17" s="1"/>
  <c r="W268" i="17" s="1"/>
  <c r="X298" i="17" a="1"/>
  <c r="X298" i="17" s="1"/>
  <c r="Y298" i="17" s="1"/>
  <c r="Q298" i="17" s="1"/>
  <c r="W298" i="17" s="1"/>
  <c r="X358" i="17" a="1"/>
  <c r="X358" i="17" s="1"/>
  <c r="Y358" i="17" s="1"/>
  <c r="Q358" i="17" s="1"/>
  <c r="W358" i="17" s="1"/>
  <c r="X448" i="17" a="1"/>
  <c r="X448" i="17" s="1"/>
  <c r="Y448" i="17" s="1"/>
  <c r="Q448" i="17" s="1"/>
  <c r="W448" i="17" s="1"/>
  <c r="X388" i="17" a="1"/>
  <c r="X388" i="17" s="1"/>
  <c r="Y388" i="17" s="1"/>
  <c r="Q388" i="17" s="1"/>
  <c r="W388" i="17" s="1"/>
  <c r="X418" i="17" a="1"/>
  <c r="X418" i="17" s="1"/>
  <c r="Y418" i="17" s="1"/>
  <c r="Q418" i="17" s="1"/>
  <c r="W418" i="17" s="1"/>
  <c r="X478" i="17" a="1"/>
  <c r="X478" i="17" s="1"/>
  <c r="Y478" i="17" s="1"/>
  <c r="Q478" i="17" s="1"/>
  <c r="W478" i="17" s="1"/>
  <c r="X29" i="17" a="1"/>
  <c r="X29" i="17" s="1"/>
  <c r="Y29" i="17" s="1"/>
  <c r="Q29" i="17" s="1"/>
  <c r="W29" i="17" s="1"/>
  <c r="X194" i="17" a="1"/>
  <c r="X194" i="17" s="1"/>
  <c r="Y194" i="17" s="1"/>
  <c r="Q194" i="17" s="1"/>
  <c r="W194" i="17" s="1"/>
  <c r="X195" i="17" a="1"/>
  <c r="X195" i="17" s="1"/>
  <c r="Y195" i="17" s="1"/>
  <c r="Q195" i="17" s="1"/>
  <c r="W195" i="17" s="1"/>
  <c r="X196" i="17" a="1"/>
  <c r="X196" i="17" s="1"/>
  <c r="Y196" i="17" s="1"/>
  <c r="Q196" i="17" s="1"/>
  <c r="W196" i="17" s="1"/>
  <c r="X197" i="17" a="1"/>
  <c r="X197" i="17" s="1"/>
  <c r="Y197" i="17" s="1"/>
  <c r="Q197" i="17" s="1"/>
  <c r="W197" i="17" s="1"/>
  <c r="X198" i="17" a="1"/>
  <c r="X198" i="17" s="1"/>
  <c r="Y198" i="17" s="1"/>
  <c r="Q198" i="17" s="1"/>
  <c r="W198" i="17" s="1"/>
  <c r="X199" i="17" a="1"/>
  <c r="X199" i="17" s="1"/>
  <c r="Y199" i="17" s="1"/>
  <c r="Q199" i="17" s="1"/>
  <c r="W199" i="17" s="1"/>
  <c r="X239" i="17" a="1"/>
  <c r="X239" i="17" s="1"/>
  <c r="Y239" i="17" s="1"/>
  <c r="Q239" i="17" s="1"/>
  <c r="W239" i="17" s="1"/>
  <c r="X329" i="17" a="1"/>
  <c r="X329" i="17" s="1"/>
  <c r="Y329" i="17" s="1"/>
  <c r="Q329" i="17" s="1"/>
  <c r="W329" i="17" s="1"/>
  <c r="X269" i="17" a="1"/>
  <c r="X269" i="17" s="1"/>
  <c r="Y269" i="17" s="1"/>
  <c r="Q269" i="17" s="1"/>
  <c r="W269" i="17" s="1"/>
  <c r="X299" i="17" a="1"/>
  <c r="X299" i="17" s="1"/>
  <c r="Y299" i="17" s="1"/>
  <c r="Q299" i="17" s="1"/>
  <c r="W299" i="17" s="1"/>
  <c r="X359" i="17" a="1"/>
  <c r="X359" i="17" s="1"/>
  <c r="Y359" i="17" s="1"/>
  <c r="Q359" i="17" s="1"/>
  <c r="W359" i="17" s="1"/>
  <c r="X449" i="17" a="1"/>
  <c r="X449" i="17" s="1"/>
  <c r="Y449" i="17" s="1"/>
  <c r="Q449" i="17" s="1"/>
  <c r="W449" i="17" s="1"/>
  <c r="X389" i="17" a="1"/>
  <c r="X389" i="17" s="1"/>
  <c r="Y389" i="17" s="1"/>
  <c r="Q389" i="17" s="1"/>
  <c r="W389" i="17" s="1"/>
  <c r="X419" i="17" a="1"/>
  <c r="X419" i="17" s="1"/>
  <c r="Y419" i="17" s="1"/>
  <c r="Q419" i="17" s="1"/>
  <c r="W419" i="17" s="1"/>
  <c r="X479" i="17" a="1"/>
  <c r="X479" i="17" s="1"/>
  <c r="Y479" i="17" s="1"/>
  <c r="Q479" i="17" s="1"/>
  <c r="W479" i="17" s="1"/>
  <c r="X30" i="17" a="1"/>
  <c r="X30" i="17" s="1"/>
  <c r="Y30" i="17" s="1"/>
  <c r="Q30" i="17" s="1"/>
  <c r="W30" i="17" s="1"/>
  <c r="X200" i="17" a="1"/>
  <c r="X200" i="17" s="1"/>
  <c r="Y200" i="17" s="1"/>
  <c r="Q200" i="17" s="1"/>
  <c r="W200" i="17" s="1"/>
  <c r="X201" i="17" a="1"/>
  <c r="X201" i="17" s="1"/>
  <c r="Y201" i="17" s="1"/>
  <c r="Q201" i="17" s="1"/>
  <c r="W201" i="17" s="1"/>
  <c r="X202" i="17" a="1"/>
  <c r="X202" i="17" s="1"/>
  <c r="Y202" i="17" s="1"/>
  <c r="Q202" i="17" s="1"/>
  <c r="W202" i="17" s="1"/>
  <c r="X203" i="17" a="1"/>
  <c r="X203" i="17" s="1"/>
  <c r="Y203" i="17" s="1"/>
  <c r="Q203" i="17" s="1"/>
  <c r="W203" i="17" s="1"/>
  <c r="X204" i="17" a="1"/>
  <c r="X204" i="17" s="1"/>
  <c r="Y204" i="17" s="1"/>
  <c r="Q204" i="17" s="1"/>
  <c r="W204" i="17" s="1"/>
  <c r="X205" i="17" a="1"/>
  <c r="X205" i="17" s="1"/>
  <c r="Y205" i="17" s="1"/>
  <c r="Q205" i="17" s="1"/>
  <c r="W205" i="17" s="1"/>
  <c r="X240" i="17" a="1"/>
  <c r="X240" i="17" s="1"/>
  <c r="Y240" i="17" s="1"/>
  <c r="Q240" i="17" s="1"/>
  <c r="W240" i="17" s="1"/>
  <c r="X330" i="17" a="1"/>
  <c r="X330" i="17" s="1"/>
  <c r="Y330" i="17" s="1"/>
  <c r="Q330" i="17" s="1"/>
  <c r="W330" i="17" s="1"/>
  <c r="X270" i="17" a="1"/>
  <c r="X270" i="17" s="1"/>
  <c r="Y270" i="17" s="1"/>
  <c r="Q270" i="17" s="1"/>
  <c r="W270" i="17" s="1"/>
  <c r="X300" i="17" a="1"/>
  <c r="X300" i="17" s="1"/>
  <c r="Y300" i="17" s="1"/>
  <c r="Q300" i="17" s="1"/>
  <c r="W300" i="17" s="1"/>
  <c r="X360" i="17" a="1"/>
  <c r="X360" i="17" s="1"/>
  <c r="Y360" i="17" s="1"/>
  <c r="Q360" i="17" s="1"/>
  <c r="W360" i="17" s="1"/>
  <c r="X450" i="17" a="1"/>
  <c r="X450" i="17" s="1"/>
  <c r="Y450" i="17" s="1"/>
  <c r="Q450" i="17" s="1"/>
  <c r="W450" i="17" s="1"/>
  <c r="X390" i="17" a="1"/>
  <c r="X390" i="17" s="1"/>
  <c r="Y390" i="17" s="1"/>
  <c r="Q390" i="17" s="1"/>
  <c r="W390" i="17" s="1"/>
  <c r="X420" i="17" a="1"/>
  <c r="X420" i="17" s="1"/>
  <c r="Y420" i="17" s="1"/>
  <c r="Q420" i="17" s="1"/>
  <c r="W420" i="17" s="1"/>
  <c r="X480" i="17" a="1"/>
  <c r="X480" i="17" s="1"/>
  <c r="Y480" i="17" s="1"/>
  <c r="Q480" i="17" s="1"/>
  <c r="W480" i="17" s="1"/>
  <c r="X31" i="17" a="1"/>
  <c r="X31" i="17" s="1"/>
  <c r="Y31" i="17" s="1"/>
  <c r="Q31" i="17" s="1"/>
  <c r="W31" i="17" s="1"/>
  <c r="X206" i="17" a="1"/>
  <c r="X206" i="17" s="1"/>
  <c r="Y206" i="17" s="1"/>
  <c r="Q206" i="17" s="1"/>
  <c r="W206" i="17" s="1"/>
  <c r="X207" i="17" a="1"/>
  <c r="X207" i="17" s="1"/>
  <c r="Y207" i="17" s="1"/>
  <c r="Q207" i="17" s="1"/>
  <c r="W207" i="17" s="1"/>
  <c r="X208" i="17" a="1"/>
  <c r="X208" i="17" s="1"/>
  <c r="Y208" i="17" s="1"/>
  <c r="Q208" i="17" s="1"/>
  <c r="W208" i="17" s="1"/>
  <c r="X209" i="17" a="1"/>
  <c r="X209" i="17" s="1"/>
  <c r="Y209" i="17" s="1"/>
  <c r="Q209" i="17" s="1"/>
  <c r="W209" i="17" s="1"/>
  <c r="X210" i="17" a="1"/>
  <c r="X210" i="17" s="1"/>
  <c r="Y210" i="17" s="1"/>
  <c r="Q210" i="17" s="1"/>
  <c r="W210" i="17" s="1"/>
  <c r="X211" i="17" a="1"/>
  <c r="X211" i="17" s="1"/>
  <c r="Y211" i="17" s="1"/>
  <c r="Q211" i="17" s="1"/>
  <c r="W211" i="17" s="1"/>
  <c r="X241" i="17" a="1"/>
  <c r="X241" i="17" s="1"/>
  <c r="Y241" i="17" s="1"/>
  <c r="Q241" i="17" s="1"/>
  <c r="W241" i="17" s="1"/>
  <c r="X331" i="17" a="1"/>
  <c r="X331" i="17" s="1"/>
  <c r="Y331" i="17" s="1"/>
  <c r="Q331" i="17" s="1"/>
  <c r="W331" i="17" s="1"/>
  <c r="X271" i="17" a="1"/>
  <c r="X271" i="17" s="1"/>
  <c r="Y271" i="17" s="1"/>
  <c r="Q271" i="17" s="1"/>
  <c r="W271" i="17" s="1"/>
  <c r="X301" i="17" a="1"/>
  <c r="X301" i="17" s="1"/>
  <c r="Y301" i="17" s="1"/>
  <c r="Q301" i="17" s="1"/>
  <c r="W301" i="17" s="1"/>
  <c r="X361" i="17" a="1"/>
  <c r="X361" i="17" s="1"/>
  <c r="Y361" i="17" s="1"/>
  <c r="X451" i="17" a="1"/>
  <c r="X451" i="17" s="1"/>
  <c r="Y451" i="17" s="1"/>
  <c r="Q451" i="17" s="1"/>
  <c r="W451" i="17" s="1"/>
  <c r="X391" i="17" a="1"/>
  <c r="X391" i="17" s="1"/>
  <c r="Y391" i="17" s="1"/>
  <c r="Q391" i="17" s="1"/>
  <c r="W391" i="17" s="1"/>
  <c r="X421" i="17" a="1"/>
  <c r="X421" i="17" s="1"/>
  <c r="Y421" i="17" s="1"/>
  <c r="Q421" i="17" s="1"/>
  <c r="W421" i="17" s="1"/>
  <c r="X481" i="17" a="1"/>
  <c r="X481" i="17" s="1"/>
  <c r="Y2" i="17"/>
  <c r="Q2" i="17" s="1"/>
  <c r="W2" i="17" s="1"/>
  <c r="Y35" i="17"/>
  <c r="Q35" i="17" s="1"/>
  <c r="W35" i="17" s="1"/>
  <c r="Y212" i="17"/>
  <c r="Q212" i="17" s="1"/>
  <c r="W212" i="17" s="1"/>
  <c r="Y302" i="17"/>
  <c r="Q302" i="17" s="1"/>
  <c r="W302" i="17" s="1"/>
  <c r="Y272" i="17"/>
  <c r="Q272" i="17" s="1"/>
  <c r="W272" i="17" s="1"/>
  <c r="Y422" i="17"/>
  <c r="Q422" i="17" s="1"/>
  <c r="W422" i="17" s="1"/>
  <c r="Y362" i="17"/>
  <c r="Q362" i="17" s="1"/>
  <c r="W362" i="17" s="1"/>
  <c r="Y3" i="17"/>
  <c r="Q3" i="17" s="1"/>
  <c r="W3" i="17" s="1"/>
  <c r="Y41" i="17"/>
  <c r="Q41" i="17" s="1"/>
  <c r="W41" i="17" s="1"/>
  <c r="Y43" i="17"/>
  <c r="Q43" i="17" s="1"/>
  <c r="W43" i="17" s="1"/>
  <c r="Y303" i="17"/>
  <c r="Q303" i="17" s="1"/>
  <c r="W303" i="17" s="1"/>
  <c r="Y423" i="17"/>
  <c r="Q423" i="17" s="1"/>
  <c r="W423" i="17" s="1"/>
  <c r="Y4" i="17"/>
  <c r="Q4" i="17" s="1"/>
  <c r="W4" i="17" s="1"/>
  <c r="Y47" i="17"/>
  <c r="Q47" i="17" s="1"/>
  <c r="W47" i="17" s="1"/>
  <c r="Y304" i="17"/>
  <c r="Q304" i="17" s="1"/>
  <c r="W304" i="17" s="1"/>
  <c r="Y274" i="17"/>
  <c r="Q274" i="17" s="1"/>
  <c r="W274" i="17" s="1"/>
  <c r="Y424" i="17"/>
  <c r="Q424" i="17" s="1"/>
  <c r="W424" i="17" s="1"/>
  <c r="Y394" i="17"/>
  <c r="Q394" i="17" s="1"/>
  <c r="W394" i="17" s="1"/>
  <c r="Y5" i="17"/>
  <c r="Q5" i="17" s="1"/>
  <c r="W5" i="17" s="1"/>
  <c r="Y53" i="17"/>
  <c r="Q53" i="17" s="1"/>
  <c r="W53" i="17" s="1"/>
  <c r="Y305" i="17"/>
  <c r="Q305" i="17" s="1"/>
  <c r="W305" i="17" s="1"/>
  <c r="Y425" i="17"/>
  <c r="Q425" i="17" s="1"/>
  <c r="W425" i="17" s="1"/>
  <c r="Y455" i="17"/>
  <c r="Q455" i="17" s="1"/>
  <c r="W455" i="17" s="1"/>
  <c r="Y6" i="17"/>
  <c r="Q6" i="17" s="1"/>
  <c r="W6" i="17" s="1"/>
  <c r="Y56" i="17"/>
  <c r="Q56" i="17" s="1"/>
  <c r="W56" i="17" s="1"/>
  <c r="Y59" i="17"/>
  <c r="Q59" i="17" s="1"/>
  <c r="W59" i="17" s="1"/>
  <c r="Y216" i="17"/>
  <c r="Q216" i="17" s="1"/>
  <c r="W216" i="17" s="1"/>
  <c r="Y306" i="17"/>
  <c r="Q306" i="17" s="1"/>
  <c r="W306" i="17" s="1"/>
  <c r="Y426" i="17"/>
  <c r="Q426" i="17" s="1"/>
  <c r="W426" i="17" s="1"/>
  <c r="Y366" i="17"/>
  <c r="Q366" i="17" s="1"/>
  <c r="W366" i="17" s="1"/>
  <c r="Y396" i="17"/>
  <c r="Q396" i="17" s="1"/>
  <c r="W396" i="17" s="1"/>
  <c r="Y7" i="17"/>
  <c r="Q7" i="17" s="1"/>
  <c r="W7" i="17" s="1"/>
  <c r="Y64" i="17"/>
  <c r="Q64" i="17" s="1"/>
  <c r="W64" i="17" s="1"/>
  <c r="Y65" i="17"/>
  <c r="Q65" i="17" s="1"/>
  <c r="W65" i="17" s="1"/>
  <c r="Y67" i="17"/>
  <c r="Q67" i="17" s="1"/>
  <c r="W67" i="17" s="1"/>
  <c r="Y307" i="17"/>
  <c r="Q307" i="17" s="1"/>
  <c r="W307" i="17" s="1"/>
  <c r="Y427" i="17"/>
  <c r="Q427" i="17" s="1"/>
  <c r="W427" i="17" s="1"/>
  <c r="Y8" i="17"/>
  <c r="Q8" i="17" s="1"/>
  <c r="W8" i="17" s="1"/>
  <c r="Y71" i="17"/>
  <c r="Q71" i="17" s="1"/>
  <c r="W71" i="17" s="1"/>
  <c r="Y308" i="17"/>
  <c r="Q308" i="17" s="1"/>
  <c r="W308" i="17" s="1"/>
  <c r="Y428" i="17"/>
  <c r="Q428" i="17" s="1"/>
  <c r="W428" i="17" s="1"/>
  <c r="Y9" i="17"/>
  <c r="Q9" i="17" s="1"/>
  <c r="W9" i="17" s="1"/>
  <c r="Y77" i="17"/>
  <c r="Q77" i="17" s="1"/>
  <c r="W77" i="17" s="1"/>
  <c r="Y309" i="17"/>
  <c r="Q309" i="17" s="1"/>
  <c r="W309" i="17" s="1"/>
  <c r="Y429" i="17"/>
  <c r="Y459" i="17"/>
  <c r="Q459" i="17" s="1"/>
  <c r="W459" i="17" s="1"/>
  <c r="Y10" i="17"/>
  <c r="Q10" i="17" s="1"/>
  <c r="W10" i="17" s="1"/>
  <c r="Y80" i="17"/>
  <c r="Q80" i="17" s="1"/>
  <c r="W80" i="17" s="1"/>
  <c r="Y83" i="17"/>
  <c r="Q83" i="17" s="1"/>
  <c r="W83" i="17" s="1"/>
  <c r="Y84" i="17"/>
  <c r="Q84" i="17" s="1"/>
  <c r="W84" i="17" s="1"/>
  <c r="Y310" i="17"/>
  <c r="Q310" i="17" s="1"/>
  <c r="W310" i="17" s="1"/>
  <c r="Y430" i="17"/>
  <c r="Q430" i="17" s="1"/>
  <c r="W430" i="17" s="1"/>
  <c r="Y370" i="17"/>
  <c r="Q370" i="17" s="1"/>
  <c r="W370" i="17" s="1"/>
  <c r="Y400" i="17"/>
  <c r="Q400" i="17" s="1"/>
  <c r="W400" i="17" s="1"/>
  <c r="Y11" i="17"/>
  <c r="Q11" i="17" s="1"/>
  <c r="W11" i="17" s="1"/>
  <c r="Y89" i="17"/>
  <c r="Q89" i="17" s="1"/>
  <c r="W89" i="17" s="1"/>
  <c r="Y91" i="17"/>
  <c r="Q91" i="17" s="1"/>
  <c r="W91" i="17" s="1"/>
  <c r="Y311" i="17"/>
  <c r="Q311" i="17" s="1"/>
  <c r="W311" i="17" s="1"/>
  <c r="Y431" i="17"/>
  <c r="Q431" i="17" s="1"/>
  <c r="W431" i="17" s="1"/>
  <c r="Y12" i="17"/>
  <c r="Q12" i="17" s="1"/>
  <c r="W12" i="17" s="1"/>
  <c r="Y95" i="17"/>
  <c r="Q95" i="17" s="1"/>
  <c r="W95" i="17" s="1"/>
  <c r="Y312" i="17"/>
  <c r="Q312" i="17" s="1"/>
  <c r="W312" i="17" s="1"/>
  <c r="Y432" i="17"/>
  <c r="Q432" i="17" s="1"/>
  <c r="W432" i="17" s="1"/>
  <c r="Y101" i="17"/>
  <c r="Q101" i="17" s="1"/>
  <c r="W101" i="17" s="1"/>
  <c r="Y433" i="17"/>
  <c r="Q433" i="17" s="1"/>
  <c r="W433" i="17" s="1"/>
  <c r="Y14" i="17"/>
  <c r="Q14" i="17" s="1"/>
  <c r="W14" i="17" s="1"/>
  <c r="Y104" i="17"/>
  <c r="Q104" i="17" s="1"/>
  <c r="W104" i="17" s="1"/>
  <c r="Y107" i="17"/>
  <c r="Q107" i="17" s="1"/>
  <c r="W107" i="17" s="1"/>
  <c r="Y224" i="17"/>
  <c r="Q224" i="17" s="1"/>
  <c r="W224" i="17" s="1"/>
  <c r="Y314" i="17"/>
  <c r="Q314" i="17" s="1"/>
  <c r="W314" i="17" s="1"/>
  <c r="Y15" i="17"/>
  <c r="Q15" i="17" s="1"/>
  <c r="W15" i="17" s="1"/>
  <c r="Y315" i="17"/>
  <c r="Q315" i="17" s="1"/>
  <c r="W315" i="17" s="1"/>
  <c r="Y435" i="17"/>
  <c r="Q435" i="17" s="1"/>
  <c r="W435" i="17" s="1"/>
  <c r="Y16" i="17"/>
  <c r="Q16" i="17" s="1"/>
  <c r="W16" i="17" s="1"/>
  <c r="Y119" i="17"/>
  <c r="Q119" i="17" s="1"/>
  <c r="W119" i="17" s="1"/>
  <c r="Y316" i="17"/>
  <c r="Q316" i="17" s="1"/>
  <c r="W316" i="17" s="1"/>
  <c r="Y436" i="17"/>
  <c r="Q436" i="17" s="1"/>
  <c r="W436" i="17" s="1"/>
  <c r="Y125" i="17"/>
  <c r="Q125" i="17" s="1"/>
  <c r="W125" i="17" s="1"/>
  <c r="Y437" i="17"/>
  <c r="Q437" i="17" s="1"/>
  <c r="W437" i="17" s="1"/>
  <c r="Y131" i="17"/>
  <c r="Q131" i="17" s="1"/>
  <c r="W131" i="17" s="1"/>
  <c r="Y318" i="17"/>
  <c r="Q318" i="17" s="1"/>
  <c r="W318" i="17" s="1"/>
  <c r="Y438" i="17"/>
  <c r="Q438" i="17" s="1"/>
  <c r="W438" i="17" s="1"/>
  <c r="Y19" i="17"/>
  <c r="Q19" i="17" s="1"/>
  <c r="W19" i="17" s="1"/>
  <c r="Y319" i="17"/>
  <c r="Q319" i="17" s="1"/>
  <c r="W319" i="17" s="1"/>
  <c r="Y439" i="17"/>
  <c r="Q439" i="17" s="1"/>
  <c r="W439" i="17" s="1"/>
  <c r="Y20" i="17"/>
  <c r="Q20" i="17" s="1"/>
  <c r="W20" i="17" s="1"/>
  <c r="Y143" i="17"/>
  <c r="Q143" i="17" s="1"/>
  <c r="W143" i="17" s="1"/>
  <c r="Y320" i="17"/>
  <c r="Q320" i="17" s="1"/>
  <c r="W320" i="17" s="1"/>
  <c r="Y440" i="17"/>
  <c r="Q440" i="17" s="1"/>
  <c r="W440" i="17" s="1"/>
  <c r="Y21" i="17"/>
  <c r="Q21" i="17" s="1"/>
  <c r="W21" i="17" s="1"/>
  <c r="Y149" i="17"/>
  <c r="Q149" i="17" s="1"/>
  <c r="W149" i="17" s="1"/>
  <c r="Y321" i="17"/>
  <c r="Q321" i="17" s="1"/>
  <c r="W321" i="17" s="1"/>
  <c r="Y441" i="17"/>
  <c r="Q441" i="17" s="1"/>
  <c r="W441" i="17" s="1"/>
  <c r="Y22" i="17"/>
  <c r="Q22" i="17" s="1"/>
  <c r="W22" i="17" s="1"/>
  <c r="Y155" i="17"/>
  <c r="Q155" i="17" s="1"/>
  <c r="W155" i="17" s="1"/>
  <c r="Y232" i="17"/>
  <c r="Q232" i="17" s="1"/>
  <c r="W232" i="17" s="1"/>
  <c r="Y322" i="17"/>
  <c r="Q322" i="17" s="1"/>
  <c r="W322" i="17" s="1"/>
  <c r="Y442" i="17"/>
  <c r="Q442" i="17" s="1"/>
  <c r="W442" i="17" s="1"/>
  <c r="Y23" i="17"/>
  <c r="Q23" i="17" s="1"/>
  <c r="W23" i="17" s="1"/>
  <c r="Y161" i="17"/>
  <c r="Q161" i="17" s="1"/>
  <c r="W161" i="17" s="1"/>
  <c r="Y233" i="17"/>
  <c r="Q233" i="17" s="1"/>
  <c r="W233" i="17" s="1"/>
  <c r="Y323" i="17"/>
  <c r="Q323" i="17" s="1"/>
  <c r="W323" i="17" s="1"/>
  <c r="G2" i="16"/>
  <c r="N379" i="20" l="1"/>
  <c r="N185" i="20"/>
  <c r="N197" i="20"/>
  <c r="N203" i="20"/>
  <c r="N37" i="20"/>
  <c r="N229" i="20"/>
  <c r="N235" i="20"/>
  <c r="N69" i="20"/>
  <c r="N361" i="20"/>
  <c r="N329" i="20"/>
  <c r="N297" i="20"/>
  <c r="N175" i="20"/>
  <c r="N155" i="20"/>
  <c r="N111" i="20"/>
  <c r="N43" i="20"/>
  <c r="K7" i="20" a="1"/>
  <c r="K7" i="20" s="1"/>
  <c r="N239" i="20"/>
  <c r="N143" i="20"/>
  <c r="N75" i="20"/>
  <c r="N2" i="20"/>
  <c r="N365" i="20"/>
  <c r="N321" i="20"/>
  <c r="N87" i="20"/>
  <c r="N320" i="20"/>
  <c r="N313" i="20"/>
  <c r="N249" i="20"/>
  <c r="N210" i="20"/>
  <c r="N119" i="20"/>
  <c r="N59" i="20"/>
  <c r="N19" i="20"/>
  <c r="N274" i="20"/>
  <c r="N247" i="20"/>
  <c r="N38" i="20"/>
  <c r="N369" i="20"/>
  <c r="N356" i="20"/>
  <c r="N337" i="20"/>
  <c r="N91" i="20"/>
  <c r="T243" i="18" a="1"/>
  <c r="T243" i="18" s="1"/>
  <c r="T236" i="18" a="1"/>
  <c r="T236" i="18" s="1"/>
  <c r="T231" i="18" a="1"/>
  <c r="T231" i="18" s="1"/>
  <c r="T211" i="18" a="1"/>
  <c r="T211" i="18" s="1"/>
  <c r="T204" i="18" a="1"/>
  <c r="T204" i="18" s="1"/>
  <c r="T199" i="18" a="1"/>
  <c r="T199" i="18" s="1"/>
  <c r="T179" i="18" a="1"/>
  <c r="T179" i="18" s="1"/>
  <c r="T172" i="18" a="1"/>
  <c r="T172" i="18" s="1"/>
  <c r="T167" i="18" a="1"/>
  <c r="T167" i="18" s="1"/>
  <c r="T147" i="18" a="1"/>
  <c r="T147" i="18" s="1"/>
  <c r="T140" i="18" a="1"/>
  <c r="T140" i="18" s="1"/>
  <c r="T132" i="18" a="1"/>
  <c r="T132" i="18" s="1"/>
  <c r="T124" i="18" a="1"/>
  <c r="T124" i="18" s="1"/>
  <c r="T117" i="18" a="1"/>
  <c r="T117" i="18" s="1"/>
  <c r="T102" i="18" a="1"/>
  <c r="T102" i="18" s="1"/>
  <c r="T94" i="18" a="1"/>
  <c r="T94" i="18" s="1"/>
  <c r="T86" i="18" a="1"/>
  <c r="T86" i="18" s="1"/>
  <c r="T79" i="18" a="1"/>
  <c r="T79" i="18" s="1"/>
  <c r="T72" i="18" a="1"/>
  <c r="T72" i="18" s="1"/>
  <c r="T64" i="18" a="1"/>
  <c r="T64" i="18" s="1"/>
  <c r="T57" i="18" a="1"/>
  <c r="T57" i="18" s="1"/>
  <c r="T50" i="18" a="1"/>
  <c r="T50" i="18" s="1"/>
  <c r="T43" i="18" a="1"/>
  <c r="T43" i="18" s="1"/>
  <c r="T35" i="18" a="1"/>
  <c r="T35" i="18" s="1"/>
  <c r="T27" i="18" a="1"/>
  <c r="T27" i="18" s="1"/>
  <c r="T20" i="18" a="1"/>
  <c r="T20" i="18" s="1"/>
  <c r="T13" i="18" a="1"/>
  <c r="T13" i="18" s="1"/>
  <c r="T5" i="18" a="1"/>
  <c r="T5" i="18" s="1"/>
  <c r="S717" i="18" a="1"/>
  <c r="S717" i="18" s="1"/>
  <c r="S702" i="18" a="1"/>
  <c r="S702" i="18" s="1"/>
  <c r="S695" i="18" a="1"/>
  <c r="S695" i="18" s="1"/>
  <c r="S687" i="18" a="1"/>
  <c r="S687" i="18" s="1"/>
  <c r="S679" i="18" a="1"/>
  <c r="S679" i="18" s="1"/>
  <c r="S672" i="18" a="1"/>
  <c r="S672" i="18" s="1"/>
  <c r="S665" i="18" a="1"/>
  <c r="S665" i="18" s="1"/>
  <c r="S657" i="18" a="1"/>
  <c r="S657" i="18" s="1"/>
  <c r="S649" i="18" a="1"/>
  <c r="S649" i="18" s="1"/>
  <c r="S642" i="18" a="1"/>
  <c r="S642" i="18" s="1"/>
  <c r="S635" i="18" a="1"/>
  <c r="S635" i="18" s="1"/>
  <c r="S627" i="18" a="1"/>
  <c r="S627" i="18" s="1"/>
  <c r="S619" i="18" a="1"/>
  <c r="S619" i="18" s="1"/>
  <c r="S612" i="18" a="1"/>
  <c r="S612" i="18" s="1"/>
  <c r="S605" i="18" a="1"/>
  <c r="S605" i="18" s="1"/>
  <c r="S597" i="18" a="1"/>
  <c r="S597" i="18" s="1"/>
  <c r="S589" i="18" a="1"/>
  <c r="S589" i="18" s="1"/>
  <c r="S574" i="18" a="1"/>
  <c r="S574" i="18" s="1"/>
  <c r="S567" i="18" a="1"/>
  <c r="S567" i="18" s="1"/>
  <c r="S559" i="18" a="1"/>
  <c r="S559" i="18" s="1"/>
  <c r="S551" i="18" a="1"/>
  <c r="S551" i="18" s="1"/>
  <c r="S544" i="18" a="1"/>
  <c r="S544" i="18" s="1"/>
  <c r="S530" i="18" a="1"/>
  <c r="S530" i="18" s="1"/>
  <c r="S522" i="18" a="1"/>
  <c r="S522" i="18" s="1"/>
  <c r="S515" i="18" a="1"/>
  <c r="S515" i="18" s="1"/>
  <c r="S508" i="18" a="1"/>
  <c r="S508" i="18" s="1"/>
  <c r="S501" i="18" a="1"/>
  <c r="S501" i="18" s="1"/>
  <c r="S493" i="18" a="1"/>
  <c r="S493" i="18" s="1"/>
  <c r="S478" i="18" a="1"/>
  <c r="S478" i="18" s="1"/>
  <c r="S472" i="18" a="1"/>
  <c r="S472" i="18" s="1"/>
  <c r="S464" i="18" a="1"/>
  <c r="S464" i="18" s="1"/>
  <c r="S456" i="18" a="1"/>
  <c r="S456" i="18" s="1"/>
  <c r="S448" i="18" a="1"/>
  <c r="S448" i="18" s="1"/>
  <c r="S434" i="18" a="1"/>
  <c r="S434" i="18" s="1"/>
  <c r="S426" i="18" a="1"/>
  <c r="S426" i="18" s="1"/>
  <c r="S418" i="18" a="1"/>
  <c r="S418" i="18" s="1"/>
  <c r="S411" i="18" a="1"/>
  <c r="S411" i="18" s="1"/>
  <c r="S404" i="18" a="1"/>
  <c r="S404" i="18" s="1"/>
  <c r="S396" i="18" a="1"/>
  <c r="S396" i="18" s="1"/>
  <c r="S389" i="18" a="1"/>
  <c r="S389" i="18" s="1"/>
  <c r="S382" i="18" a="1"/>
  <c r="S382" i="18" s="1"/>
  <c r="S376" i="18" a="1"/>
  <c r="S376" i="18" s="1"/>
  <c r="S359" i="18" a="1"/>
  <c r="S359" i="18" s="1"/>
  <c r="S347" i="18" a="1"/>
  <c r="S347" i="18" s="1"/>
  <c r="S342" i="18" a="1"/>
  <c r="S342" i="18" s="1"/>
  <c r="S336" i="18" a="1"/>
  <c r="S336" i="18" s="1"/>
  <c r="S324" i="18" a="1"/>
  <c r="S324" i="18" s="1"/>
  <c r="S319" i="18" a="1"/>
  <c r="S319" i="18" s="1"/>
  <c r="S312" i="18" a="1"/>
  <c r="S312" i="18" s="1"/>
  <c r="S307" i="18" a="1"/>
  <c r="S307" i="18" s="1"/>
  <c r="S295" i="18" a="1"/>
  <c r="S295" i="18" s="1"/>
  <c r="S283" i="18" a="1"/>
  <c r="S283" i="18" s="1"/>
  <c r="S278" i="18" a="1"/>
  <c r="S278" i="18" s="1"/>
  <c r="S272" i="18" a="1"/>
  <c r="S272" i="18" s="1"/>
  <c r="S260" i="18" a="1"/>
  <c r="S260" i="18" s="1"/>
  <c r="S249" i="18" a="1"/>
  <c r="S249" i="18" s="1"/>
  <c r="S238" i="18" a="1"/>
  <c r="S238" i="18" s="1"/>
  <c r="S230" i="18" a="1"/>
  <c r="S230" i="18" s="1"/>
  <c r="S183" i="18" a="1"/>
  <c r="S183" i="18" s="1"/>
  <c r="S76" i="18" a="1"/>
  <c r="S76" i="18" s="1"/>
  <c r="O720" i="18" a="1"/>
  <c r="O720" i="18" s="1"/>
  <c r="P720" i="18" a="1"/>
  <c r="P720" i="18" s="1"/>
  <c r="R720" i="18" s="1"/>
  <c r="U720" i="18" s="1"/>
  <c r="O712" i="18" a="1"/>
  <c r="O712" i="18" s="1"/>
  <c r="S17" i="18" a="1"/>
  <c r="S17" i="18" s="1"/>
  <c r="S73" i="18" a="1"/>
  <c r="S73" i="18" s="1"/>
  <c r="P712" i="18" a="1"/>
  <c r="P712" i="18" s="1"/>
  <c r="R712" i="18" s="1"/>
  <c r="U712" i="18" s="1"/>
  <c r="P670" i="18" a="1"/>
  <c r="P670" i="18" s="1"/>
  <c r="P705" i="18" a="1"/>
  <c r="P705" i="18" s="1"/>
  <c r="R705" i="18" s="1"/>
  <c r="U705" i="18" s="1"/>
  <c r="S5" i="18" a="1"/>
  <c r="S5" i="18" s="1"/>
  <c r="S14" i="18" a="1"/>
  <c r="S14" i="18" s="1"/>
  <c r="S30" i="18" a="1"/>
  <c r="S30" i="18" s="1"/>
  <c r="S36" i="18" a="1"/>
  <c r="S36" i="18" s="1"/>
  <c r="S44" i="18" a="1"/>
  <c r="S44" i="18" s="1"/>
  <c r="S58" i="18" a="1"/>
  <c r="S58" i="18" s="1"/>
  <c r="S71" i="18" a="1"/>
  <c r="S71" i="18" s="1"/>
  <c r="S83" i="18" a="1"/>
  <c r="S83" i="18" s="1"/>
  <c r="S88" i="18" a="1"/>
  <c r="S88" i="18" s="1"/>
  <c r="S94" i="18" a="1"/>
  <c r="S94" i="18" s="1"/>
  <c r="S99" i="18" a="1"/>
  <c r="S99" i="18" s="1"/>
  <c r="S105" i="18" a="1"/>
  <c r="S105" i="18" s="1"/>
  <c r="S110" i="18" a="1"/>
  <c r="S110" i="18" s="1"/>
  <c r="S121" i="18" a="1"/>
  <c r="S121" i="18" s="1"/>
  <c r="S127" i="18" a="1"/>
  <c r="S127" i="18" s="1"/>
  <c r="S138" i="18" a="1"/>
  <c r="S138" i="18" s="1"/>
  <c r="S148" i="18" a="1"/>
  <c r="S148" i="18" s="1"/>
  <c r="S164" i="18" a="1"/>
  <c r="S164" i="18" s="1"/>
  <c r="S175" i="18" a="1"/>
  <c r="S175" i="18" s="1"/>
  <c r="S181" i="18" a="1"/>
  <c r="S181" i="18" s="1"/>
  <c r="S186" i="18" a="1"/>
  <c r="S186" i="18" s="1"/>
  <c r="S192" i="18" a="1"/>
  <c r="S192" i="18" s="1"/>
  <c r="S197" i="18" a="1"/>
  <c r="S197" i="18" s="1"/>
  <c r="S203" i="18" a="1"/>
  <c r="S203" i="18" s="1"/>
  <c r="S209" i="18" a="1"/>
  <c r="S209" i="18" s="1"/>
  <c r="S220" i="18" a="1"/>
  <c r="S220" i="18" s="1"/>
  <c r="S226" i="18" a="1"/>
  <c r="S226" i="18" s="1"/>
  <c r="P179" i="18" a="1"/>
  <c r="P179" i="18" s="1"/>
  <c r="R179" i="18" s="1"/>
  <c r="U179" i="18" s="1"/>
  <c r="P588" i="18" a="1"/>
  <c r="P588" i="18" s="1"/>
  <c r="P711" i="18" a="1"/>
  <c r="P711" i="18" s="1"/>
  <c r="S7" i="18" a="1"/>
  <c r="S7" i="18" s="1"/>
  <c r="S23" i="18" a="1"/>
  <c r="S23" i="18" s="1"/>
  <c r="S31" i="18" a="1"/>
  <c r="S31" i="18" s="1"/>
  <c r="S37" i="18" a="1"/>
  <c r="S37" i="18" s="1"/>
  <c r="S45" i="18" a="1"/>
  <c r="S45" i="18" s="1"/>
  <c r="S52" i="18" a="1"/>
  <c r="S52" i="18" s="1"/>
  <c r="S66" i="18" a="1"/>
  <c r="S66" i="18" s="1"/>
  <c r="S72" i="18" a="1"/>
  <c r="S72" i="18" s="1"/>
  <c r="S78" i="18" a="1"/>
  <c r="S78" i="18" s="1"/>
  <c r="S89" i="18" a="1"/>
  <c r="S89" i="18" s="1"/>
  <c r="S95" i="18" a="1"/>
  <c r="S95" i="18" s="1"/>
  <c r="S106" i="18" a="1"/>
  <c r="S106" i="18" s="1"/>
  <c r="S116" i="18" a="1"/>
  <c r="S116" i="18" s="1"/>
  <c r="S132" i="18" a="1"/>
  <c r="S132" i="18" s="1"/>
  <c r="S143" i="18" a="1"/>
  <c r="S143" i="18" s="1"/>
  <c r="S149" i="18" a="1"/>
  <c r="S149" i="18" s="1"/>
  <c r="S154" i="18" a="1"/>
  <c r="S154" i="18" s="1"/>
  <c r="S160" i="18" a="1"/>
  <c r="S160" i="18" s="1"/>
  <c r="S165" i="18" a="1"/>
  <c r="S165" i="18" s="1"/>
  <c r="S171" i="18" a="1"/>
  <c r="S171" i="18" s="1"/>
  <c r="S176" i="18" a="1"/>
  <c r="S176" i="18" s="1"/>
  <c r="S182" i="18" a="1"/>
  <c r="S182" i="18" s="1"/>
  <c r="S193" i="18" a="1"/>
  <c r="S193" i="18" s="1"/>
  <c r="S204" i="18" a="1"/>
  <c r="S204" i="18" s="1"/>
  <c r="S215" i="18" a="1"/>
  <c r="S215" i="18" s="1"/>
  <c r="S221" i="18" a="1"/>
  <c r="S221" i="18" s="1"/>
  <c r="P225" i="18" a="1"/>
  <c r="P225" i="18" s="1"/>
  <c r="P594" i="18" a="1"/>
  <c r="P594" i="18" s="1"/>
  <c r="R594" i="18" s="1"/>
  <c r="U594" i="18" s="1"/>
  <c r="P680" i="18" a="1"/>
  <c r="P680" i="18" s="1"/>
  <c r="R680" i="18" s="1"/>
  <c r="U680" i="18" s="1"/>
  <c r="S8" i="18" a="1"/>
  <c r="S8" i="18" s="1"/>
  <c r="S15" i="18" a="1"/>
  <c r="S15" i="18" s="1"/>
  <c r="S24" i="18" a="1"/>
  <c r="S24" i="18" s="1"/>
  <c r="S38" i="18" a="1"/>
  <c r="S38" i="18" s="1"/>
  <c r="S46" i="18" a="1"/>
  <c r="S46" i="18" s="1"/>
  <c r="S53" i="18" a="1"/>
  <c r="S53" i="18" s="1"/>
  <c r="S60" i="18" a="1"/>
  <c r="S60" i="18" s="1"/>
  <c r="S74" i="18" a="1"/>
  <c r="S74" i="18" s="1"/>
  <c r="S84" i="18" a="1"/>
  <c r="S84" i="18" s="1"/>
  <c r="S100" i="18" a="1"/>
  <c r="S100" i="18" s="1"/>
  <c r="S111" i="18" a="1"/>
  <c r="S111" i="18" s="1"/>
  <c r="S117" i="18" a="1"/>
  <c r="S117" i="18" s="1"/>
  <c r="S122" i="18" a="1"/>
  <c r="S122" i="18" s="1"/>
  <c r="S128" i="18" a="1"/>
  <c r="S128" i="18" s="1"/>
  <c r="S133" i="18" a="1"/>
  <c r="S133" i="18" s="1"/>
  <c r="S139" i="18" a="1"/>
  <c r="S139" i="18" s="1"/>
  <c r="S144" i="18" a="1"/>
  <c r="S144" i="18" s="1"/>
  <c r="S150" i="18" a="1"/>
  <c r="S150" i="18" s="1"/>
  <c r="S161" i="18" a="1"/>
  <c r="S161" i="18" s="1"/>
  <c r="S177" i="18" a="1"/>
  <c r="S177" i="18" s="1"/>
  <c r="S187" i="18" a="1"/>
  <c r="S187" i="18" s="1"/>
  <c r="S198" i="18" a="1"/>
  <c r="S198" i="18" s="1"/>
  <c r="S205" i="18" a="1"/>
  <c r="S205" i="18" s="1"/>
  <c r="S210" i="18" a="1"/>
  <c r="S210" i="18" s="1"/>
  <c r="S222" i="18" a="1"/>
  <c r="S222" i="18" s="1"/>
  <c r="S234" i="18" a="1"/>
  <c r="S234" i="18" s="1"/>
  <c r="P433" i="18" a="1"/>
  <c r="P433" i="18" s="1"/>
  <c r="R433" i="18" s="1"/>
  <c r="U433" i="18" s="1"/>
  <c r="P635" i="18" a="1"/>
  <c r="P635" i="18" s="1"/>
  <c r="R635" i="18" s="1"/>
  <c r="U635" i="18" s="1"/>
  <c r="P689" i="18" a="1"/>
  <c r="P689" i="18" s="1"/>
  <c r="S9" i="18" a="1"/>
  <c r="S9" i="18" s="1"/>
  <c r="S25" i="18" a="1"/>
  <c r="S25" i="18" s="1"/>
  <c r="S32" i="18" a="1"/>
  <c r="S32" i="18" s="1"/>
  <c r="S39" i="18" a="1"/>
  <c r="S39" i="18" s="1"/>
  <c r="S54" i="18" a="1"/>
  <c r="S54" i="18" s="1"/>
  <c r="S61" i="18" a="1"/>
  <c r="S61" i="18" s="1"/>
  <c r="S79" i="18" a="1"/>
  <c r="S79" i="18" s="1"/>
  <c r="S85" i="18" a="1"/>
  <c r="S85" i="18" s="1"/>
  <c r="S90" i="18" a="1"/>
  <c r="S90" i="18" s="1"/>
  <c r="S96" i="18" a="1"/>
  <c r="S96" i="18" s="1"/>
  <c r="S101" i="18" a="1"/>
  <c r="S101" i="18" s="1"/>
  <c r="S107" i="18" a="1"/>
  <c r="S107" i="18" s="1"/>
  <c r="S112" i="18" a="1"/>
  <c r="S112" i="18" s="1"/>
  <c r="S118" i="18" a="1"/>
  <c r="S118" i="18" s="1"/>
  <c r="S129" i="18" a="1"/>
  <c r="S129" i="18" s="1"/>
  <c r="S145" i="18" a="1"/>
  <c r="S145" i="18" s="1"/>
  <c r="S155" i="18" a="1"/>
  <c r="S155" i="18" s="1"/>
  <c r="P637" i="18" a="1"/>
  <c r="P637" i="18" s="1"/>
  <c r="R637" i="18" s="1"/>
  <c r="U637" i="18" s="1"/>
  <c r="P718" i="18" a="1"/>
  <c r="P718" i="18" s="1"/>
  <c r="R718" i="18" s="1"/>
  <c r="U718" i="18" s="1"/>
  <c r="S2" i="18" a="1"/>
  <c r="S2" i="18" s="1"/>
  <c r="S10" i="18" a="1"/>
  <c r="S10" i="18" s="1"/>
  <c r="S19" i="18" a="1"/>
  <c r="S19" i="18" s="1"/>
  <c r="S41" i="18" a="1"/>
  <c r="S41" i="18" s="1"/>
  <c r="S47" i="18" a="1"/>
  <c r="S47" i="18" s="1"/>
  <c r="S55" i="18" a="1"/>
  <c r="S55" i="18" s="1"/>
  <c r="S63" i="18" a="1"/>
  <c r="S63" i="18" s="1"/>
  <c r="S68" i="18" a="1"/>
  <c r="S68" i="18" s="1"/>
  <c r="S75" i="18" a="1"/>
  <c r="S75" i="18" s="1"/>
  <c r="S80" i="18" a="1"/>
  <c r="S80" i="18" s="1"/>
  <c r="S86" i="18" a="1"/>
  <c r="S86" i="18" s="1"/>
  <c r="S97" i="18" a="1"/>
  <c r="S97" i="18" s="1"/>
  <c r="S113" i="18" a="1"/>
  <c r="S113" i="18" s="1"/>
  <c r="S123" i="18" a="1"/>
  <c r="S123" i="18" s="1"/>
  <c r="S134" i="18" a="1"/>
  <c r="S134" i="18" s="1"/>
  <c r="S140" i="18" a="1"/>
  <c r="S140" i="18" s="1"/>
  <c r="S151" i="18" a="1"/>
  <c r="S151" i="18" s="1"/>
  <c r="S156" i="18" a="1"/>
  <c r="S156" i="18" s="1"/>
  <c r="S162" i="18" a="1"/>
  <c r="S162" i="18" s="1"/>
  <c r="S167" i="18" a="1"/>
  <c r="S167" i="18" s="1"/>
  <c r="S173" i="18" a="1"/>
  <c r="S173" i="18" s="1"/>
  <c r="S178" i="18" a="1"/>
  <c r="S178" i="18" s="1"/>
  <c r="S189" i="18" a="1"/>
  <c r="S189" i="18" s="1"/>
  <c r="S200" i="18" a="1"/>
  <c r="S200" i="18" s="1"/>
  <c r="S206" i="18" a="1"/>
  <c r="S206" i="18" s="1"/>
  <c r="S217" i="18" a="1"/>
  <c r="S217" i="18" s="1"/>
  <c r="S229" i="18" a="1"/>
  <c r="S229" i="18" s="1"/>
  <c r="S235" i="18" a="1"/>
  <c r="S235" i="18" s="1"/>
  <c r="P491" i="18" a="1"/>
  <c r="P491" i="18" s="1"/>
  <c r="P656" i="18" a="1"/>
  <c r="P656" i="18" s="1"/>
  <c r="R656" i="18" s="1"/>
  <c r="U656" i="18" s="1"/>
  <c r="P696" i="18" a="1"/>
  <c r="P696" i="18" s="1"/>
  <c r="R696" i="18" s="1"/>
  <c r="U696" i="18" s="1"/>
  <c r="S3" i="18" a="1"/>
  <c r="S3" i="18" s="1"/>
  <c r="S26" i="18" a="1"/>
  <c r="S26" i="18" s="1"/>
  <c r="S34" i="18" a="1"/>
  <c r="S34" i="18" s="1"/>
  <c r="S42" i="18" a="1"/>
  <c r="S42" i="18" s="1"/>
  <c r="S48" i="18" a="1"/>
  <c r="S48" i="18" s="1"/>
  <c r="S69" i="18" a="1"/>
  <c r="S69" i="18" s="1"/>
  <c r="S81" i="18" a="1"/>
  <c r="S81" i="18" s="1"/>
  <c r="S91" i="18" a="1"/>
  <c r="S91" i="18" s="1"/>
  <c r="S102" i="18" a="1"/>
  <c r="S102" i="18" s="1"/>
  <c r="S108" i="18" a="1"/>
  <c r="S108" i="18" s="1"/>
  <c r="S119" i="18" a="1"/>
  <c r="S119" i="18" s="1"/>
  <c r="S124" i="18" a="1"/>
  <c r="S124" i="18" s="1"/>
  <c r="S130" i="18" a="1"/>
  <c r="S130" i="18" s="1"/>
  <c r="S135" i="18" a="1"/>
  <c r="S135" i="18" s="1"/>
  <c r="S141" i="18" a="1"/>
  <c r="S141" i="18" s="1"/>
  <c r="S146" i="18" a="1"/>
  <c r="S146" i="18" s="1"/>
  <c r="S157" i="18" a="1"/>
  <c r="S157" i="18" s="1"/>
  <c r="S168" i="18" a="1"/>
  <c r="S168" i="18" s="1"/>
  <c r="S179" i="18" a="1"/>
  <c r="S179" i="18" s="1"/>
  <c r="S184" i="18" a="1"/>
  <c r="S184" i="18" s="1"/>
  <c r="S190" i="18" a="1"/>
  <c r="S190" i="18" s="1"/>
  <c r="S195" i="18" a="1"/>
  <c r="S195" i="18" s="1"/>
  <c r="S201" i="18" a="1"/>
  <c r="S201" i="18" s="1"/>
  <c r="S212" i="18" a="1"/>
  <c r="S212" i="18" s="1"/>
  <c r="S218" i="18" a="1"/>
  <c r="S218" i="18" s="1"/>
  <c r="S224" i="18" a="1"/>
  <c r="S224" i="18" s="1"/>
  <c r="P542" i="18" a="1"/>
  <c r="P542" i="18" s="1"/>
  <c r="R542" i="18" s="1"/>
  <c r="U542" i="18" s="1"/>
  <c r="P668" i="18" a="1"/>
  <c r="P668" i="18" s="1"/>
  <c r="P704" i="18" a="1"/>
  <c r="P704" i="18" s="1"/>
  <c r="R704" i="18" s="1"/>
  <c r="U704" i="18" s="1"/>
  <c r="S4" i="18" a="1"/>
  <c r="S4" i="18" s="1"/>
  <c r="S21" i="18" a="1"/>
  <c r="S21" i="18" s="1"/>
  <c r="S28" i="18" a="1"/>
  <c r="S28" i="18" s="1"/>
  <c r="S43" i="18" a="1"/>
  <c r="S43" i="18" s="1"/>
  <c r="S50" i="18" a="1"/>
  <c r="S50" i="18" s="1"/>
  <c r="S65" i="18" a="1"/>
  <c r="S65" i="18" s="1"/>
  <c r="S70" i="18" a="1"/>
  <c r="S70" i="18" s="1"/>
  <c r="S77" i="18" a="1"/>
  <c r="S77" i="18" s="1"/>
  <c r="S82" i="18" a="1"/>
  <c r="S82" i="18" s="1"/>
  <c r="S93" i="18" a="1"/>
  <c r="S93" i="18" s="1"/>
  <c r="S104" i="18" a="1"/>
  <c r="S104" i="18" s="1"/>
  <c r="S115" i="18" a="1"/>
  <c r="S115" i="18" s="1"/>
  <c r="S120" i="18" a="1"/>
  <c r="S120" i="18" s="1"/>
  <c r="S126" i="18" a="1"/>
  <c r="S126" i="18" s="1"/>
  <c r="S131" i="18" a="1"/>
  <c r="S131" i="18" s="1"/>
  <c r="S137" i="18" a="1"/>
  <c r="S137" i="18" s="1"/>
  <c r="S142" i="18" a="1"/>
  <c r="S142" i="18" s="1"/>
  <c r="S153" i="18" a="1"/>
  <c r="S153" i="18" s="1"/>
  <c r="S159" i="18" a="1"/>
  <c r="S159" i="18" s="1"/>
  <c r="S170" i="18" a="1"/>
  <c r="S170" i="18" s="1"/>
  <c r="S180" i="18" a="1"/>
  <c r="S180" i="18" s="1"/>
  <c r="S196" i="18" a="1"/>
  <c r="S196" i="18" s="1"/>
  <c r="S59" i="18" a="1"/>
  <c r="S59" i="18" s="1"/>
  <c r="S49" i="18" a="1"/>
  <c r="S49" i="18" s="1"/>
  <c r="S33" i="18" a="1"/>
  <c r="S33" i="18" s="1"/>
  <c r="S22" i="18" a="1"/>
  <c r="S22" i="18" s="1"/>
  <c r="S16" i="18" a="1"/>
  <c r="S16" i="18" s="1"/>
  <c r="S11" i="18" a="1"/>
  <c r="S11" i="18" s="1"/>
  <c r="P600" i="18" a="1"/>
  <c r="P600" i="18" s="1"/>
  <c r="P504" i="18" a="1"/>
  <c r="P504" i="18" s="1"/>
  <c r="P451" i="18" a="1"/>
  <c r="P451" i="18" s="1"/>
  <c r="T209" i="18" a="1"/>
  <c r="T209" i="18" s="1"/>
  <c r="T203" i="18" a="1"/>
  <c r="T203" i="18" s="1"/>
  <c r="T197" i="18" a="1"/>
  <c r="T197" i="18" s="1"/>
  <c r="T190" i="18" a="1"/>
  <c r="T190" i="18" s="1"/>
  <c r="T184" i="18" a="1"/>
  <c r="T184" i="18" s="1"/>
  <c r="T177" i="18" a="1"/>
  <c r="T177" i="18" s="1"/>
  <c r="T171" i="18" a="1"/>
  <c r="T171" i="18" s="1"/>
  <c r="T165" i="18" a="1"/>
  <c r="T165" i="18" s="1"/>
  <c r="T158" i="18" a="1"/>
  <c r="T158" i="18" s="1"/>
  <c r="T152" i="18" a="1"/>
  <c r="T152" i="18" s="1"/>
  <c r="T145" i="18" a="1"/>
  <c r="T145" i="18" s="1"/>
  <c r="T138" i="18" a="1"/>
  <c r="T138" i="18" s="1"/>
  <c r="T130" i="18" a="1"/>
  <c r="T130" i="18" s="1"/>
  <c r="T122" i="18" a="1"/>
  <c r="T122" i="18" s="1"/>
  <c r="T115" i="18" a="1"/>
  <c r="T115" i="18" s="1"/>
  <c r="T108" i="18" a="1"/>
  <c r="T108" i="18" s="1"/>
  <c r="T100" i="18" a="1"/>
  <c r="T100" i="18" s="1"/>
  <c r="T92" i="18" a="1"/>
  <c r="T92" i="18" s="1"/>
  <c r="T85" i="18" a="1"/>
  <c r="T85" i="18" s="1"/>
  <c r="T70" i="18" a="1"/>
  <c r="T70" i="18" s="1"/>
  <c r="T62" i="18" a="1"/>
  <c r="T62" i="18" s="1"/>
  <c r="T55" i="18" a="1"/>
  <c r="T55" i="18" s="1"/>
  <c r="T48" i="18" a="1"/>
  <c r="T48" i="18" s="1"/>
  <c r="T41" i="18" a="1"/>
  <c r="T41" i="18" s="1"/>
  <c r="T33" i="18" a="1"/>
  <c r="T33" i="18" s="1"/>
  <c r="T25" i="18" a="1"/>
  <c r="T25" i="18" s="1"/>
  <c r="T18" i="18" a="1"/>
  <c r="T18" i="18" s="1"/>
  <c r="T11" i="18" a="1"/>
  <c r="T11" i="18" s="1"/>
  <c r="T3" i="18" a="1"/>
  <c r="T3" i="18" s="1"/>
  <c r="S715" i="18" a="1"/>
  <c r="S715" i="18" s="1"/>
  <c r="S708" i="18" a="1"/>
  <c r="S708" i="18" s="1"/>
  <c r="S701" i="18" a="1"/>
  <c r="S701" i="18" s="1"/>
  <c r="S693" i="18" a="1"/>
  <c r="S693" i="18" s="1"/>
  <c r="S685" i="18" a="1"/>
  <c r="S685" i="18" s="1"/>
  <c r="S670" i="18" a="1"/>
  <c r="S670" i="18" s="1"/>
  <c r="S663" i="18" a="1"/>
  <c r="S663" i="18" s="1"/>
  <c r="S655" i="18" a="1"/>
  <c r="S655" i="18" s="1"/>
  <c r="S647" i="18" a="1"/>
  <c r="S647" i="18" s="1"/>
  <c r="S640" i="18" a="1"/>
  <c r="S640" i="18" s="1"/>
  <c r="S633" i="18" a="1"/>
  <c r="S633" i="18" s="1"/>
  <c r="S625" i="18" a="1"/>
  <c r="S625" i="18" s="1"/>
  <c r="S617" i="18" a="1"/>
  <c r="S617" i="18" s="1"/>
  <c r="S610" i="18" a="1"/>
  <c r="S610" i="18" s="1"/>
  <c r="S603" i="18" a="1"/>
  <c r="S603" i="18" s="1"/>
  <c r="S595" i="18" a="1"/>
  <c r="S595" i="18" s="1"/>
  <c r="S587" i="18" a="1"/>
  <c r="S587" i="18" s="1"/>
  <c r="S580" i="18" a="1"/>
  <c r="S580" i="18" s="1"/>
  <c r="S573" i="18" a="1"/>
  <c r="S573" i="18" s="1"/>
  <c r="S565" i="18" a="1"/>
  <c r="S565" i="18" s="1"/>
  <c r="S557" i="18" a="1"/>
  <c r="S557" i="18" s="1"/>
  <c r="S542" i="18" a="1"/>
  <c r="S542" i="18" s="1"/>
  <c r="S536" i="18" a="1"/>
  <c r="S536" i="18" s="1"/>
  <c r="S528" i="18" a="1"/>
  <c r="S528" i="18" s="1"/>
  <c r="S520" i="18" a="1"/>
  <c r="S520" i="18" s="1"/>
  <c r="S513" i="18" a="1"/>
  <c r="S513" i="18" s="1"/>
  <c r="S506" i="18" a="1"/>
  <c r="S506" i="18" s="1"/>
  <c r="S499" i="18" a="1"/>
  <c r="S499" i="18" s="1"/>
  <c r="S491" i="18" a="1"/>
  <c r="S491" i="18" s="1"/>
  <c r="S484" i="18" a="1"/>
  <c r="S484" i="18" s="1"/>
  <c r="S477" i="18" a="1"/>
  <c r="S477" i="18" s="1"/>
  <c r="S470" i="18" a="1"/>
  <c r="S470" i="18" s="1"/>
  <c r="S462" i="18" a="1"/>
  <c r="S462" i="18" s="1"/>
  <c r="S454" i="18" a="1"/>
  <c r="S454" i="18" s="1"/>
  <c r="S446" i="18" a="1"/>
  <c r="S446" i="18" s="1"/>
  <c r="S440" i="18" a="1"/>
  <c r="S440" i="18" s="1"/>
  <c r="S432" i="18" a="1"/>
  <c r="S432" i="18" s="1"/>
  <c r="S424" i="18" a="1"/>
  <c r="S424" i="18" s="1"/>
  <c r="S416" i="18" a="1"/>
  <c r="S416" i="18" s="1"/>
  <c r="S402" i="18" a="1"/>
  <c r="S402" i="18" s="1"/>
  <c r="S394" i="18" a="1"/>
  <c r="S394" i="18" s="1"/>
  <c r="S387" i="18" a="1"/>
  <c r="S387" i="18" s="1"/>
  <c r="S381" i="18" a="1"/>
  <c r="S381" i="18" s="1"/>
  <c r="S364" i="18" a="1"/>
  <c r="S364" i="18" s="1"/>
  <c r="S352" i="18" a="1"/>
  <c r="S352" i="18" s="1"/>
  <c r="S346" i="18" a="1"/>
  <c r="S346" i="18" s="1"/>
  <c r="S340" i="18" a="1"/>
  <c r="S340" i="18" s="1"/>
  <c r="S329" i="18" a="1"/>
  <c r="S329" i="18" s="1"/>
  <c r="S323" i="18" a="1"/>
  <c r="S323" i="18" s="1"/>
  <c r="S317" i="18" a="1"/>
  <c r="S317" i="18" s="1"/>
  <c r="S311" i="18" a="1"/>
  <c r="S311" i="18" s="1"/>
  <c r="S300" i="18" a="1"/>
  <c r="S300" i="18" s="1"/>
  <c r="S288" i="18" a="1"/>
  <c r="S288" i="18" s="1"/>
  <c r="S282" i="18" a="1"/>
  <c r="S282" i="18" s="1"/>
  <c r="S276" i="18" a="1"/>
  <c r="S276" i="18" s="1"/>
  <c r="S265" i="18" a="1"/>
  <c r="S265" i="18" s="1"/>
  <c r="S259" i="18" a="1"/>
  <c r="S259" i="18" s="1"/>
  <c r="S254" i="18" a="1"/>
  <c r="S254" i="18" s="1"/>
  <c r="S242" i="18" a="1"/>
  <c r="S242" i="18" s="1"/>
  <c r="S237" i="18" a="1"/>
  <c r="S237" i="18" s="1"/>
  <c r="S228" i="18" a="1"/>
  <c r="S228" i="18" s="1"/>
  <c r="S214" i="18" a="1"/>
  <c r="S214" i="18" s="1"/>
  <c r="S199" i="18" a="1"/>
  <c r="S199" i="18" s="1"/>
  <c r="S152" i="18" a="1"/>
  <c r="S152" i="18" s="1"/>
  <c r="S109" i="18" a="1"/>
  <c r="S109" i="18" s="1"/>
  <c r="S64" i="18" a="1"/>
  <c r="S64" i="18" s="1"/>
  <c r="T196" i="18" a="1"/>
  <c r="T196" i="18" s="1"/>
  <c r="T189" i="18" a="1"/>
  <c r="T189" i="18" s="1"/>
  <c r="T176" i="18" a="1"/>
  <c r="T176" i="18" s="1"/>
  <c r="T170" i="18" a="1"/>
  <c r="T170" i="18" s="1"/>
  <c r="T164" i="18" a="1"/>
  <c r="T164" i="18" s="1"/>
  <c r="T157" i="18" a="1"/>
  <c r="T157" i="18" s="1"/>
  <c r="T151" i="18" a="1"/>
  <c r="T151" i="18" s="1"/>
  <c r="T144" i="18" a="1"/>
  <c r="T144" i="18" s="1"/>
  <c r="T137" i="18" a="1"/>
  <c r="T137" i="18" s="1"/>
  <c r="T129" i="18" a="1"/>
  <c r="T129" i="18" s="1"/>
  <c r="T121" i="18" a="1"/>
  <c r="T121" i="18" s="1"/>
  <c r="T114" i="18" a="1"/>
  <c r="T114" i="18" s="1"/>
  <c r="T107" i="18" a="1"/>
  <c r="T107" i="18" s="1"/>
  <c r="T99" i="18" a="1"/>
  <c r="T99" i="18" s="1"/>
  <c r="T91" i="18" a="1"/>
  <c r="T91" i="18" s="1"/>
  <c r="T84" i="18" a="1"/>
  <c r="T84" i="18" s="1"/>
  <c r="T77" i="18" a="1"/>
  <c r="T77" i="18" s="1"/>
  <c r="T69" i="18" a="1"/>
  <c r="T69" i="18" s="1"/>
  <c r="T61" i="18" a="1"/>
  <c r="T61" i="18" s="1"/>
  <c r="T54" i="18" a="1"/>
  <c r="T54" i="18" s="1"/>
  <c r="T47" i="18" a="1"/>
  <c r="T47" i="18" s="1"/>
  <c r="T40" i="18" a="1"/>
  <c r="T40" i="18" s="1"/>
  <c r="T32" i="18" a="1"/>
  <c r="T32" i="18" s="1"/>
  <c r="T24" i="18" a="1"/>
  <c r="T24" i="18" s="1"/>
  <c r="T17" i="18" a="1"/>
  <c r="T17" i="18" s="1"/>
  <c r="T10" i="18" a="1"/>
  <c r="T10" i="18" s="1"/>
  <c r="T2" i="18" a="1"/>
  <c r="T2" i="18" s="1"/>
  <c r="S714" i="18" a="1"/>
  <c r="S714" i="18" s="1"/>
  <c r="S707" i="18" a="1"/>
  <c r="S707" i="18" s="1"/>
  <c r="S700" i="18" a="1"/>
  <c r="S700" i="18" s="1"/>
  <c r="S692" i="18" a="1"/>
  <c r="S692" i="18" s="1"/>
  <c r="S684" i="18" a="1"/>
  <c r="S684" i="18" s="1"/>
  <c r="S677" i="18" a="1"/>
  <c r="S677" i="18" s="1"/>
  <c r="S662" i="18" a="1"/>
  <c r="S662" i="18" s="1"/>
  <c r="S654" i="18" a="1"/>
  <c r="S654" i="18" s="1"/>
  <c r="S646" i="18" a="1"/>
  <c r="S646" i="18" s="1"/>
  <c r="S639" i="18" a="1"/>
  <c r="S639" i="18" s="1"/>
  <c r="S632" i="18" a="1"/>
  <c r="S632" i="18" s="1"/>
  <c r="S624" i="18" a="1"/>
  <c r="S624" i="18" s="1"/>
  <c r="S616" i="18" a="1"/>
  <c r="S616" i="18" s="1"/>
  <c r="S609" i="18" a="1"/>
  <c r="S609" i="18" s="1"/>
  <c r="S602" i="18" a="1"/>
  <c r="S602" i="18" s="1"/>
  <c r="S594" i="18" a="1"/>
  <c r="S594" i="18" s="1"/>
  <c r="S586" i="18" a="1"/>
  <c r="S586" i="18" s="1"/>
  <c r="S579" i="18" a="1"/>
  <c r="S579" i="18" s="1"/>
  <c r="S572" i="18" a="1"/>
  <c r="S572" i="18" s="1"/>
  <c r="S564" i="18" a="1"/>
  <c r="S564" i="18" s="1"/>
  <c r="S556" i="18" a="1"/>
  <c r="S556" i="18" s="1"/>
  <c r="S549" i="18" a="1"/>
  <c r="S549" i="18" s="1"/>
  <c r="S535" i="18" a="1"/>
  <c r="S535" i="18" s="1"/>
  <c r="S527" i="18" a="1"/>
  <c r="S527" i="18" s="1"/>
  <c r="S519" i="18" a="1"/>
  <c r="S519" i="18" s="1"/>
  <c r="S512" i="18" a="1"/>
  <c r="S512" i="18" s="1"/>
  <c r="S498" i="18" a="1"/>
  <c r="S498" i="18" s="1"/>
  <c r="S490" i="18" a="1"/>
  <c r="S490" i="18" s="1"/>
  <c r="S483" i="18" a="1"/>
  <c r="S483" i="18" s="1"/>
  <c r="S476" i="18" a="1"/>
  <c r="S476" i="18" s="1"/>
  <c r="S469" i="18" a="1"/>
  <c r="S469" i="18" s="1"/>
  <c r="S461" i="18" a="1"/>
  <c r="S461" i="18" s="1"/>
  <c r="S453" i="18" a="1"/>
  <c r="S453" i="18" s="1"/>
  <c r="S439" i="18" a="1"/>
  <c r="S439" i="18" s="1"/>
  <c r="S431" i="18" a="1"/>
  <c r="S431" i="18" s="1"/>
  <c r="S423" i="18" a="1"/>
  <c r="S423" i="18" s="1"/>
  <c r="S415" i="18" a="1"/>
  <c r="S415" i="18" s="1"/>
  <c r="S409" i="18" a="1"/>
  <c r="S409" i="18" s="1"/>
  <c r="S401" i="18" a="1"/>
  <c r="S401" i="18" s="1"/>
  <c r="S393" i="18" a="1"/>
  <c r="S393" i="18" s="1"/>
  <c r="S386" i="18" a="1"/>
  <c r="S386" i="18" s="1"/>
  <c r="S380" i="18" a="1"/>
  <c r="S380" i="18" s="1"/>
  <c r="S374" i="18" a="1"/>
  <c r="S374" i="18" s="1"/>
  <c r="S369" i="18" a="1"/>
  <c r="S369" i="18" s="1"/>
  <c r="S363" i="18" a="1"/>
  <c r="S363" i="18" s="1"/>
  <c r="S357" i="18" a="1"/>
  <c r="S357" i="18" s="1"/>
  <c r="S345" i="18" a="1"/>
  <c r="S345" i="18" s="1"/>
  <c r="S334" i="18" a="1"/>
  <c r="S334" i="18" s="1"/>
  <c r="S328" i="18" a="1"/>
  <c r="S328" i="18" s="1"/>
  <c r="S322" i="18" a="1"/>
  <c r="S322" i="18" s="1"/>
  <c r="S316" i="18" a="1"/>
  <c r="S316" i="18" s="1"/>
  <c r="S305" i="18" a="1"/>
  <c r="S305" i="18" s="1"/>
  <c r="S299" i="18" a="1"/>
  <c r="S299" i="18" s="1"/>
  <c r="S293" i="18" a="1"/>
  <c r="S293" i="18" s="1"/>
  <c r="S281" i="18" a="1"/>
  <c r="S281" i="18" s="1"/>
  <c r="S270" i="18" a="1"/>
  <c r="S270" i="18" s="1"/>
  <c r="S264" i="18" a="1"/>
  <c r="S264" i="18" s="1"/>
  <c r="S253" i="18" a="1"/>
  <c r="S253" i="18" s="1"/>
  <c r="S247" i="18" a="1"/>
  <c r="S247" i="18" s="1"/>
  <c r="S236" i="18" a="1"/>
  <c r="S236" i="18" s="1"/>
  <c r="S227" i="18" a="1"/>
  <c r="S227" i="18" s="1"/>
  <c r="S213" i="18" a="1"/>
  <c r="S213" i="18" s="1"/>
  <c r="S174" i="18" a="1"/>
  <c r="S174" i="18" s="1"/>
  <c r="S147" i="18" a="1"/>
  <c r="S147" i="18" s="1"/>
  <c r="S103" i="18" a="1"/>
  <c r="S103" i="18" s="1"/>
  <c r="S57" i="18" a="1"/>
  <c r="S57" i="18" s="1"/>
  <c r="T150" i="18" a="1"/>
  <c r="T150" i="18" s="1"/>
  <c r="T143" i="18" a="1"/>
  <c r="T143" i="18" s="1"/>
  <c r="T136" i="18" a="1"/>
  <c r="T136" i="18" s="1"/>
  <c r="T128" i="18" a="1"/>
  <c r="T128" i="18" s="1"/>
  <c r="T120" i="18" a="1"/>
  <c r="T120" i="18" s="1"/>
  <c r="T113" i="18" a="1"/>
  <c r="T113" i="18" s="1"/>
  <c r="T106" i="18" a="1"/>
  <c r="T106" i="18" s="1"/>
  <c r="T98" i="18" a="1"/>
  <c r="T98" i="18" s="1"/>
  <c r="T90" i="18" a="1"/>
  <c r="T90" i="18" s="1"/>
  <c r="T83" i="18" a="1"/>
  <c r="T83" i="18" s="1"/>
  <c r="T76" i="18" a="1"/>
  <c r="T76" i="18" s="1"/>
  <c r="T68" i="18" a="1"/>
  <c r="T68" i="18" s="1"/>
  <c r="T60" i="18" a="1"/>
  <c r="T60" i="18" s="1"/>
  <c r="T46" i="18" a="1"/>
  <c r="T46" i="18" s="1"/>
  <c r="T39" i="18" a="1"/>
  <c r="T39" i="18" s="1"/>
  <c r="T31" i="18" a="1"/>
  <c r="T31" i="18" s="1"/>
  <c r="T23" i="18" a="1"/>
  <c r="T23" i="18" s="1"/>
  <c r="T16" i="18" a="1"/>
  <c r="T16" i="18" s="1"/>
  <c r="T9" i="18" a="1"/>
  <c r="T9" i="18" s="1"/>
  <c r="S721" i="18" a="1"/>
  <c r="S721" i="18" s="1"/>
  <c r="S713" i="18" a="1"/>
  <c r="S713" i="18" s="1"/>
  <c r="S706" i="18" a="1"/>
  <c r="S706" i="18" s="1"/>
  <c r="S699" i="18" a="1"/>
  <c r="S699" i="18" s="1"/>
  <c r="S691" i="18" a="1"/>
  <c r="S691" i="18" s="1"/>
  <c r="S683" i="18" a="1"/>
  <c r="S683" i="18" s="1"/>
  <c r="S676" i="18" a="1"/>
  <c r="S676" i="18" s="1"/>
  <c r="S669" i="18" a="1"/>
  <c r="S669" i="18" s="1"/>
  <c r="S661" i="18" a="1"/>
  <c r="S661" i="18" s="1"/>
  <c r="S653" i="18" a="1"/>
  <c r="S653" i="18" s="1"/>
  <c r="S638" i="18" a="1"/>
  <c r="S638" i="18" s="1"/>
  <c r="S631" i="18" a="1"/>
  <c r="S631" i="18" s="1"/>
  <c r="S623" i="18" a="1"/>
  <c r="S623" i="18" s="1"/>
  <c r="S615" i="18" a="1"/>
  <c r="S615" i="18" s="1"/>
  <c r="S608" i="18" a="1"/>
  <c r="S608" i="18" s="1"/>
  <c r="S601" i="18" a="1"/>
  <c r="S601" i="18" s="1"/>
  <c r="S593" i="18" a="1"/>
  <c r="S593" i="18" s="1"/>
  <c r="S585" i="18" a="1"/>
  <c r="S585" i="18" s="1"/>
  <c r="S578" i="18" a="1"/>
  <c r="S578" i="18" s="1"/>
  <c r="S571" i="18" a="1"/>
  <c r="S571" i="18" s="1"/>
  <c r="S563" i="18" a="1"/>
  <c r="S563" i="18" s="1"/>
  <c r="S555" i="18" a="1"/>
  <c r="S555" i="18" s="1"/>
  <c r="S548" i="18" a="1"/>
  <c r="S548" i="18" s="1"/>
  <c r="S541" i="18" a="1"/>
  <c r="S541" i="18" s="1"/>
  <c r="S534" i="18" a="1"/>
  <c r="S534" i="18" s="1"/>
  <c r="S526" i="18" a="1"/>
  <c r="S526" i="18" s="1"/>
  <c r="S518" i="18" a="1"/>
  <c r="S518" i="18" s="1"/>
  <c r="S511" i="18" a="1"/>
  <c r="S511" i="18" s="1"/>
  <c r="S505" i="18" a="1"/>
  <c r="S505" i="18" s="1"/>
  <c r="S497" i="18" a="1"/>
  <c r="S497" i="18" s="1"/>
  <c r="S489" i="18" a="1"/>
  <c r="S489" i="18" s="1"/>
  <c r="S482" i="18" a="1"/>
  <c r="S482" i="18" s="1"/>
  <c r="S475" i="18" a="1"/>
  <c r="S475" i="18" s="1"/>
  <c r="S468" i="18" a="1"/>
  <c r="S468" i="18" s="1"/>
  <c r="S460" i="18" a="1"/>
  <c r="S460" i="18" s="1"/>
  <c r="S452" i="18" a="1"/>
  <c r="S452" i="18" s="1"/>
  <c r="S445" i="18" a="1"/>
  <c r="S445" i="18" s="1"/>
  <c r="S438" i="18" a="1"/>
  <c r="S438" i="18" s="1"/>
  <c r="S430" i="18" a="1"/>
  <c r="S430" i="18" s="1"/>
  <c r="S422" i="18" a="1"/>
  <c r="S422" i="18" s="1"/>
  <c r="S414" i="18" a="1"/>
  <c r="S414" i="18" s="1"/>
  <c r="S408" i="18" a="1"/>
  <c r="S408" i="18" s="1"/>
  <c r="S400" i="18" a="1"/>
  <c r="S400" i="18" s="1"/>
  <c r="S392" i="18" a="1"/>
  <c r="S392" i="18" s="1"/>
  <c r="S379" i="18" a="1"/>
  <c r="S379" i="18" s="1"/>
  <c r="S368" i="18" a="1"/>
  <c r="S368" i="18" s="1"/>
  <c r="S356" i="18" a="1"/>
  <c r="S356" i="18" s="1"/>
  <c r="S351" i="18" a="1"/>
  <c r="S351" i="18" s="1"/>
  <c r="S344" i="18" a="1"/>
  <c r="S344" i="18" s="1"/>
  <c r="S339" i="18" a="1"/>
  <c r="S339" i="18" s="1"/>
  <c r="S327" i="18" a="1"/>
  <c r="S327" i="18" s="1"/>
  <c r="S315" i="18" a="1"/>
  <c r="S315" i="18" s="1"/>
  <c r="S310" i="18" a="1"/>
  <c r="S310" i="18" s="1"/>
  <c r="S304" i="18" a="1"/>
  <c r="S304" i="18" s="1"/>
  <c r="S292" i="18" a="1"/>
  <c r="S292" i="18" s="1"/>
  <c r="S287" i="18" a="1"/>
  <c r="S287" i="18" s="1"/>
  <c r="S280" i="18" a="1"/>
  <c r="S280" i="18" s="1"/>
  <c r="S275" i="18" a="1"/>
  <c r="S275" i="18" s="1"/>
  <c r="S263" i="18" a="1"/>
  <c r="S263" i="18" s="1"/>
  <c r="S258" i="18" a="1"/>
  <c r="S258" i="18" s="1"/>
  <c r="S252" i="18" a="1"/>
  <c r="S252" i="18" s="1"/>
  <c r="S241" i="18" a="1"/>
  <c r="S241" i="18" s="1"/>
  <c r="S211" i="18" a="1"/>
  <c r="S211" i="18" s="1"/>
  <c r="S194" i="18" a="1"/>
  <c r="S194" i="18" s="1"/>
  <c r="S172" i="18" a="1"/>
  <c r="S172" i="18" s="1"/>
  <c r="S98" i="18" a="1"/>
  <c r="S98" i="18" s="1"/>
  <c r="P697" i="18" a="1"/>
  <c r="P697" i="18" s="1"/>
  <c r="R697" i="18" s="1"/>
  <c r="U697" i="18" s="1"/>
  <c r="T226" i="18" a="1"/>
  <c r="T226" i="18" s="1"/>
  <c r="T214" i="18" a="1"/>
  <c r="T214" i="18" s="1"/>
  <c r="T207" i="18" a="1"/>
  <c r="T207" i="18" s="1"/>
  <c r="T201" i="18" a="1"/>
  <c r="T201" i="18" s="1"/>
  <c r="T194" i="18" a="1"/>
  <c r="T194" i="18" s="1"/>
  <c r="T182" i="18" a="1"/>
  <c r="T182" i="18" s="1"/>
  <c r="T175" i="18" a="1"/>
  <c r="T175" i="18" s="1"/>
  <c r="T169" i="18" a="1"/>
  <c r="T169" i="18" s="1"/>
  <c r="T162" i="18" a="1"/>
  <c r="T162" i="18" s="1"/>
  <c r="T142" i="18" a="1"/>
  <c r="T142" i="18" s="1"/>
  <c r="T135" i="18" a="1"/>
  <c r="T135" i="18" s="1"/>
  <c r="T127" i="18" a="1"/>
  <c r="T127" i="18" s="1"/>
  <c r="T119" i="18" a="1"/>
  <c r="T119" i="18" s="1"/>
  <c r="T112" i="18" a="1"/>
  <c r="T112" i="18" s="1"/>
  <c r="T105" i="18" a="1"/>
  <c r="T105" i="18" s="1"/>
  <c r="T97" i="18" a="1"/>
  <c r="T97" i="18" s="1"/>
  <c r="T89" i="18" a="1"/>
  <c r="T89" i="18" s="1"/>
  <c r="T82" i="18" a="1"/>
  <c r="T82" i="18" s="1"/>
  <c r="T75" i="18" a="1"/>
  <c r="T75" i="18" s="1"/>
  <c r="T67" i="18" a="1"/>
  <c r="T67" i="18" s="1"/>
  <c r="T59" i="18" a="1"/>
  <c r="T59" i="18" s="1"/>
  <c r="T53" i="18" a="1"/>
  <c r="T53" i="18" s="1"/>
  <c r="T38" i="18" a="1"/>
  <c r="T38" i="18" s="1"/>
  <c r="T30" i="18" a="1"/>
  <c r="T30" i="18" s="1"/>
  <c r="T22" i="18" a="1"/>
  <c r="T22" i="18" s="1"/>
  <c r="T15" i="18" a="1"/>
  <c r="T15" i="18" s="1"/>
  <c r="T8" i="18" a="1"/>
  <c r="T8" i="18" s="1"/>
  <c r="S720" i="18" a="1"/>
  <c r="S720" i="18" s="1"/>
  <c r="S712" i="18" a="1"/>
  <c r="S712" i="18" s="1"/>
  <c r="S705" i="18" a="1"/>
  <c r="S705" i="18" s="1"/>
  <c r="S698" i="18" a="1"/>
  <c r="S698" i="18" s="1"/>
  <c r="S690" i="18" a="1"/>
  <c r="S690" i="18" s="1"/>
  <c r="S682" i="18" a="1"/>
  <c r="S682" i="18" s="1"/>
  <c r="S675" i="18" a="1"/>
  <c r="S675" i="18" s="1"/>
  <c r="S668" i="18" a="1"/>
  <c r="S668" i="18" s="1"/>
  <c r="S660" i="18" a="1"/>
  <c r="S660" i="18" s="1"/>
  <c r="S652" i="18" a="1"/>
  <c r="S652" i="18" s="1"/>
  <c r="S645" i="18" a="1"/>
  <c r="S645" i="18" s="1"/>
  <c r="S630" i="18" a="1"/>
  <c r="S630" i="18" s="1"/>
  <c r="S622" i="18" a="1"/>
  <c r="S622" i="18" s="1"/>
  <c r="S614" i="18" a="1"/>
  <c r="S614" i="18" s="1"/>
  <c r="S607" i="18" a="1"/>
  <c r="S607" i="18" s="1"/>
  <c r="S600" i="18" a="1"/>
  <c r="S600" i="18" s="1"/>
  <c r="S592" i="18" a="1"/>
  <c r="S592" i="18" s="1"/>
  <c r="S584" i="18" a="1"/>
  <c r="S584" i="18" s="1"/>
  <c r="S577" i="18" a="1"/>
  <c r="S577" i="18" s="1"/>
  <c r="S570" i="18" a="1"/>
  <c r="S570" i="18" s="1"/>
  <c r="S562" i="18" a="1"/>
  <c r="S562" i="18" s="1"/>
  <c r="S554" i="18" a="1"/>
  <c r="S554" i="18" s="1"/>
  <c r="S547" i="18" a="1"/>
  <c r="S547" i="18" s="1"/>
  <c r="S540" i="18" a="1"/>
  <c r="S540" i="18" s="1"/>
  <c r="S533" i="18" a="1"/>
  <c r="S533" i="18" s="1"/>
  <c r="S525" i="18" a="1"/>
  <c r="S525" i="18" s="1"/>
  <c r="S510" i="18" a="1"/>
  <c r="S510" i="18" s="1"/>
  <c r="S504" i="18" a="1"/>
  <c r="S504" i="18" s="1"/>
  <c r="S496" i="18" a="1"/>
  <c r="S496" i="18" s="1"/>
  <c r="S488" i="18" a="1"/>
  <c r="S488" i="18" s="1"/>
  <c r="S481" i="18" a="1"/>
  <c r="S481" i="18" s="1"/>
  <c r="S474" i="18" a="1"/>
  <c r="S474" i="18" s="1"/>
  <c r="S467" i="18" a="1"/>
  <c r="S467" i="18" s="1"/>
  <c r="S459" i="18" a="1"/>
  <c r="S459" i="18" s="1"/>
  <c r="S451" i="18" a="1"/>
  <c r="S451" i="18" s="1"/>
  <c r="S444" i="18" a="1"/>
  <c r="S444" i="18" s="1"/>
  <c r="S437" i="18" a="1"/>
  <c r="S437" i="18" s="1"/>
  <c r="S429" i="18" a="1"/>
  <c r="S429" i="18" s="1"/>
  <c r="S421" i="18" a="1"/>
  <c r="S421" i="18" s="1"/>
  <c r="S407" i="18" a="1"/>
  <c r="S407" i="18" s="1"/>
  <c r="S399" i="18" a="1"/>
  <c r="S399" i="18" s="1"/>
  <c r="S391" i="18" a="1"/>
  <c r="S391" i="18" s="1"/>
  <c r="S385" i="18" a="1"/>
  <c r="S385" i="18" s="1"/>
  <c r="S378" i="18" a="1"/>
  <c r="S378" i="18" s="1"/>
  <c r="S373" i="18" a="1"/>
  <c r="S373" i="18" s="1"/>
  <c r="S367" i="18" a="1"/>
  <c r="S367" i="18" s="1"/>
  <c r="S362" i="18" a="1"/>
  <c r="S362" i="18" s="1"/>
  <c r="S350" i="18" a="1"/>
  <c r="S350" i="18" s="1"/>
  <c r="S338" i="18" a="1"/>
  <c r="S338" i="18" s="1"/>
  <c r="S333" i="18" a="1"/>
  <c r="S333" i="18" s="1"/>
  <c r="S326" i="18" a="1"/>
  <c r="S326" i="18" s="1"/>
  <c r="S321" i="18" a="1"/>
  <c r="S321" i="18" s="1"/>
  <c r="S309" i="18" a="1"/>
  <c r="S309" i="18" s="1"/>
  <c r="S303" i="18" a="1"/>
  <c r="S303" i="18" s="1"/>
  <c r="S298" i="18" a="1"/>
  <c r="S298" i="18" s="1"/>
  <c r="S286" i="18" a="1"/>
  <c r="S286" i="18" s="1"/>
  <c r="S274" i="18" a="1"/>
  <c r="S274" i="18" s="1"/>
  <c r="S269" i="18" a="1"/>
  <c r="S269" i="18" s="1"/>
  <c r="S262" i="18" a="1"/>
  <c r="S262" i="18" s="1"/>
  <c r="S251" i="18" a="1"/>
  <c r="S251" i="18" s="1"/>
  <c r="S246" i="18" a="1"/>
  <c r="S246" i="18" s="1"/>
  <c r="S240" i="18" a="1"/>
  <c r="S240" i="18" s="1"/>
  <c r="S233" i="18" a="1"/>
  <c r="S233" i="18" s="1"/>
  <c r="S225" i="18" a="1"/>
  <c r="S225" i="18" s="1"/>
  <c r="S208" i="18" a="1"/>
  <c r="S208" i="18" s="1"/>
  <c r="S191" i="18" a="1"/>
  <c r="S191" i="18" s="1"/>
  <c r="S169" i="18" a="1"/>
  <c r="S169" i="18" s="1"/>
  <c r="S136" i="18" a="1"/>
  <c r="S136" i="18" s="1"/>
  <c r="S92" i="18" a="1"/>
  <c r="S92" i="18" s="1"/>
  <c r="P658" i="18" a="1"/>
  <c r="P658" i="18" s="1"/>
  <c r="R658" i="18" s="1"/>
  <c r="U658" i="18" s="1"/>
  <c r="T200" i="18" a="1"/>
  <c r="T200" i="18" s="1"/>
  <c r="T193" i="18" a="1"/>
  <c r="T193" i="18" s="1"/>
  <c r="T187" i="18" a="1"/>
  <c r="T187" i="18" s="1"/>
  <c r="T181" i="18" a="1"/>
  <c r="T181" i="18" s="1"/>
  <c r="T174" i="18" a="1"/>
  <c r="T174" i="18" s="1"/>
  <c r="T168" i="18" a="1"/>
  <c r="T168" i="18" s="1"/>
  <c r="T161" i="18" a="1"/>
  <c r="T161" i="18" s="1"/>
  <c r="T155" i="18" a="1"/>
  <c r="T155" i="18" s="1"/>
  <c r="T149" i="18" a="1"/>
  <c r="T149" i="18" s="1"/>
  <c r="T134" i="18" a="1"/>
  <c r="T134" i="18" s="1"/>
  <c r="T126" i="18" a="1"/>
  <c r="T126" i="18" s="1"/>
  <c r="T118" i="18" a="1"/>
  <c r="T118" i="18" s="1"/>
  <c r="T111" i="18" a="1"/>
  <c r="T111" i="18" s="1"/>
  <c r="T104" i="18" a="1"/>
  <c r="T104" i="18" s="1"/>
  <c r="T96" i="18" a="1"/>
  <c r="T96" i="18" s="1"/>
  <c r="T88" i="18" a="1"/>
  <c r="T88" i="18" s="1"/>
  <c r="T81" i="18" a="1"/>
  <c r="T81" i="18" s="1"/>
  <c r="T74" i="18" a="1"/>
  <c r="T74" i="18" s="1"/>
  <c r="T66" i="18" a="1"/>
  <c r="T66" i="18" s="1"/>
  <c r="T58" i="18" a="1"/>
  <c r="T58" i="18" s="1"/>
  <c r="T52" i="18" a="1"/>
  <c r="T52" i="18" s="1"/>
  <c r="T45" i="18" a="1"/>
  <c r="T45" i="18" s="1"/>
  <c r="T37" i="18" a="1"/>
  <c r="T37" i="18" s="1"/>
  <c r="T29" i="18" a="1"/>
  <c r="T29" i="18" s="1"/>
  <c r="T14" i="18" a="1"/>
  <c r="T14" i="18" s="1"/>
  <c r="T7" i="18" a="1"/>
  <c r="T7" i="18" s="1"/>
  <c r="S719" i="18" a="1"/>
  <c r="S719" i="18" s="1"/>
  <c r="S711" i="18" a="1"/>
  <c r="S711" i="18" s="1"/>
  <c r="S704" i="18" a="1"/>
  <c r="S704" i="18" s="1"/>
  <c r="S697" i="18" a="1"/>
  <c r="S697" i="18" s="1"/>
  <c r="S689" i="18" a="1"/>
  <c r="S689" i="18" s="1"/>
  <c r="S681" i="18" a="1"/>
  <c r="S681" i="18" s="1"/>
  <c r="S674" i="18" a="1"/>
  <c r="S674" i="18" s="1"/>
  <c r="S667" i="18" a="1"/>
  <c r="S667" i="18" s="1"/>
  <c r="S659" i="18" a="1"/>
  <c r="S659" i="18" s="1"/>
  <c r="S651" i="18" a="1"/>
  <c r="S651" i="18" s="1"/>
  <c r="S644" i="18" a="1"/>
  <c r="S644" i="18" s="1"/>
  <c r="S637" i="18" a="1"/>
  <c r="S637" i="18" s="1"/>
  <c r="S629" i="18" a="1"/>
  <c r="S629" i="18" s="1"/>
  <c r="S621" i="18" a="1"/>
  <c r="S621" i="18" s="1"/>
  <c r="S606" i="18" a="1"/>
  <c r="S606" i="18" s="1"/>
  <c r="S599" i="18" a="1"/>
  <c r="S599" i="18" s="1"/>
  <c r="S591" i="18" a="1"/>
  <c r="S591" i="18" s="1"/>
  <c r="S583" i="18" a="1"/>
  <c r="S583" i="18" s="1"/>
  <c r="S576" i="18" a="1"/>
  <c r="S576" i="18" s="1"/>
  <c r="S569" i="18" a="1"/>
  <c r="S569" i="18" s="1"/>
  <c r="S561" i="18" a="1"/>
  <c r="S561" i="18" s="1"/>
  <c r="S553" i="18" a="1"/>
  <c r="S553" i="18" s="1"/>
  <c r="S546" i="18" a="1"/>
  <c r="S546" i="18" s="1"/>
  <c r="S539" i="18" a="1"/>
  <c r="S539" i="18" s="1"/>
  <c r="S532" i="18" a="1"/>
  <c r="S532" i="18" s="1"/>
  <c r="S524" i="18" a="1"/>
  <c r="S524" i="18" s="1"/>
  <c r="S517" i="18" a="1"/>
  <c r="S517" i="18" s="1"/>
  <c r="S503" i="18" a="1"/>
  <c r="S503" i="18" s="1"/>
  <c r="S495" i="18" a="1"/>
  <c r="S495" i="18" s="1"/>
  <c r="S487" i="18" a="1"/>
  <c r="S487" i="18" s="1"/>
  <c r="S480" i="18" a="1"/>
  <c r="S480" i="18" s="1"/>
  <c r="S466" i="18" a="1"/>
  <c r="S466" i="18" s="1"/>
  <c r="S458" i="18" a="1"/>
  <c r="S458" i="18" s="1"/>
  <c r="S450" i="18" a="1"/>
  <c r="S450" i="18" s="1"/>
  <c r="S443" i="18" a="1"/>
  <c r="S443" i="18" s="1"/>
  <c r="S436" i="18" a="1"/>
  <c r="S436" i="18" s="1"/>
  <c r="S428" i="18" a="1"/>
  <c r="S428" i="18" s="1"/>
  <c r="S420" i="18" a="1"/>
  <c r="S420" i="18" s="1"/>
  <c r="S413" i="18" a="1"/>
  <c r="S413" i="18" s="1"/>
  <c r="S406" i="18" a="1"/>
  <c r="S406" i="18" s="1"/>
  <c r="S398" i="18" a="1"/>
  <c r="S398" i="18" s="1"/>
  <c r="S390" i="18" a="1"/>
  <c r="S390" i="18" s="1"/>
  <c r="S384" i="18" a="1"/>
  <c r="S384" i="18" s="1"/>
  <c r="S372" i="18" a="1"/>
  <c r="S372" i="18" s="1"/>
  <c r="S361" i="18" a="1"/>
  <c r="S361" i="18" s="1"/>
  <c r="S355" i="18" a="1"/>
  <c r="S355" i="18" s="1"/>
  <c r="S349" i="18" a="1"/>
  <c r="S349" i="18" s="1"/>
  <c r="S343" i="18" a="1"/>
  <c r="S343" i="18" s="1"/>
  <c r="S332" i="18" a="1"/>
  <c r="S332" i="18" s="1"/>
  <c r="S320" i="18" a="1"/>
  <c r="S320" i="18" s="1"/>
  <c r="S314" i="18" a="1"/>
  <c r="S314" i="18" s="1"/>
  <c r="S308" i="18" a="1"/>
  <c r="S308" i="18" s="1"/>
  <c r="S297" i="18" a="1"/>
  <c r="S297" i="18" s="1"/>
  <c r="S291" i="18" a="1"/>
  <c r="S291" i="18" s="1"/>
  <c r="S285" i="18" a="1"/>
  <c r="S285" i="18" s="1"/>
  <c r="S279" i="18" a="1"/>
  <c r="S279" i="18" s="1"/>
  <c r="S268" i="18" a="1"/>
  <c r="S268" i="18" s="1"/>
  <c r="S257" i="18" a="1"/>
  <c r="S257" i="18" s="1"/>
  <c r="S245" i="18" a="1"/>
  <c r="S245" i="18" s="1"/>
  <c r="S239" i="18" a="1"/>
  <c r="S239" i="18" s="1"/>
  <c r="S232" i="18" a="1"/>
  <c r="S232" i="18" s="1"/>
  <c r="S223" i="18" a="1"/>
  <c r="S223" i="18" s="1"/>
  <c r="S207" i="18" a="1"/>
  <c r="S207" i="18" s="1"/>
  <c r="S188" i="18" a="1"/>
  <c r="S188" i="18" s="1"/>
  <c r="S166" i="18" a="1"/>
  <c r="S166" i="18" s="1"/>
  <c r="S87" i="18" a="1"/>
  <c r="S87" i="18" s="1"/>
  <c r="S35" i="18" a="1"/>
  <c r="S35" i="18" s="1"/>
  <c r="P498" i="18" a="1"/>
  <c r="P498" i="18" s="1"/>
  <c r="R498" i="18" s="1"/>
  <c r="U498" i="18" s="1"/>
  <c r="T212" i="18" a="1"/>
  <c r="T212" i="18" s="1"/>
  <c r="T205" i="18" a="1"/>
  <c r="T205" i="18" s="1"/>
  <c r="T192" i="18" a="1"/>
  <c r="T192" i="18" s="1"/>
  <c r="T186" i="18" a="1"/>
  <c r="T186" i="18" s="1"/>
  <c r="T180" i="18" a="1"/>
  <c r="T180" i="18" s="1"/>
  <c r="T173" i="18" a="1"/>
  <c r="T173" i="18" s="1"/>
  <c r="T160" i="18" a="1"/>
  <c r="T160" i="18" s="1"/>
  <c r="T154" i="18" a="1"/>
  <c r="T154" i="18" s="1"/>
  <c r="T148" i="18" a="1"/>
  <c r="T148" i="18" s="1"/>
  <c r="T141" i="18" a="1"/>
  <c r="T141" i="18" s="1"/>
  <c r="T133" i="18" a="1"/>
  <c r="T133" i="18" s="1"/>
  <c r="T125" i="18" a="1"/>
  <c r="T125" i="18" s="1"/>
  <c r="T110" i="18" a="1"/>
  <c r="T110" i="18" s="1"/>
  <c r="T103" i="18" a="1"/>
  <c r="T103" i="18" s="1"/>
  <c r="T95" i="18" a="1"/>
  <c r="T95" i="18" s="1"/>
  <c r="T87" i="18" a="1"/>
  <c r="T87" i="18" s="1"/>
  <c r="T80" i="18" a="1"/>
  <c r="T80" i="18" s="1"/>
  <c r="T73" i="18" a="1"/>
  <c r="T73" i="18" s="1"/>
  <c r="T65" i="18" a="1"/>
  <c r="T65" i="18" s="1"/>
  <c r="T51" i="18" a="1"/>
  <c r="T51" i="18" s="1"/>
  <c r="T44" i="18" a="1"/>
  <c r="T44" i="18" s="1"/>
  <c r="T36" i="18" a="1"/>
  <c r="T36" i="18" s="1"/>
  <c r="T28" i="18" a="1"/>
  <c r="T28" i="18" s="1"/>
  <c r="T21" i="18" a="1"/>
  <c r="T21" i="18" s="1"/>
  <c r="T6" i="18" a="1"/>
  <c r="T6" i="18" s="1"/>
  <c r="S718" i="18" a="1"/>
  <c r="S718" i="18" s="1"/>
  <c r="S710" i="18" a="1"/>
  <c r="S710" i="18" s="1"/>
  <c r="S703" i="18" a="1"/>
  <c r="S703" i="18" s="1"/>
  <c r="S696" i="18" a="1"/>
  <c r="S696" i="18" s="1"/>
  <c r="S688" i="18" a="1"/>
  <c r="S688" i="18" s="1"/>
  <c r="S680" i="18" a="1"/>
  <c r="S680" i="18" s="1"/>
  <c r="S673" i="18" a="1"/>
  <c r="S673" i="18" s="1"/>
  <c r="S666" i="18" a="1"/>
  <c r="S666" i="18" s="1"/>
  <c r="S658" i="18" a="1"/>
  <c r="S658" i="18" s="1"/>
  <c r="S650" i="18" a="1"/>
  <c r="S650" i="18" s="1"/>
  <c r="S643" i="18" a="1"/>
  <c r="S643" i="18" s="1"/>
  <c r="S636" i="18" a="1"/>
  <c r="S636" i="18" s="1"/>
  <c r="S628" i="18" a="1"/>
  <c r="S628" i="18" s="1"/>
  <c r="S620" i="18" a="1"/>
  <c r="S620" i="18" s="1"/>
  <c r="S613" i="18" a="1"/>
  <c r="S613" i="18" s="1"/>
  <c r="S598" i="18" a="1"/>
  <c r="S598" i="18" s="1"/>
  <c r="S590" i="18" a="1"/>
  <c r="S590" i="18" s="1"/>
  <c r="S582" i="18" a="1"/>
  <c r="S582" i="18" s="1"/>
  <c r="S575" i="18" a="1"/>
  <c r="S575" i="18" s="1"/>
  <c r="S568" i="18" a="1"/>
  <c r="S568" i="18" s="1"/>
  <c r="S560" i="18" a="1"/>
  <c r="S560" i="18" s="1"/>
  <c r="S552" i="18" a="1"/>
  <c r="S552" i="18" s="1"/>
  <c r="S545" i="18" a="1"/>
  <c r="S545" i="18" s="1"/>
  <c r="S538" i="18" a="1"/>
  <c r="S538" i="18" s="1"/>
  <c r="S531" i="18" a="1"/>
  <c r="S531" i="18" s="1"/>
  <c r="S523" i="18" a="1"/>
  <c r="S523" i="18" s="1"/>
  <c r="S516" i="18" a="1"/>
  <c r="S516" i="18" s="1"/>
  <c r="S509" i="18" a="1"/>
  <c r="S509" i="18" s="1"/>
  <c r="S502" i="18" a="1"/>
  <c r="S502" i="18" s="1"/>
  <c r="S494" i="18" a="1"/>
  <c r="S494" i="18" s="1"/>
  <c r="S486" i="18" a="1"/>
  <c r="S486" i="18" s="1"/>
  <c r="S479" i="18" a="1"/>
  <c r="S479" i="18" s="1"/>
  <c r="S473" i="18" a="1"/>
  <c r="S473" i="18" s="1"/>
  <c r="S465" i="18" a="1"/>
  <c r="S465" i="18" s="1"/>
  <c r="S457" i="18" a="1"/>
  <c r="S457" i="18" s="1"/>
  <c r="S449" i="18" a="1"/>
  <c r="S449" i="18" s="1"/>
  <c r="S442" i="18" a="1"/>
  <c r="S442" i="18" s="1"/>
  <c r="S435" i="18" a="1"/>
  <c r="S435" i="18" s="1"/>
  <c r="S427" i="18" a="1"/>
  <c r="S427" i="18" s="1"/>
  <c r="S419" i="18" a="1"/>
  <c r="S419" i="18" s="1"/>
  <c r="S412" i="18" a="1"/>
  <c r="S412" i="18" s="1"/>
  <c r="S405" i="18" a="1"/>
  <c r="S405" i="18" s="1"/>
  <c r="S397" i="18" a="1"/>
  <c r="S397" i="18" s="1"/>
  <c r="S383" i="18" a="1"/>
  <c r="S383" i="18" s="1"/>
  <c r="S377" i="18" a="1"/>
  <c r="S377" i="18" s="1"/>
  <c r="S371" i="18" a="1"/>
  <c r="S371" i="18" s="1"/>
  <c r="S366" i="18" a="1"/>
  <c r="S366" i="18" s="1"/>
  <c r="S360" i="18" a="1"/>
  <c r="S360" i="18" s="1"/>
  <c r="S354" i="18" a="1"/>
  <c r="S354" i="18" s="1"/>
  <c r="S348" i="18" a="1"/>
  <c r="S348" i="18" s="1"/>
  <c r="S337" i="18" a="1"/>
  <c r="S337" i="18" s="1"/>
  <c r="S331" i="18" a="1"/>
  <c r="S331" i="18" s="1"/>
  <c r="S325" i="18" a="1"/>
  <c r="S325" i="18" s="1"/>
  <c r="S313" i="18" a="1"/>
  <c r="S313" i="18" s="1"/>
  <c r="S302" i="18" a="1"/>
  <c r="S302" i="18" s="1"/>
  <c r="S296" i="18" a="1"/>
  <c r="S296" i="18" s="1"/>
  <c r="S290" i="18" a="1"/>
  <c r="S290" i="18" s="1"/>
  <c r="S284" i="18" a="1"/>
  <c r="S284" i="18" s="1"/>
  <c r="S273" i="18" a="1"/>
  <c r="S273" i="18" s="1"/>
  <c r="S267" i="18" a="1"/>
  <c r="S267" i="18" s="1"/>
  <c r="S261" i="18" a="1"/>
  <c r="S261" i="18" s="1"/>
  <c r="S256" i="18" a="1"/>
  <c r="S256" i="18" s="1"/>
  <c r="S250" i="18" a="1"/>
  <c r="S250" i="18" s="1"/>
  <c r="S244" i="18" a="1"/>
  <c r="S244" i="18" s="1"/>
  <c r="S231" i="18" a="1"/>
  <c r="S231" i="18" s="1"/>
  <c r="S219" i="18" a="1"/>
  <c r="S219" i="18" s="1"/>
  <c r="S185" i="18" a="1"/>
  <c r="S185" i="18" s="1"/>
  <c r="S163" i="18" a="1"/>
  <c r="S163" i="18" s="1"/>
  <c r="S125" i="18" a="1"/>
  <c r="S125" i="18" s="1"/>
  <c r="S27" i="18" a="1"/>
  <c r="S27" i="18" s="1"/>
  <c r="R689" i="18"/>
  <c r="U689" i="18" s="1"/>
  <c r="R670" i="18"/>
  <c r="U670" i="18" s="1"/>
  <c r="R682" i="18"/>
  <c r="U682" i="18" s="1"/>
  <c r="R504" i="18"/>
  <c r="U504" i="18" s="1"/>
  <c r="R225" i="18"/>
  <c r="U225" i="18" s="1"/>
  <c r="R711" i="18"/>
  <c r="U711" i="18" s="1"/>
  <c r="R451" i="18"/>
  <c r="U451" i="18" s="1"/>
  <c r="P719" i="18" a="1"/>
  <c r="P719" i="18" s="1"/>
  <c r="R719" i="18" s="1"/>
  <c r="U719" i="18" s="1"/>
  <c r="P690" i="18" a="1"/>
  <c r="P690" i="18" s="1"/>
  <c r="R690" i="18" s="1"/>
  <c r="U690" i="18" s="1"/>
  <c r="P682" i="18" a="1"/>
  <c r="P682" i="18" s="1"/>
  <c r="P671" i="18" a="1"/>
  <c r="P671" i="18" s="1"/>
  <c r="R671" i="18" s="1"/>
  <c r="U671" i="18" s="1"/>
  <c r="P641" i="18" a="1"/>
  <c r="P641" i="18" s="1"/>
  <c r="R641" i="18" s="1"/>
  <c r="U641" i="18" s="1"/>
  <c r="P553" i="18" a="1"/>
  <c r="P553" i="18" s="1"/>
  <c r="R553" i="18" s="1"/>
  <c r="U553" i="18" s="1"/>
  <c r="O704" i="18" a="1"/>
  <c r="O704" i="18" s="1"/>
  <c r="O696" i="18" a="1"/>
  <c r="O696" i="18" s="1"/>
  <c r="O688" i="18" a="1"/>
  <c r="O688" i="18" s="1"/>
  <c r="P688" i="18" a="1"/>
  <c r="P688" i="18" s="1"/>
  <c r="R688" i="18" s="1"/>
  <c r="U688" i="18" s="1"/>
  <c r="O680" i="18" a="1"/>
  <c r="O680" i="18" s="1"/>
  <c r="O672" i="18" a="1"/>
  <c r="O672" i="18" s="1"/>
  <c r="O664" i="18" a="1"/>
  <c r="O664" i="18" s="1"/>
  <c r="O656" i="18" a="1"/>
  <c r="O656" i="18" s="1"/>
  <c r="O648" i="18" a="1"/>
  <c r="O648" i="18" s="1"/>
  <c r="P648" i="18" a="1"/>
  <c r="P648" i="18" s="1"/>
  <c r="R648" i="18" s="1"/>
  <c r="U648" i="18" s="1"/>
  <c r="O640" i="18" a="1"/>
  <c r="O640" i="18" s="1"/>
  <c r="P640" i="18" a="1"/>
  <c r="P640" i="18" s="1"/>
  <c r="R640" i="18" s="1"/>
  <c r="U640" i="18" s="1"/>
  <c r="O632" i="18" a="1"/>
  <c r="O632" i="18" s="1"/>
  <c r="P632" i="18" a="1"/>
  <c r="P632" i="18" s="1"/>
  <c r="R632" i="18" s="1"/>
  <c r="U632" i="18" s="1"/>
  <c r="O624" i="18" a="1"/>
  <c r="O624" i="18" s="1"/>
  <c r="P624" i="18" a="1"/>
  <c r="P624" i="18" s="1"/>
  <c r="R624" i="18" s="1"/>
  <c r="U624" i="18" s="1"/>
  <c r="O616" i="18" a="1"/>
  <c r="O616" i="18" s="1"/>
  <c r="P616" i="18" a="1"/>
  <c r="P616" i="18" s="1"/>
  <c r="R616" i="18" s="1"/>
  <c r="U616" i="18" s="1"/>
  <c r="O608" i="18" a="1"/>
  <c r="O608" i="18" s="1"/>
  <c r="P608" i="18" a="1"/>
  <c r="P608" i="18" s="1"/>
  <c r="R608" i="18" s="1"/>
  <c r="U608" i="18" s="1"/>
  <c r="O600" i="18" a="1"/>
  <c r="O600" i="18" s="1"/>
  <c r="O592" i="18" a="1"/>
  <c r="O592" i="18" s="1"/>
  <c r="P592" i="18" a="1"/>
  <c r="P592" i="18" s="1"/>
  <c r="R592" i="18" s="1"/>
  <c r="U592" i="18" s="1"/>
  <c r="O584" i="18" a="1"/>
  <c r="O584" i="18" s="1"/>
  <c r="P584" i="18" a="1"/>
  <c r="P584" i="18" s="1"/>
  <c r="R584" i="18" s="1"/>
  <c r="U584" i="18" s="1"/>
  <c r="O576" i="18" a="1"/>
  <c r="O576" i="18" s="1"/>
  <c r="P576" i="18" a="1"/>
  <c r="P576" i="18" s="1"/>
  <c r="R576" i="18" s="1"/>
  <c r="U576" i="18" s="1"/>
  <c r="O568" i="18" a="1"/>
  <c r="O568" i="18" s="1"/>
  <c r="P568" i="18" a="1"/>
  <c r="P568" i="18" s="1"/>
  <c r="R568" i="18" s="1"/>
  <c r="U568" i="18" s="1"/>
  <c r="O560" i="18" a="1"/>
  <c r="O560" i="18" s="1"/>
  <c r="P560" i="18" a="1"/>
  <c r="P560" i="18" s="1"/>
  <c r="R560" i="18" s="1"/>
  <c r="U560" i="18" s="1"/>
  <c r="O552" i="18" a="1"/>
  <c r="O552" i="18" s="1"/>
  <c r="P552" i="18" a="1"/>
  <c r="P552" i="18" s="1"/>
  <c r="R552" i="18" s="1"/>
  <c r="U552" i="18" s="1"/>
  <c r="O544" i="18" a="1"/>
  <c r="O544" i="18" s="1"/>
  <c r="P544" i="18" a="1"/>
  <c r="P544" i="18" s="1"/>
  <c r="R544" i="18" s="1"/>
  <c r="U544" i="18" s="1"/>
  <c r="O536" i="18" a="1"/>
  <c r="O536" i="18" s="1"/>
  <c r="P536" i="18" a="1"/>
  <c r="P536" i="18" s="1"/>
  <c r="O528" i="18" a="1"/>
  <c r="O528" i="18" s="1"/>
  <c r="P528" i="18" a="1"/>
  <c r="P528" i="18" s="1"/>
  <c r="R528" i="18" s="1"/>
  <c r="U528" i="18" s="1"/>
  <c r="O520" i="18" a="1"/>
  <c r="O520" i="18" s="1"/>
  <c r="P520" i="18" a="1"/>
  <c r="P520" i="18" s="1"/>
  <c r="R520" i="18" s="1"/>
  <c r="U520" i="18" s="1"/>
  <c r="O512" i="18" a="1"/>
  <c r="O512" i="18" s="1"/>
  <c r="P512" i="18" a="1"/>
  <c r="P512" i="18" s="1"/>
  <c r="R512" i="18" s="1"/>
  <c r="U512" i="18" s="1"/>
  <c r="O504" i="18" a="1"/>
  <c r="O504" i="18" s="1"/>
  <c r="O496" i="18" a="1"/>
  <c r="O496" i="18" s="1"/>
  <c r="P496" i="18" a="1"/>
  <c r="P496" i="18" s="1"/>
  <c r="O488" i="18" a="1"/>
  <c r="O488" i="18" s="1"/>
  <c r="P488" i="18" a="1"/>
  <c r="P488" i="18" s="1"/>
  <c r="R488" i="18" s="1"/>
  <c r="U488" i="18" s="1"/>
  <c r="O480" i="18" a="1"/>
  <c r="O480" i="18" s="1"/>
  <c r="P480" i="18" a="1"/>
  <c r="P480" i="18" s="1"/>
  <c r="R480" i="18" s="1"/>
  <c r="U480" i="18" s="1"/>
  <c r="O472" i="18" a="1"/>
  <c r="O472" i="18" s="1"/>
  <c r="P472" i="18" a="1"/>
  <c r="P472" i="18" s="1"/>
  <c r="R472" i="18" s="1"/>
  <c r="U472" i="18" s="1"/>
  <c r="O464" i="18" a="1"/>
  <c r="O464" i="18" s="1"/>
  <c r="P464" i="18" a="1"/>
  <c r="P464" i="18" s="1"/>
  <c r="R464" i="18" s="1"/>
  <c r="U464" i="18" s="1"/>
  <c r="O456" i="18" a="1"/>
  <c r="O456" i="18" s="1"/>
  <c r="P456" i="18" a="1"/>
  <c r="P456" i="18" s="1"/>
  <c r="R456" i="18" s="1"/>
  <c r="U456" i="18" s="1"/>
  <c r="O448" i="18" a="1"/>
  <c r="O448" i="18" s="1"/>
  <c r="P448" i="18" a="1"/>
  <c r="P448" i="18" s="1"/>
  <c r="R448" i="18" s="1"/>
  <c r="U448" i="18" s="1"/>
  <c r="O440" i="18" a="1"/>
  <c r="O440" i="18" s="1"/>
  <c r="P440" i="18" a="1"/>
  <c r="P440" i="18" s="1"/>
  <c r="O432" i="18" a="1"/>
  <c r="O432" i="18" s="1"/>
  <c r="P432" i="18" a="1"/>
  <c r="P432" i="18" s="1"/>
  <c r="R432" i="18" s="1"/>
  <c r="U432" i="18" s="1"/>
  <c r="P424" i="18" a="1"/>
  <c r="P424" i="18" s="1"/>
  <c r="R424" i="18" s="1"/>
  <c r="U424" i="18" s="1"/>
  <c r="O424" i="18" a="1"/>
  <c r="O424" i="18" s="1"/>
  <c r="O416" i="18" a="1"/>
  <c r="O416" i="18" s="1"/>
  <c r="P416" i="18" a="1"/>
  <c r="P416" i="18" s="1"/>
  <c r="R416" i="18" s="1"/>
  <c r="U416" i="18" s="1"/>
  <c r="O408" i="18" a="1"/>
  <c r="O408" i="18" s="1"/>
  <c r="P408" i="18" a="1"/>
  <c r="P408" i="18" s="1"/>
  <c r="R408" i="18" s="1"/>
  <c r="U408" i="18" s="1"/>
  <c r="O400" i="18" a="1"/>
  <c r="O400" i="18" s="1"/>
  <c r="P400" i="18" a="1"/>
  <c r="P400" i="18" s="1"/>
  <c r="O392" i="18" a="1"/>
  <c r="O392" i="18" s="1"/>
  <c r="P392" i="18" a="1"/>
  <c r="P392" i="18" s="1"/>
  <c r="R392" i="18" s="1"/>
  <c r="U392" i="18" s="1"/>
  <c r="O384" i="18" a="1"/>
  <c r="O384" i="18" s="1"/>
  <c r="P384" i="18" a="1"/>
  <c r="P384" i="18" s="1"/>
  <c r="R384" i="18" s="1"/>
  <c r="U384" i="18" s="1"/>
  <c r="O376" i="18" a="1"/>
  <c r="O376" i="18" s="1"/>
  <c r="P376" i="18" a="1"/>
  <c r="P376" i="18" s="1"/>
  <c r="R376" i="18" s="1"/>
  <c r="U376" i="18" s="1"/>
  <c r="O368" i="18" a="1"/>
  <c r="O368" i="18" s="1"/>
  <c r="P368" i="18" a="1"/>
  <c r="P368" i="18" s="1"/>
  <c r="R368" i="18" s="1"/>
  <c r="U368" i="18" s="1"/>
  <c r="O360" i="18" a="1"/>
  <c r="O360" i="18" s="1"/>
  <c r="P360" i="18" a="1"/>
  <c r="P360" i="18" s="1"/>
  <c r="R360" i="18" s="1"/>
  <c r="U360" i="18" s="1"/>
  <c r="O352" i="18" a="1"/>
  <c r="O352" i="18" s="1"/>
  <c r="P352" i="18" a="1"/>
  <c r="P352" i="18" s="1"/>
  <c r="R352" i="18" s="1"/>
  <c r="U352" i="18" s="1"/>
  <c r="O344" i="18" a="1"/>
  <c r="O344" i="18" s="1"/>
  <c r="P344" i="18" a="1"/>
  <c r="P344" i="18" s="1"/>
  <c r="R344" i="18" s="1"/>
  <c r="U344" i="18" s="1"/>
  <c r="O336" i="18" a="1"/>
  <c r="O336" i="18" s="1"/>
  <c r="P336" i="18" a="1"/>
  <c r="P336" i="18" s="1"/>
  <c r="R336" i="18" s="1"/>
  <c r="U336" i="18" s="1"/>
  <c r="O328" i="18" a="1"/>
  <c r="O328" i="18" s="1"/>
  <c r="P328" i="18" a="1"/>
  <c r="P328" i="18" s="1"/>
  <c r="O320" i="18" a="1"/>
  <c r="O320" i="18" s="1"/>
  <c r="P320" i="18" a="1"/>
  <c r="P320" i="18" s="1"/>
  <c r="O312" i="18" a="1"/>
  <c r="O312" i="18" s="1"/>
  <c r="P312" i="18" a="1"/>
  <c r="P312" i="18" s="1"/>
  <c r="O304" i="18" a="1"/>
  <c r="O304" i="18" s="1"/>
  <c r="P304" i="18" a="1"/>
  <c r="P304" i="18" s="1"/>
  <c r="R304" i="18" s="1"/>
  <c r="U304" i="18" s="1"/>
  <c r="O296" i="18" a="1"/>
  <c r="O296" i="18" s="1"/>
  <c r="P296" i="18" a="1"/>
  <c r="P296" i="18" s="1"/>
  <c r="O288" i="18" a="1"/>
  <c r="O288" i="18" s="1"/>
  <c r="P288" i="18" a="1"/>
  <c r="P288" i="18" s="1"/>
  <c r="O280" i="18" a="1"/>
  <c r="O280" i="18" s="1"/>
  <c r="P280" i="18" a="1"/>
  <c r="P280" i="18" s="1"/>
  <c r="O272" i="18" a="1"/>
  <c r="O272" i="18" s="1"/>
  <c r="P272" i="18" a="1"/>
  <c r="P272" i="18" s="1"/>
  <c r="R272" i="18" s="1"/>
  <c r="U272" i="18" s="1"/>
  <c r="O264" i="18" a="1"/>
  <c r="O264" i="18" s="1"/>
  <c r="P264" i="18" a="1"/>
  <c r="P264" i="18" s="1"/>
  <c r="O256" i="18" a="1"/>
  <c r="O256" i="18" s="1"/>
  <c r="P256" i="18" a="1"/>
  <c r="P256" i="18" s="1"/>
  <c r="O248" i="18" a="1"/>
  <c r="O248" i="18" s="1"/>
  <c r="P248" i="18" a="1"/>
  <c r="P248" i="18" s="1"/>
  <c r="O240" i="18" a="1"/>
  <c r="O240" i="18" s="1"/>
  <c r="P240" i="18" a="1"/>
  <c r="P240" i="18" s="1"/>
  <c r="P94" i="18" a="1"/>
  <c r="P94" i="18" s="1"/>
  <c r="R94" i="18" s="1"/>
  <c r="U94" i="18" s="1"/>
  <c r="O649" i="18" a="1"/>
  <c r="O649" i="18" s="1"/>
  <c r="O697" i="18" a="1"/>
  <c r="O697" i="18" s="1"/>
  <c r="O232" i="18" a="1"/>
  <c r="O232" i="18" s="1"/>
  <c r="P34" i="18" a="1"/>
  <c r="P34" i="18" s="1"/>
  <c r="R34" i="18" s="1"/>
  <c r="U34" i="18" s="1"/>
  <c r="P23" i="18" a="1"/>
  <c r="P23" i="18" s="1"/>
  <c r="R23" i="18" s="1"/>
  <c r="U23" i="18" s="1"/>
  <c r="O273" i="18" a="1"/>
  <c r="O273" i="18" s="1"/>
  <c r="O363" i="18" a="1"/>
  <c r="O363" i="18" s="1"/>
  <c r="O411" i="18" a="1"/>
  <c r="O411" i="18" s="1"/>
  <c r="O458" i="18" a="1"/>
  <c r="O458" i="18" s="1"/>
  <c r="O505" i="18" a="1"/>
  <c r="O505" i="18" s="1"/>
  <c r="O598" i="18" a="1"/>
  <c r="O598" i="18" s="1"/>
  <c r="O673" i="18" a="1"/>
  <c r="O673" i="18" s="1"/>
  <c r="O691" i="18" a="1"/>
  <c r="O691" i="18" s="1"/>
  <c r="O706" i="18" a="1"/>
  <c r="O706" i="18" s="1"/>
  <c r="O719" i="18" a="1"/>
  <c r="O719" i="18" s="1"/>
  <c r="P9" i="18" a="1"/>
  <c r="P9" i="18" s="1"/>
  <c r="R9" i="18" s="1"/>
  <c r="U9" i="18" s="1"/>
  <c r="P19" i="18" a="1"/>
  <c r="P19" i="18" s="1"/>
  <c r="P29" i="18" a="1"/>
  <c r="P29" i="18" s="1"/>
  <c r="R29" i="18" s="1"/>
  <c r="U29" i="18" s="1"/>
  <c r="P37" i="18" a="1"/>
  <c r="P37" i="18" s="1"/>
  <c r="R37" i="18" s="1"/>
  <c r="U37" i="18" s="1"/>
  <c r="P44" i="18" a="1"/>
  <c r="P44" i="18" s="1"/>
  <c r="R44" i="18" s="1"/>
  <c r="U44" i="18" s="1"/>
  <c r="P51" i="18" a="1"/>
  <c r="P51" i="18" s="1"/>
  <c r="R51" i="18" s="1"/>
  <c r="U51" i="18" s="1"/>
  <c r="P73" i="18" a="1"/>
  <c r="P73" i="18" s="1"/>
  <c r="R73" i="18" s="1"/>
  <c r="U73" i="18" s="1"/>
  <c r="P80" i="18" a="1"/>
  <c r="P80" i="18" s="1"/>
  <c r="R80" i="18" s="1"/>
  <c r="U80" i="18" s="1"/>
  <c r="P87" i="18" a="1"/>
  <c r="P87" i="18" s="1"/>
  <c r="R87" i="18" s="1"/>
  <c r="U87" i="18" s="1"/>
  <c r="P95" i="18" a="1"/>
  <c r="P95" i="18" s="1"/>
  <c r="P101" i="18" a="1"/>
  <c r="P101" i="18" s="1"/>
  <c r="R101" i="18" s="1"/>
  <c r="U101" i="18" s="1"/>
  <c r="P120" i="18" a="1"/>
  <c r="P120" i="18" s="1"/>
  <c r="P126" i="18" a="1"/>
  <c r="P126" i="18" s="1"/>
  <c r="R126" i="18" s="1"/>
  <c r="U126" i="18" s="1"/>
  <c r="P132" i="18" a="1"/>
  <c r="P132" i="18" s="1"/>
  <c r="P138" i="18" a="1"/>
  <c r="P138" i="18" s="1"/>
  <c r="R138" i="18" s="1"/>
  <c r="U138" i="18" s="1"/>
  <c r="P145" i="18" a="1"/>
  <c r="P145" i="18" s="1"/>
  <c r="P151" i="18" a="1"/>
  <c r="P151" i="18" s="1"/>
  <c r="R151" i="18" s="1"/>
  <c r="U151" i="18" s="1"/>
  <c r="P156" i="18" a="1"/>
  <c r="P156" i="18" s="1"/>
  <c r="P162" i="18" a="1"/>
  <c r="P162" i="18" s="1"/>
  <c r="R162" i="18" s="1"/>
  <c r="U162" i="18" s="1"/>
  <c r="P169" i="18" a="1"/>
  <c r="P169" i="18" s="1"/>
  <c r="R169" i="18" s="1"/>
  <c r="U169" i="18" s="1"/>
  <c r="P175" i="18" a="1"/>
  <c r="P175" i="18" s="1"/>
  <c r="R175" i="18" s="1"/>
  <c r="U175" i="18" s="1"/>
  <c r="P186" i="18" a="1"/>
  <c r="P186" i="18" s="1"/>
  <c r="R186" i="18" s="1"/>
  <c r="U186" i="18" s="1"/>
  <c r="P191" i="18" a="1"/>
  <c r="P191" i="18" s="1"/>
  <c r="R191" i="18" s="1"/>
  <c r="U191" i="18" s="1"/>
  <c r="P197" i="18" a="1"/>
  <c r="P197" i="18" s="1"/>
  <c r="R197" i="18" s="1"/>
  <c r="U197" i="18" s="1"/>
  <c r="P209" i="18" a="1"/>
  <c r="P209" i="18" s="1"/>
  <c r="R209" i="18" s="1"/>
  <c r="U209" i="18" s="1"/>
  <c r="P214" i="18" a="1"/>
  <c r="P214" i="18" s="1"/>
  <c r="P221" i="18" a="1"/>
  <c r="P221" i="18" s="1"/>
  <c r="R221" i="18" s="1"/>
  <c r="U221" i="18" s="1"/>
  <c r="P226" i="18" a="1"/>
  <c r="P226" i="18" s="1"/>
  <c r="R226" i="18" s="1"/>
  <c r="U226" i="18" s="1"/>
  <c r="P238" i="18" a="1"/>
  <c r="P238" i="18" s="1"/>
  <c r="R238" i="18" s="1"/>
  <c r="U238" i="18" s="1"/>
  <c r="P250" i="18" a="1"/>
  <c r="P250" i="18" s="1"/>
  <c r="R250" i="18" s="1"/>
  <c r="U250" i="18" s="1"/>
  <c r="P255" i="18" a="1"/>
  <c r="P255" i="18" s="1"/>
  <c r="R255" i="18" s="1"/>
  <c r="U255" i="18" s="1"/>
  <c r="P261" i="18" a="1"/>
  <c r="P261" i="18" s="1"/>
  <c r="R261" i="18" s="1"/>
  <c r="U261" i="18" s="1"/>
  <c r="P273" i="18" a="1"/>
  <c r="P273" i="18" s="1"/>
  <c r="R273" i="18" s="1"/>
  <c r="U273" i="18" s="1"/>
  <c r="P278" i="18" a="1"/>
  <c r="P278" i="18" s="1"/>
  <c r="R278" i="18" s="1"/>
  <c r="U278" i="18" s="1"/>
  <c r="P285" i="18" a="1"/>
  <c r="P285" i="18" s="1"/>
  <c r="R285" i="18" s="1"/>
  <c r="U285" i="18" s="1"/>
  <c r="P290" i="18" a="1"/>
  <c r="P290" i="18" s="1"/>
  <c r="R290" i="18" s="1"/>
  <c r="U290" i="18" s="1"/>
  <c r="P302" i="18" a="1"/>
  <c r="P302" i="18" s="1"/>
  <c r="R302" i="18" s="1"/>
  <c r="U302" i="18" s="1"/>
  <c r="P314" i="18" a="1"/>
  <c r="P314" i="18" s="1"/>
  <c r="R314" i="18" s="1"/>
  <c r="U314" i="18" s="1"/>
  <c r="P319" i="18" a="1"/>
  <c r="P319" i="18" s="1"/>
  <c r="R319" i="18" s="1"/>
  <c r="U319" i="18" s="1"/>
  <c r="P325" i="18" a="1"/>
  <c r="P325" i="18" s="1"/>
  <c r="R325" i="18" s="1"/>
  <c r="U325" i="18" s="1"/>
  <c r="P337" i="18" a="1"/>
  <c r="P337" i="18" s="1"/>
  <c r="R337" i="18" s="1"/>
  <c r="U337" i="18" s="1"/>
  <c r="P342" i="18" a="1"/>
  <c r="P342" i="18" s="1"/>
  <c r="R342" i="18" s="1"/>
  <c r="U342" i="18" s="1"/>
  <c r="P349" i="18" a="1"/>
  <c r="P349" i="18" s="1"/>
  <c r="R349" i="18" s="1"/>
  <c r="U349" i="18" s="1"/>
  <c r="P355" i="18" a="1"/>
  <c r="P355" i="18" s="1"/>
  <c r="R355" i="18" s="1"/>
  <c r="U355" i="18" s="1"/>
  <c r="P361" i="18" a="1"/>
  <c r="P361" i="18" s="1"/>
  <c r="R361" i="18" s="1"/>
  <c r="U361" i="18" s="1"/>
  <c r="P380" i="18" a="1"/>
  <c r="P380" i="18" s="1"/>
  <c r="P386" i="18" a="1"/>
  <c r="P386" i="18" s="1"/>
  <c r="R386" i="18" s="1"/>
  <c r="U386" i="18" s="1"/>
  <c r="O76" i="18" a="1"/>
  <c r="O76" i="18" s="1"/>
  <c r="O290" i="18" a="1"/>
  <c r="O290" i="18" s="1"/>
  <c r="O369" i="18" a="1"/>
  <c r="O369" i="18" s="1"/>
  <c r="O417" i="18" a="1"/>
  <c r="O417" i="18" s="1"/>
  <c r="O511" i="18" a="1"/>
  <c r="O511" i="18" s="1"/>
  <c r="O558" i="18" a="1"/>
  <c r="O558" i="18" s="1"/>
  <c r="O604" i="18" a="1"/>
  <c r="O604" i="18" s="1"/>
  <c r="O654" i="18" a="1"/>
  <c r="O654" i="18" s="1"/>
  <c r="O676" i="18" a="1"/>
  <c r="O676" i="18" s="1"/>
  <c r="O694" i="18" a="1"/>
  <c r="O694" i="18" s="1"/>
  <c r="O708" i="18" a="1"/>
  <c r="O708" i="18" s="1"/>
  <c r="O721" i="18" a="1"/>
  <c r="O721" i="18" s="1"/>
  <c r="P20" i="18" a="1"/>
  <c r="P20" i="18" s="1"/>
  <c r="P30" i="18" a="1"/>
  <c r="P30" i="18" s="1"/>
  <c r="R30" i="18" s="1"/>
  <c r="U30" i="18" s="1"/>
  <c r="P39" i="18" a="1"/>
  <c r="P39" i="18" s="1"/>
  <c r="R39" i="18" s="1"/>
  <c r="U39" i="18" s="1"/>
  <c r="P45" i="18" a="1"/>
  <c r="P45" i="18" s="1"/>
  <c r="R45" i="18" s="1"/>
  <c r="U45" i="18" s="1"/>
  <c r="P52" i="18" a="1"/>
  <c r="P52" i="18" s="1"/>
  <c r="R52" i="18" s="1"/>
  <c r="U52" i="18" s="1"/>
  <c r="P59" i="18" a="1"/>
  <c r="P59" i="18" s="1"/>
  <c r="R59" i="18" s="1"/>
  <c r="U59" i="18" s="1"/>
  <c r="P66" i="18" a="1"/>
  <c r="P66" i="18" s="1"/>
  <c r="R66" i="18" s="1"/>
  <c r="U66" i="18" s="1"/>
  <c r="P81" i="18" a="1"/>
  <c r="P81" i="18" s="1"/>
  <c r="R81" i="18" s="1"/>
  <c r="U81" i="18" s="1"/>
  <c r="P96" i="18" a="1"/>
  <c r="P96" i="18" s="1"/>
  <c r="P102" i="18" a="1"/>
  <c r="P102" i="18" s="1"/>
  <c r="R102" i="18" s="1"/>
  <c r="U102" i="18" s="1"/>
  <c r="P107" i="18" a="1"/>
  <c r="P107" i="18" s="1"/>
  <c r="R107" i="18" s="1"/>
  <c r="U107" i="18" s="1"/>
  <c r="P114" i="18" a="1"/>
  <c r="P114" i="18" s="1"/>
  <c r="R114" i="18" s="1"/>
  <c r="U114" i="18" s="1"/>
  <c r="P127" i="18" a="1"/>
  <c r="P127" i="18" s="1"/>
  <c r="R127" i="18" s="1"/>
  <c r="U127" i="18" s="1"/>
  <c r="P133" i="18" a="1"/>
  <c r="P133" i="18" s="1"/>
  <c r="R133" i="18" s="1"/>
  <c r="U133" i="18" s="1"/>
  <c r="P152" i="18" a="1"/>
  <c r="P152" i="18" s="1"/>
  <c r="R152" i="18" s="1"/>
  <c r="U152" i="18" s="1"/>
  <c r="P157" i="18" a="1"/>
  <c r="P157" i="18" s="1"/>
  <c r="R157" i="18" s="1"/>
  <c r="U157" i="18" s="1"/>
  <c r="P163" i="18" a="1"/>
  <c r="P163" i="18" s="1"/>
  <c r="R163" i="18" s="1"/>
  <c r="U163" i="18" s="1"/>
  <c r="P176" i="18" a="1"/>
  <c r="P176" i="18" s="1"/>
  <c r="R176" i="18" s="1"/>
  <c r="U176" i="18" s="1"/>
  <c r="P181" i="18" a="1"/>
  <c r="P181" i="18" s="1"/>
  <c r="R181" i="18" s="1"/>
  <c r="U181" i="18" s="1"/>
  <c r="P192" i="18" a="1"/>
  <c r="P192" i="18" s="1"/>
  <c r="P198" i="18" a="1"/>
  <c r="P198" i="18" s="1"/>
  <c r="R198" i="18" s="1"/>
  <c r="U198" i="18" s="1"/>
  <c r="P203" i="18" a="1"/>
  <c r="P203" i="18" s="1"/>
  <c r="R203" i="18" s="1"/>
  <c r="U203" i="18" s="1"/>
  <c r="P215" i="18" a="1"/>
  <c r="P215" i="18" s="1"/>
  <c r="R215" i="18" s="1"/>
  <c r="U215" i="18" s="1"/>
  <c r="P227" i="18" a="1"/>
  <c r="P227" i="18" s="1"/>
  <c r="R227" i="18" s="1"/>
  <c r="U227" i="18" s="1"/>
  <c r="P232" i="18" a="1"/>
  <c r="P232" i="18" s="1"/>
  <c r="R232" i="18" s="1"/>
  <c r="U232" i="18" s="1"/>
  <c r="P239" i="18" a="1"/>
  <c r="P239" i="18" s="1"/>
  <c r="R239" i="18" s="1"/>
  <c r="U239" i="18" s="1"/>
  <c r="P244" i="18" a="1"/>
  <c r="P244" i="18" s="1"/>
  <c r="P262" i="18" a="1"/>
  <c r="P262" i="18" s="1"/>
  <c r="R262" i="18" s="1"/>
  <c r="U262" i="18" s="1"/>
  <c r="P267" i="18" a="1"/>
  <c r="P267" i="18" s="1"/>
  <c r="R267" i="18" s="1"/>
  <c r="U267" i="18" s="1"/>
  <c r="P279" i="18" a="1"/>
  <c r="P279" i="18" s="1"/>
  <c r="R279" i="18" s="1"/>
  <c r="U279" i="18" s="1"/>
  <c r="P291" i="18" a="1"/>
  <c r="P291" i="18" s="1"/>
  <c r="R291" i="18" s="1"/>
  <c r="U291" i="18" s="1"/>
  <c r="P303" i="18" a="1"/>
  <c r="P303" i="18" s="1"/>
  <c r="R303" i="18" s="1"/>
  <c r="U303" i="18" s="1"/>
  <c r="P308" i="18" a="1"/>
  <c r="P308" i="18" s="1"/>
  <c r="P326" i="18" a="1"/>
  <c r="P326" i="18" s="1"/>
  <c r="R326" i="18" s="1"/>
  <c r="U326" i="18" s="1"/>
  <c r="P331" i="18" a="1"/>
  <c r="P331" i="18" s="1"/>
  <c r="R331" i="18" s="1"/>
  <c r="U331" i="18" s="1"/>
  <c r="P343" i="18" a="1"/>
  <c r="P343" i="18" s="1"/>
  <c r="R343" i="18" s="1"/>
  <c r="U343" i="18" s="1"/>
  <c r="P350" i="18" a="1"/>
  <c r="P350" i="18" s="1"/>
  <c r="R350" i="18" s="1"/>
  <c r="U350" i="18" s="1"/>
  <c r="P362" i="18" a="1"/>
  <c r="P362" i="18" s="1"/>
  <c r="R362" i="18" s="1"/>
  <c r="U362" i="18" s="1"/>
  <c r="P369" i="18" a="1"/>
  <c r="P369" i="18" s="1"/>
  <c r="R369" i="18" s="1"/>
  <c r="U369" i="18" s="1"/>
  <c r="P374" i="18" a="1"/>
  <c r="P374" i="18" s="1"/>
  <c r="R374" i="18" s="1"/>
  <c r="U374" i="18" s="1"/>
  <c r="P381" i="18" a="1"/>
  <c r="P381" i="18" s="1"/>
  <c r="P387" i="18" a="1"/>
  <c r="P387" i="18" s="1"/>
  <c r="R387" i="18" s="1"/>
  <c r="U387" i="18" s="1"/>
  <c r="P393" i="18" a="1"/>
  <c r="P393" i="18" s="1"/>
  <c r="R393" i="18" s="1"/>
  <c r="U393" i="18" s="1"/>
  <c r="P412" i="18" a="1"/>
  <c r="P412" i="18" s="1"/>
  <c r="P418" i="18" a="1"/>
  <c r="P418" i="18" s="1"/>
  <c r="R418" i="18" s="1"/>
  <c r="U418" i="18" s="1"/>
  <c r="P431" i="18" a="1"/>
  <c r="P431" i="18" s="1"/>
  <c r="R431" i="18" s="1"/>
  <c r="U431" i="18" s="1"/>
  <c r="P437" i="18" a="1"/>
  <c r="P437" i="18" s="1"/>
  <c r="R437" i="18" s="1"/>
  <c r="U437" i="18" s="1"/>
  <c r="P443" i="18" a="1"/>
  <c r="P443" i="18" s="1"/>
  <c r="R443" i="18" s="1"/>
  <c r="U443" i="18" s="1"/>
  <c r="O120" i="18" a="1"/>
  <c r="O120" i="18" s="1"/>
  <c r="O307" i="18" a="1"/>
  <c r="O307" i="18" s="1"/>
  <c r="O374" i="18" a="1"/>
  <c r="O374" i="18" s="1"/>
  <c r="O470" i="18" a="1"/>
  <c r="O470" i="18" s="1"/>
  <c r="O517" i="18" a="1"/>
  <c r="O517" i="18" s="1"/>
  <c r="O563" i="18" a="1"/>
  <c r="O563" i="18" s="1"/>
  <c r="O678" i="18" a="1"/>
  <c r="O678" i="18" s="1"/>
  <c r="O709" i="18" a="1"/>
  <c r="O709" i="18" s="1"/>
  <c r="P11" i="18" a="1"/>
  <c r="P11" i="18" s="1"/>
  <c r="R11" i="18" s="1"/>
  <c r="U11" i="18" s="1"/>
  <c r="P21" i="18" a="1"/>
  <c r="P21" i="18" s="1"/>
  <c r="R21" i="18" s="1"/>
  <c r="U21" i="18" s="1"/>
  <c r="P31" i="18" a="1"/>
  <c r="P31" i="18" s="1"/>
  <c r="P40" i="18" a="1"/>
  <c r="P40" i="18" s="1"/>
  <c r="R40" i="18" s="1"/>
  <c r="U40" i="18" s="1"/>
  <c r="P46" i="18" a="1"/>
  <c r="P46" i="18" s="1"/>
  <c r="R46" i="18" s="1"/>
  <c r="U46" i="18" s="1"/>
  <c r="P53" i="18" a="1"/>
  <c r="P53" i="18" s="1"/>
  <c r="R53" i="18" s="1"/>
  <c r="U53" i="18" s="1"/>
  <c r="P60" i="18" a="1"/>
  <c r="P60" i="18" s="1"/>
  <c r="P67" i="18" a="1"/>
  <c r="P67" i="18" s="1"/>
  <c r="P74" i="18" a="1"/>
  <c r="P74" i="18" s="1"/>
  <c r="R74" i="18" s="1"/>
  <c r="U74" i="18" s="1"/>
  <c r="P82" i="18" a="1"/>
  <c r="P82" i="18" s="1"/>
  <c r="R82" i="18" s="1"/>
  <c r="U82" i="18" s="1"/>
  <c r="P89" i="18" a="1"/>
  <c r="P89" i="18" s="1"/>
  <c r="R89" i="18" s="1"/>
  <c r="U89" i="18" s="1"/>
  <c r="P103" i="18" a="1"/>
  <c r="P103" i="18" s="1"/>
  <c r="R103" i="18" s="1"/>
  <c r="U103" i="18" s="1"/>
  <c r="P108" i="18" a="1"/>
  <c r="P108" i="18" s="1"/>
  <c r="R108" i="18" s="1"/>
  <c r="U108" i="18" s="1"/>
  <c r="P121" i="18" a="1"/>
  <c r="P121" i="18" s="1"/>
  <c r="R121" i="18" s="1"/>
  <c r="U121" i="18" s="1"/>
  <c r="P128" i="18" a="1"/>
  <c r="P128" i="18" s="1"/>
  <c r="R128" i="18" s="1"/>
  <c r="U128" i="18" s="1"/>
  <c r="P134" i="18" a="1"/>
  <c r="P134" i="18" s="1"/>
  <c r="R134" i="18" s="1"/>
  <c r="U134" i="18" s="1"/>
  <c r="P139" i="18" a="1"/>
  <c r="P139" i="18" s="1"/>
  <c r="P146" i="18" a="1"/>
  <c r="P146" i="18" s="1"/>
  <c r="R146" i="18" s="1"/>
  <c r="U146" i="18" s="1"/>
  <c r="P158" i="18" a="1"/>
  <c r="P158" i="18" s="1"/>
  <c r="P164" i="18" a="1"/>
  <c r="P164" i="18" s="1"/>
  <c r="P170" i="18" a="1"/>
  <c r="P170" i="18" s="1"/>
  <c r="R170" i="18" s="1"/>
  <c r="U170" i="18" s="1"/>
  <c r="P177" i="18" a="1"/>
  <c r="P177" i="18" s="1"/>
  <c r="R177" i="18" s="1"/>
  <c r="U177" i="18" s="1"/>
  <c r="P182" i="18" a="1"/>
  <c r="P182" i="18" s="1"/>
  <c r="P187" i="18" a="1"/>
  <c r="P187" i="18" s="1"/>
  <c r="R187" i="18" s="1"/>
  <c r="U187" i="18" s="1"/>
  <c r="P193" i="18" a="1"/>
  <c r="P193" i="18" s="1"/>
  <c r="P204" i="18" a="1"/>
  <c r="P204" i="18" s="1"/>
  <c r="P210" i="18" a="1"/>
  <c r="P210" i="18" s="1"/>
  <c r="R210" i="18" s="1"/>
  <c r="U210" i="18" s="1"/>
  <c r="P216" i="18" a="1"/>
  <c r="P216" i="18" s="1"/>
  <c r="R216" i="18" s="1"/>
  <c r="U216" i="18" s="1"/>
  <c r="P222" i="18" a="1"/>
  <c r="P222" i="18" s="1"/>
  <c r="R222" i="18" s="1"/>
  <c r="U222" i="18" s="1"/>
  <c r="P233" i="18" a="1"/>
  <c r="P233" i="18" s="1"/>
  <c r="R233" i="18" s="1"/>
  <c r="U233" i="18" s="1"/>
  <c r="P245" i="18" a="1"/>
  <c r="P245" i="18" s="1"/>
  <c r="R245" i="18" s="1"/>
  <c r="U245" i="18" s="1"/>
  <c r="P251" i="18" a="1"/>
  <c r="P251" i="18" s="1"/>
  <c r="R251" i="18" s="1"/>
  <c r="U251" i="18" s="1"/>
  <c r="P257" i="18" a="1"/>
  <c r="P257" i="18" s="1"/>
  <c r="R257" i="18" s="1"/>
  <c r="U257" i="18" s="1"/>
  <c r="P268" i="18" a="1"/>
  <c r="P268" i="18" s="1"/>
  <c r="P274" i="18" a="1"/>
  <c r="P274" i="18" s="1"/>
  <c r="R274" i="18" s="1"/>
  <c r="U274" i="18" s="1"/>
  <c r="P286" i="18" a="1"/>
  <c r="P286" i="18" s="1"/>
  <c r="R286" i="18" s="1"/>
  <c r="U286" i="18" s="1"/>
  <c r="P297" i="18" a="1"/>
  <c r="P297" i="18" s="1"/>
  <c r="R297" i="18" s="1"/>
  <c r="U297" i="18" s="1"/>
  <c r="P309" i="18" a="1"/>
  <c r="P309" i="18" s="1"/>
  <c r="R309" i="18" s="1"/>
  <c r="U309" i="18" s="1"/>
  <c r="P315" i="18" a="1"/>
  <c r="P315" i="18" s="1"/>
  <c r="R315" i="18" s="1"/>
  <c r="U315" i="18" s="1"/>
  <c r="P321" i="18" a="1"/>
  <c r="P321" i="18" s="1"/>
  <c r="P332" i="18" a="1"/>
  <c r="P332" i="18" s="1"/>
  <c r="P338" i="18" a="1"/>
  <c r="P338" i="18" s="1"/>
  <c r="R338" i="18" s="1"/>
  <c r="U338" i="18" s="1"/>
  <c r="P356" i="18" a="1"/>
  <c r="P356" i="18" s="1"/>
  <c r="P375" i="18" a="1"/>
  <c r="P375" i="18" s="1"/>
  <c r="R375" i="18" s="1"/>
  <c r="U375" i="18" s="1"/>
  <c r="P382" i="18" a="1"/>
  <c r="P382" i="18" s="1"/>
  <c r="R382" i="18" s="1"/>
  <c r="U382" i="18" s="1"/>
  <c r="P394" i="18" a="1"/>
  <c r="P394" i="18" s="1"/>
  <c r="R394" i="18" s="1"/>
  <c r="U394" i="18" s="1"/>
  <c r="P401" i="18" a="1"/>
  <c r="P401" i="18" s="1"/>
  <c r="R401" i="18" s="1"/>
  <c r="U401" i="18" s="1"/>
  <c r="P406" i="18" a="1"/>
  <c r="P406" i="18" s="1"/>
  <c r="R406" i="18" s="1"/>
  <c r="U406" i="18" s="1"/>
  <c r="P413" i="18" a="1"/>
  <c r="P413" i="18" s="1"/>
  <c r="R413" i="18" s="1"/>
  <c r="U413" i="18" s="1"/>
  <c r="P419" i="18" a="1"/>
  <c r="P419" i="18" s="1"/>
  <c r="R419" i="18" s="1"/>
  <c r="U419" i="18" s="1"/>
  <c r="O166" i="18" a="1"/>
  <c r="O166" i="18" s="1"/>
  <c r="O321" i="18" a="1"/>
  <c r="O321" i="18" s="1"/>
  <c r="O381" i="18" a="1"/>
  <c r="O381" i="18" s="1"/>
  <c r="O430" i="18" a="1"/>
  <c r="O430" i="18" s="1"/>
  <c r="O476" i="18" a="1"/>
  <c r="O476" i="18" s="1"/>
  <c r="O522" i="18" a="1"/>
  <c r="O522" i="18" s="1"/>
  <c r="O569" i="18" a="1"/>
  <c r="O569" i="18" s="1"/>
  <c r="O659" i="18" a="1"/>
  <c r="O659" i="18" s="1"/>
  <c r="O681" i="18" a="1"/>
  <c r="O681" i="18" s="1"/>
  <c r="O710" i="18" a="1"/>
  <c r="O710" i="18" s="1"/>
  <c r="P2" i="18" a="1"/>
  <c r="P2" i="18" s="1"/>
  <c r="R2" i="18" s="1"/>
  <c r="U2" i="18" s="1"/>
  <c r="P13" i="18" a="1"/>
  <c r="P13" i="18" s="1"/>
  <c r="R13" i="18" s="1"/>
  <c r="U13" i="18" s="1"/>
  <c r="P24" i="18" a="1"/>
  <c r="P24" i="18" s="1"/>
  <c r="R24" i="18" s="1"/>
  <c r="U24" i="18" s="1"/>
  <c r="P47" i="18" a="1"/>
  <c r="P47" i="18" s="1"/>
  <c r="R47" i="18" s="1"/>
  <c r="U47" i="18" s="1"/>
  <c r="P54" i="18" a="1"/>
  <c r="P54" i="18" s="1"/>
  <c r="P61" i="18" a="1"/>
  <c r="P61" i="18" s="1"/>
  <c r="R61" i="18" s="1"/>
  <c r="U61" i="18" s="1"/>
  <c r="P68" i="18" a="1"/>
  <c r="P68" i="18" s="1"/>
  <c r="R68" i="18" s="1"/>
  <c r="U68" i="18" s="1"/>
  <c r="P75" i="18" a="1"/>
  <c r="P75" i="18" s="1"/>
  <c r="R75" i="18" s="1"/>
  <c r="U75" i="18" s="1"/>
  <c r="P90" i="18" a="1"/>
  <c r="P90" i="18" s="1"/>
  <c r="R90" i="18" s="1"/>
  <c r="U90" i="18" s="1"/>
  <c r="P97" i="18" a="1"/>
  <c r="P97" i="18" s="1"/>
  <c r="P104" i="18" a="1"/>
  <c r="P104" i="18" s="1"/>
  <c r="R104" i="18" s="1"/>
  <c r="U104" i="18" s="1"/>
  <c r="P109" i="18" a="1"/>
  <c r="P109" i="18" s="1"/>
  <c r="P115" i="18" a="1"/>
  <c r="P115" i="18" s="1"/>
  <c r="R115" i="18" s="1"/>
  <c r="U115" i="18" s="1"/>
  <c r="P122" i="18" a="1"/>
  <c r="P122" i="18" s="1"/>
  <c r="R122" i="18" s="1"/>
  <c r="U122" i="18" s="1"/>
  <c r="P135" i="18" a="1"/>
  <c r="P135" i="18" s="1"/>
  <c r="R135" i="18" s="1"/>
  <c r="U135" i="18" s="1"/>
  <c r="P140" i="18" a="1"/>
  <c r="P140" i="18" s="1"/>
  <c r="R140" i="18" s="1"/>
  <c r="U140" i="18" s="1"/>
  <c r="P153" i="18" a="1"/>
  <c r="P153" i="18" s="1"/>
  <c r="R153" i="18" s="1"/>
  <c r="U153" i="18" s="1"/>
  <c r="P159" i="18" a="1"/>
  <c r="P159" i="18" s="1"/>
  <c r="R159" i="18" s="1"/>
  <c r="U159" i="18" s="1"/>
  <c r="P165" i="18" a="1"/>
  <c r="P165" i="18" s="1"/>
  <c r="R165" i="18" s="1"/>
  <c r="U165" i="18" s="1"/>
  <c r="P183" i="18" a="1"/>
  <c r="P183" i="18" s="1"/>
  <c r="R183" i="18" s="1"/>
  <c r="U183" i="18" s="1"/>
  <c r="P188" i="18" a="1"/>
  <c r="P188" i="18" s="1"/>
  <c r="P199" i="18" a="1"/>
  <c r="P199" i="18" s="1"/>
  <c r="R199" i="18" s="1"/>
  <c r="U199" i="18" s="1"/>
  <c r="P205" i="18" a="1"/>
  <c r="P205" i="18" s="1"/>
  <c r="R205" i="18" s="1"/>
  <c r="U205" i="18" s="1"/>
  <c r="P211" i="18" a="1"/>
  <c r="P211" i="18" s="1"/>
  <c r="R211" i="18" s="1"/>
  <c r="U211" i="18" s="1"/>
  <c r="P217" i="18" a="1"/>
  <c r="P217" i="18" s="1"/>
  <c r="P228" i="18" a="1"/>
  <c r="P228" i="18" s="1"/>
  <c r="R228" i="18" s="1"/>
  <c r="U228" i="18" s="1"/>
  <c r="P234" i="18" a="1"/>
  <c r="P234" i="18" s="1"/>
  <c r="R234" i="18" s="1"/>
  <c r="U234" i="18" s="1"/>
  <c r="P252" i="18" a="1"/>
  <c r="P252" i="18" s="1"/>
  <c r="P263" i="18" a="1"/>
  <c r="P263" i="18" s="1"/>
  <c r="R263" i="18" s="1"/>
  <c r="U263" i="18" s="1"/>
  <c r="P269" i="18" a="1"/>
  <c r="P269" i="18" s="1"/>
  <c r="R269" i="18" s="1"/>
  <c r="U269" i="18" s="1"/>
  <c r="P275" i="18" a="1"/>
  <c r="P275" i="18" s="1"/>
  <c r="R275" i="18" s="1"/>
  <c r="U275" i="18" s="1"/>
  <c r="P281" i="18" a="1"/>
  <c r="P281" i="18" s="1"/>
  <c r="R281" i="18" s="1"/>
  <c r="U281" i="18" s="1"/>
  <c r="P292" i="18" a="1"/>
  <c r="P292" i="18" s="1"/>
  <c r="R292" i="18" s="1"/>
  <c r="U292" i="18" s="1"/>
  <c r="P298" i="18" a="1"/>
  <c r="P298" i="18" s="1"/>
  <c r="R298" i="18" s="1"/>
  <c r="U298" i="18" s="1"/>
  <c r="P316" i="18" a="1"/>
  <c r="P316" i="18" s="1"/>
  <c r="R316" i="18" s="1"/>
  <c r="U316" i="18" s="1"/>
  <c r="P327" i="18" a="1"/>
  <c r="P327" i="18" s="1"/>
  <c r="P333" i="18" a="1"/>
  <c r="P333" i="18" s="1"/>
  <c r="R333" i="18" s="1"/>
  <c r="U333" i="18" s="1"/>
  <c r="P339" i="18" a="1"/>
  <c r="P339" i="18" s="1"/>
  <c r="R339" i="18" s="1"/>
  <c r="U339" i="18" s="1"/>
  <c r="P345" i="18" a="1"/>
  <c r="P345" i="18" s="1"/>
  <c r="R345" i="18" s="1"/>
  <c r="U345" i="18" s="1"/>
  <c r="P351" i="18" a="1"/>
  <c r="P351" i="18" s="1"/>
  <c r="R351" i="18" s="1"/>
  <c r="U351" i="18" s="1"/>
  <c r="P357" i="18" a="1"/>
  <c r="P357" i="18" s="1"/>
  <c r="R357" i="18" s="1"/>
  <c r="U357" i="18" s="1"/>
  <c r="P363" i="18" a="1"/>
  <c r="P363" i="18" s="1"/>
  <c r="O332" i="18" a="1"/>
  <c r="O332" i="18" s="1"/>
  <c r="O387" i="18" a="1"/>
  <c r="O387" i="18" s="1"/>
  <c r="O435" i="18" a="1"/>
  <c r="O435" i="18" s="1"/>
  <c r="O575" i="18" a="1"/>
  <c r="O575" i="18" s="1"/>
  <c r="O623" i="18" a="1"/>
  <c r="O623" i="18" s="1"/>
  <c r="O662" i="18" a="1"/>
  <c r="O662" i="18" s="1"/>
  <c r="O683" i="18" a="1"/>
  <c r="O683" i="18" s="1"/>
  <c r="O699" i="18" a="1"/>
  <c r="O699" i="18" s="1"/>
  <c r="P5" i="18" a="1"/>
  <c r="P5" i="18" s="1"/>
  <c r="R5" i="18" s="1"/>
  <c r="U5" i="18" s="1"/>
  <c r="P14" i="18" a="1"/>
  <c r="P14" i="18" s="1"/>
  <c r="R14" i="18" s="1"/>
  <c r="U14" i="18" s="1"/>
  <c r="P33" i="18" a="1"/>
  <c r="P33" i="18" s="1"/>
  <c r="R33" i="18" s="1"/>
  <c r="U33" i="18" s="1"/>
  <c r="P41" i="18" a="1"/>
  <c r="P41" i="18" s="1"/>
  <c r="R41" i="18" s="1"/>
  <c r="U41" i="18" s="1"/>
  <c r="P48" i="18" a="1"/>
  <c r="P48" i="18" s="1"/>
  <c r="P55" i="18" a="1"/>
  <c r="P55" i="18" s="1"/>
  <c r="R55" i="18" s="1"/>
  <c r="U55" i="18" s="1"/>
  <c r="P62" i="18" a="1"/>
  <c r="P62" i="18" s="1"/>
  <c r="R62" i="18" s="1"/>
  <c r="U62" i="18" s="1"/>
  <c r="P70" i="18" a="1"/>
  <c r="P70" i="18" s="1"/>
  <c r="R70" i="18" s="1"/>
  <c r="U70" i="18" s="1"/>
  <c r="P76" i="18" a="1"/>
  <c r="P76" i="18" s="1"/>
  <c r="R76" i="18" s="1"/>
  <c r="U76" i="18" s="1"/>
  <c r="P83" i="18" a="1"/>
  <c r="P83" i="18" s="1"/>
  <c r="R83" i="18" s="1"/>
  <c r="U83" i="18" s="1"/>
  <c r="P110" i="18" a="1"/>
  <c r="P110" i="18" s="1"/>
  <c r="R110" i="18" s="1"/>
  <c r="U110" i="18" s="1"/>
  <c r="P116" i="18" a="1"/>
  <c r="P116" i="18" s="1"/>
  <c r="R116" i="18" s="1"/>
  <c r="U116" i="18" s="1"/>
  <c r="P129" i="18" a="1"/>
  <c r="P129" i="18" s="1"/>
  <c r="R129" i="18" s="1"/>
  <c r="U129" i="18" s="1"/>
  <c r="P136" i="18" a="1"/>
  <c r="P136" i="18" s="1"/>
  <c r="P141" i="18" a="1"/>
  <c r="P141" i="18" s="1"/>
  <c r="R141" i="18" s="1"/>
  <c r="U141" i="18" s="1"/>
  <c r="P147" i="18" a="1"/>
  <c r="P147" i="18" s="1"/>
  <c r="R147" i="18" s="1"/>
  <c r="U147" i="18" s="1"/>
  <c r="P160" i="18" a="1"/>
  <c r="P160" i="18" s="1"/>
  <c r="R160" i="18" s="1"/>
  <c r="U160" i="18" s="1"/>
  <c r="P166" i="18" a="1"/>
  <c r="P166" i="18" s="1"/>
  <c r="R166" i="18" s="1"/>
  <c r="U166" i="18" s="1"/>
  <c r="P171" i="18" a="1"/>
  <c r="P171" i="18" s="1"/>
  <c r="R171" i="18" s="1"/>
  <c r="U171" i="18" s="1"/>
  <c r="P178" i="18" a="1"/>
  <c r="P178" i="18" s="1"/>
  <c r="R178" i="18" s="1"/>
  <c r="U178" i="18" s="1"/>
  <c r="P184" i="18" a="1"/>
  <c r="P184" i="18" s="1"/>
  <c r="R184" i="18" s="1"/>
  <c r="U184" i="18" s="1"/>
  <c r="P189" i="18" a="1"/>
  <c r="P189" i="18" s="1"/>
  <c r="R189" i="18" s="1"/>
  <c r="U189" i="18" s="1"/>
  <c r="P194" i="18" a="1"/>
  <c r="P194" i="18" s="1"/>
  <c r="R194" i="18" s="1"/>
  <c r="U194" i="18" s="1"/>
  <c r="P206" i="18" a="1"/>
  <c r="P206" i="18" s="1"/>
  <c r="R206" i="18" s="1"/>
  <c r="U206" i="18" s="1"/>
  <c r="P218" i="18" a="1"/>
  <c r="P218" i="18" s="1"/>
  <c r="R218" i="18" s="1"/>
  <c r="U218" i="18" s="1"/>
  <c r="P223" i="18" a="1"/>
  <c r="P223" i="18" s="1"/>
  <c r="R223" i="18" s="1"/>
  <c r="U223" i="18" s="1"/>
  <c r="P229" i="18" a="1"/>
  <c r="P229" i="18" s="1"/>
  <c r="R229" i="18" s="1"/>
  <c r="U229" i="18" s="1"/>
  <c r="P241" i="18" a="1"/>
  <c r="P241" i="18" s="1"/>
  <c r="R241" i="18" s="1"/>
  <c r="U241" i="18" s="1"/>
  <c r="P246" i="18" a="1"/>
  <c r="P246" i="18" s="1"/>
  <c r="P253" i="18" a="1"/>
  <c r="P253" i="18" s="1"/>
  <c r="R253" i="18" s="1"/>
  <c r="U253" i="18" s="1"/>
  <c r="P258" i="18" a="1"/>
  <c r="P258" i="18" s="1"/>
  <c r="R258" i="18" s="1"/>
  <c r="U258" i="18" s="1"/>
  <c r="P270" i="18" a="1"/>
  <c r="P270" i="18" s="1"/>
  <c r="R270" i="18" s="1"/>
  <c r="U270" i="18" s="1"/>
  <c r="P282" i="18" a="1"/>
  <c r="P282" i="18" s="1"/>
  <c r="R282" i="18" s="1"/>
  <c r="U282" i="18" s="1"/>
  <c r="P287" i="18" a="1"/>
  <c r="P287" i="18" s="1"/>
  <c r="R287" i="18" s="1"/>
  <c r="U287" i="18" s="1"/>
  <c r="P293" i="18" a="1"/>
  <c r="P293" i="18" s="1"/>
  <c r="R293" i="18" s="1"/>
  <c r="U293" i="18" s="1"/>
  <c r="P305" i="18" a="1"/>
  <c r="P305" i="18" s="1"/>
  <c r="R305" i="18" s="1"/>
  <c r="U305" i="18" s="1"/>
  <c r="P310" i="18" a="1"/>
  <c r="P310" i="18" s="1"/>
  <c r="R310" i="18" s="1"/>
  <c r="U310" i="18" s="1"/>
  <c r="P317" i="18" a="1"/>
  <c r="P317" i="18" s="1"/>
  <c r="R317" i="18" s="1"/>
  <c r="U317" i="18" s="1"/>
  <c r="P322" i="18" a="1"/>
  <c r="P322" i="18" s="1"/>
  <c r="R322" i="18" s="1"/>
  <c r="U322" i="18" s="1"/>
  <c r="P334" i="18" a="1"/>
  <c r="P334" i="18" s="1"/>
  <c r="R334" i="18" s="1"/>
  <c r="U334" i="18" s="1"/>
  <c r="P346" i="18" a="1"/>
  <c r="P346" i="18" s="1"/>
  <c r="R346" i="18" s="1"/>
  <c r="U346" i="18" s="1"/>
  <c r="P358" i="18" a="1"/>
  <c r="P358" i="18" s="1"/>
  <c r="P364" i="18" a="1"/>
  <c r="P364" i="18" s="1"/>
  <c r="P371" i="18" a="1"/>
  <c r="P371" i="18" s="1"/>
  <c r="R371" i="18" s="1"/>
  <c r="U371" i="18" s="1"/>
  <c r="P377" i="18" a="1"/>
  <c r="P377" i="18" s="1"/>
  <c r="R377" i="18" s="1"/>
  <c r="U377" i="18" s="1"/>
  <c r="P383" i="18" a="1"/>
  <c r="P383" i="18" s="1"/>
  <c r="R383" i="18" s="1"/>
  <c r="U383" i="18" s="1"/>
  <c r="P389" i="18" a="1"/>
  <c r="P389" i="18" s="1"/>
  <c r="R389" i="18" s="1"/>
  <c r="U389" i="18" s="1"/>
  <c r="P395" i="18" a="1"/>
  <c r="P395" i="18" s="1"/>
  <c r="R395" i="18" s="1"/>
  <c r="U395" i="18" s="1"/>
  <c r="P402" i="18" a="1"/>
  <c r="P402" i="18" s="1"/>
  <c r="R402" i="18" s="1"/>
  <c r="U402" i="18" s="1"/>
  <c r="P420" i="18" a="1"/>
  <c r="P420" i="18" s="1"/>
  <c r="R420" i="18" s="1"/>
  <c r="U420" i="18" s="1"/>
  <c r="P439" i="18" a="1"/>
  <c r="P439" i="18" s="1"/>
  <c r="R439" i="18" s="1"/>
  <c r="U439" i="18" s="1"/>
  <c r="P446" i="18" a="1"/>
  <c r="P446" i="18" s="1"/>
  <c r="R446" i="18" s="1"/>
  <c r="U446" i="18" s="1"/>
  <c r="P458" i="18" a="1"/>
  <c r="P458" i="18" s="1"/>
  <c r="R458" i="18" s="1"/>
  <c r="U458" i="18" s="1"/>
  <c r="O215" i="18" a="1"/>
  <c r="O215" i="18" s="1"/>
  <c r="O342" i="18" a="1"/>
  <c r="O342" i="18" s="1"/>
  <c r="O393" i="18" a="1"/>
  <c r="O393" i="18" s="1"/>
  <c r="O441" i="18" a="1"/>
  <c r="O441" i="18" s="1"/>
  <c r="O534" i="18" a="1"/>
  <c r="O534" i="18" s="1"/>
  <c r="O581" i="18" a="1"/>
  <c r="O581" i="18" s="1"/>
  <c r="O628" i="18" a="1"/>
  <c r="O628" i="18" s="1"/>
  <c r="O685" i="18" a="1"/>
  <c r="O685" i="18" s="1"/>
  <c r="O702" i="18" a="1"/>
  <c r="O702" i="18" s="1"/>
  <c r="P6" i="18" a="1"/>
  <c r="P6" i="18" s="1"/>
  <c r="R6" i="18" s="1"/>
  <c r="U6" i="18" s="1"/>
  <c r="P15" i="18" a="1"/>
  <c r="P15" i="18" s="1"/>
  <c r="R15" i="18" s="1"/>
  <c r="U15" i="18" s="1"/>
  <c r="P26" i="18" a="1"/>
  <c r="P26" i="18" s="1"/>
  <c r="R26" i="18" s="1"/>
  <c r="U26" i="18" s="1"/>
  <c r="P49" i="18" a="1"/>
  <c r="P49" i="18" s="1"/>
  <c r="R49" i="18" s="1"/>
  <c r="U49" i="18" s="1"/>
  <c r="P56" i="18" a="1"/>
  <c r="P56" i="18" s="1"/>
  <c r="P64" i="18" a="1"/>
  <c r="P64" i="18" s="1"/>
  <c r="R64" i="18" s="1"/>
  <c r="U64" i="18" s="1"/>
  <c r="P71" i="18" a="1"/>
  <c r="P71" i="18" s="1"/>
  <c r="R71" i="18" s="1"/>
  <c r="U71" i="18" s="1"/>
  <c r="P77" i="18" a="1"/>
  <c r="P77" i="18" s="1"/>
  <c r="P84" i="18" a="1"/>
  <c r="P84" i="18" s="1"/>
  <c r="P91" i="18" a="1"/>
  <c r="P91" i="18" s="1"/>
  <c r="R91" i="18" s="1"/>
  <c r="U91" i="18" s="1"/>
  <c r="P98" i="18" a="1"/>
  <c r="P98" i="18" s="1"/>
  <c r="R98" i="18" s="1"/>
  <c r="U98" i="18" s="1"/>
  <c r="P105" i="18" a="1"/>
  <c r="P105" i="18" s="1"/>
  <c r="R105" i="18" s="1"/>
  <c r="U105" i="18" s="1"/>
  <c r="P111" i="18" a="1"/>
  <c r="P111" i="18" s="1"/>
  <c r="R111" i="18" s="1"/>
  <c r="U111" i="18" s="1"/>
  <c r="P117" i="18" a="1"/>
  <c r="P117" i="18" s="1"/>
  <c r="R117" i="18" s="1"/>
  <c r="U117" i="18" s="1"/>
  <c r="P123" i="18" a="1"/>
  <c r="P123" i="18" s="1"/>
  <c r="R123" i="18" s="1"/>
  <c r="U123" i="18" s="1"/>
  <c r="P142" i="18" a="1"/>
  <c r="P142" i="18" s="1"/>
  <c r="R142" i="18" s="1"/>
  <c r="U142" i="18" s="1"/>
  <c r="P148" i="18" a="1"/>
  <c r="P148" i="18" s="1"/>
  <c r="R148" i="18" s="1"/>
  <c r="U148" i="18" s="1"/>
  <c r="P154" i="18" a="1"/>
  <c r="P154" i="18" s="1"/>
  <c r="R154" i="18" s="1"/>
  <c r="U154" i="18" s="1"/>
  <c r="P167" i="18" a="1"/>
  <c r="P167" i="18" s="1"/>
  <c r="R167" i="18" s="1"/>
  <c r="U167" i="18" s="1"/>
  <c r="P172" i="18" a="1"/>
  <c r="P172" i="18" s="1"/>
  <c r="P195" i="18" a="1"/>
  <c r="P195" i="18" s="1"/>
  <c r="R195" i="18" s="1"/>
  <c r="U195" i="18" s="1"/>
  <c r="P200" i="18" a="1"/>
  <c r="P200" i="18" s="1"/>
  <c r="P207" i="18" a="1"/>
  <c r="P207" i="18" s="1"/>
  <c r="R207" i="18" s="1"/>
  <c r="U207" i="18" s="1"/>
  <c r="P212" i="18" a="1"/>
  <c r="P212" i="18" s="1"/>
  <c r="P224" i="18" a="1"/>
  <c r="P224" i="18" s="1"/>
  <c r="R224" i="18" s="1"/>
  <c r="U224" i="18" s="1"/>
  <c r="P230" i="18" a="1"/>
  <c r="P230" i="18" s="1"/>
  <c r="R230" i="18" s="1"/>
  <c r="U230" i="18" s="1"/>
  <c r="P235" i="18" a="1"/>
  <c r="P235" i="18" s="1"/>
  <c r="R235" i="18" s="1"/>
  <c r="U235" i="18" s="1"/>
  <c r="P247" i="18" a="1"/>
  <c r="P247" i="18" s="1"/>
  <c r="R247" i="18" s="1"/>
  <c r="U247" i="18" s="1"/>
  <c r="P259" i="18" a="1"/>
  <c r="P259" i="18" s="1"/>
  <c r="R259" i="18" s="1"/>
  <c r="U259" i="18" s="1"/>
  <c r="P271" i="18" a="1"/>
  <c r="P271" i="18" s="1"/>
  <c r="R271" i="18" s="1"/>
  <c r="U271" i="18" s="1"/>
  <c r="P276" i="18" a="1"/>
  <c r="P276" i="18" s="1"/>
  <c r="P294" i="18" a="1"/>
  <c r="P294" i="18" s="1"/>
  <c r="R294" i="18" s="1"/>
  <c r="U294" i="18" s="1"/>
  <c r="P299" i="18" a="1"/>
  <c r="P299" i="18" s="1"/>
  <c r="P311" i="18" a="1"/>
  <c r="P311" i="18" s="1"/>
  <c r="R311" i="18" s="1"/>
  <c r="U311" i="18" s="1"/>
  <c r="P323" i="18" a="1"/>
  <c r="P323" i="18" s="1"/>
  <c r="R323" i="18" s="1"/>
  <c r="U323" i="18" s="1"/>
  <c r="P335" i="18" a="1"/>
  <c r="P335" i="18" s="1"/>
  <c r="R335" i="18" s="1"/>
  <c r="U335" i="18" s="1"/>
  <c r="P340" i="18" a="1"/>
  <c r="P340" i="18" s="1"/>
  <c r="R340" i="18" s="1"/>
  <c r="U340" i="18" s="1"/>
  <c r="P353" i="18" a="1"/>
  <c r="P353" i="18" s="1"/>
  <c r="R353" i="18" s="1"/>
  <c r="U353" i="18" s="1"/>
  <c r="P359" i="18" a="1"/>
  <c r="P359" i="18" s="1"/>
  <c r="R359" i="18" s="1"/>
  <c r="U359" i="18" s="1"/>
  <c r="P365" i="18" a="1"/>
  <c r="P365" i="18" s="1"/>
  <c r="R365" i="18" s="1"/>
  <c r="U365" i="18" s="1"/>
  <c r="P378" i="18" a="1"/>
  <c r="P378" i="18" s="1"/>
  <c r="R378" i="18" s="1"/>
  <c r="U378" i="18" s="1"/>
  <c r="P390" i="18" a="1"/>
  <c r="P390" i="18" s="1"/>
  <c r="R390" i="18" s="1"/>
  <c r="U390" i="18" s="1"/>
  <c r="P396" i="18" a="1"/>
  <c r="P396" i="18" s="1"/>
  <c r="R396" i="18" s="1"/>
  <c r="U396" i="18" s="1"/>
  <c r="P403" i="18" a="1"/>
  <c r="P403" i="18" s="1"/>
  <c r="R403" i="18" s="1"/>
  <c r="U403" i="18" s="1"/>
  <c r="P409" i="18" a="1"/>
  <c r="P409" i="18" s="1"/>
  <c r="R409" i="18" s="1"/>
  <c r="U409" i="18" s="1"/>
  <c r="P415" i="18" a="1"/>
  <c r="P415" i="18" s="1"/>
  <c r="R415" i="18" s="1"/>
  <c r="U415" i="18" s="1"/>
  <c r="P421" i="18" a="1"/>
  <c r="P421" i="18" s="1"/>
  <c r="R421" i="18" s="1"/>
  <c r="U421" i="18" s="1"/>
  <c r="P427" i="18" a="1"/>
  <c r="P427" i="18" s="1"/>
  <c r="R427" i="18" s="1"/>
  <c r="U427" i="18" s="1"/>
  <c r="P434" i="18" a="1"/>
  <c r="P434" i="18" s="1"/>
  <c r="R434" i="18" s="1"/>
  <c r="U434" i="18" s="1"/>
  <c r="P452" i="18" a="1"/>
  <c r="P452" i="18" s="1"/>
  <c r="R452" i="18" s="1"/>
  <c r="U452" i="18" s="1"/>
  <c r="O358" i="18" a="1"/>
  <c r="O358" i="18" s="1"/>
  <c r="O404" i="18" a="1"/>
  <c r="O404" i="18" s="1"/>
  <c r="O453" i="18" a="1"/>
  <c r="O453" i="18" s="1"/>
  <c r="O499" i="18" a="1"/>
  <c r="O499" i="18" s="1"/>
  <c r="O641" i="18" a="1"/>
  <c r="O641" i="18" s="1"/>
  <c r="O716" i="18" a="1"/>
  <c r="O716" i="18" s="1"/>
  <c r="P18" i="18" a="1"/>
  <c r="P18" i="18" s="1"/>
  <c r="P27" i="18" a="1"/>
  <c r="P27" i="18" s="1"/>
  <c r="R27" i="18" s="1"/>
  <c r="U27" i="18" s="1"/>
  <c r="P36" i="18" a="1"/>
  <c r="P36" i="18" s="1"/>
  <c r="P58" i="18" a="1"/>
  <c r="P58" i="18" s="1"/>
  <c r="R58" i="18" s="1"/>
  <c r="U58" i="18" s="1"/>
  <c r="P65" i="18" a="1"/>
  <c r="P65" i="18" s="1"/>
  <c r="P79" i="18" a="1"/>
  <c r="P79" i="18" s="1"/>
  <c r="R79" i="18" s="1"/>
  <c r="U79" i="18" s="1"/>
  <c r="P86" i="18" a="1"/>
  <c r="P86" i="18" s="1"/>
  <c r="R86" i="18" s="1"/>
  <c r="U86" i="18" s="1"/>
  <c r="P93" i="18" a="1"/>
  <c r="P93" i="18" s="1"/>
  <c r="R93" i="18" s="1"/>
  <c r="U93" i="18" s="1"/>
  <c r="P100" i="18" a="1"/>
  <c r="P100" i="18" s="1"/>
  <c r="P106" i="18" a="1"/>
  <c r="P106" i="18" s="1"/>
  <c r="R106" i="18" s="1"/>
  <c r="U106" i="18" s="1"/>
  <c r="P113" i="18" a="1"/>
  <c r="P113" i="18" s="1"/>
  <c r="R113" i="18" s="1"/>
  <c r="U113" i="18" s="1"/>
  <c r="P119" i="18" a="1"/>
  <c r="P119" i="18" s="1"/>
  <c r="R119" i="18" s="1"/>
  <c r="U119" i="18" s="1"/>
  <c r="P125" i="18" a="1"/>
  <c r="P125" i="18" s="1"/>
  <c r="R125" i="18" s="1"/>
  <c r="U125" i="18" s="1"/>
  <c r="P131" i="18" a="1"/>
  <c r="P131" i="18" s="1"/>
  <c r="R131" i="18" s="1"/>
  <c r="U131" i="18" s="1"/>
  <c r="P144" i="18" a="1"/>
  <c r="P144" i="18" s="1"/>
  <c r="P150" i="18" a="1"/>
  <c r="P150" i="18" s="1"/>
  <c r="R150" i="18" s="1"/>
  <c r="U150" i="18" s="1"/>
  <c r="P155" i="18" a="1"/>
  <c r="P155" i="18" s="1"/>
  <c r="R155" i="18" s="1"/>
  <c r="U155" i="18" s="1"/>
  <c r="P174" i="18" a="1"/>
  <c r="P174" i="18" s="1"/>
  <c r="R174" i="18" s="1"/>
  <c r="U174" i="18" s="1"/>
  <c r="P180" i="18" a="1"/>
  <c r="P180" i="18" s="1"/>
  <c r="R180" i="18" s="1"/>
  <c r="U180" i="18" s="1"/>
  <c r="P196" i="18" a="1"/>
  <c r="P196" i="18" s="1"/>
  <c r="P202" i="18" a="1"/>
  <c r="P202" i="18" s="1"/>
  <c r="R202" i="18" s="1"/>
  <c r="U202" i="18" s="1"/>
  <c r="P208" i="18" a="1"/>
  <c r="P208" i="18" s="1"/>
  <c r="R208" i="18" s="1"/>
  <c r="U208" i="18" s="1"/>
  <c r="P220" i="18" a="1"/>
  <c r="P220" i="18" s="1"/>
  <c r="P231" i="18" a="1"/>
  <c r="P231" i="18" s="1"/>
  <c r="R231" i="18" s="1"/>
  <c r="U231" i="18" s="1"/>
  <c r="P237" i="18" a="1"/>
  <c r="P237" i="18" s="1"/>
  <c r="R237" i="18" s="1"/>
  <c r="U237" i="18" s="1"/>
  <c r="P243" i="18" a="1"/>
  <c r="P243" i="18" s="1"/>
  <c r="R243" i="18" s="1"/>
  <c r="U243" i="18" s="1"/>
  <c r="P249" i="18" a="1"/>
  <c r="P249" i="18" s="1"/>
  <c r="R249" i="18" s="1"/>
  <c r="U249" i="18" s="1"/>
  <c r="P260" i="18" a="1"/>
  <c r="P260" i="18" s="1"/>
  <c r="R260" i="18" s="1"/>
  <c r="U260" i="18" s="1"/>
  <c r="P266" i="18" a="1"/>
  <c r="P266" i="18" s="1"/>
  <c r="R266" i="18" s="1"/>
  <c r="U266" i="18" s="1"/>
  <c r="P284" i="18" a="1"/>
  <c r="P284" i="18" s="1"/>
  <c r="P295" i="18" a="1"/>
  <c r="P295" i="18" s="1"/>
  <c r="R295" i="18" s="1"/>
  <c r="U295" i="18" s="1"/>
  <c r="P301" i="18" a="1"/>
  <c r="P301" i="18" s="1"/>
  <c r="P307" i="18" a="1"/>
  <c r="P307" i="18" s="1"/>
  <c r="R307" i="18" s="1"/>
  <c r="U307" i="18" s="1"/>
  <c r="P313" i="18" a="1"/>
  <c r="P313" i="18" s="1"/>
  <c r="R313" i="18" s="1"/>
  <c r="U313" i="18" s="1"/>
  <c r="P324" i="18" a="1"/>
  <c r="P324" i="18" s="1"/>
  <c r="R324" i="18" s="1"/>
  <c r="U324" i="18" s="1"/>
  <c r="P330" i="18" a="1"/>
  <c r="P330" i="18" s="1"/>
  <c r="R330" i="18" s="1"/>
  <c r="U330" i="18" s="1"/>
  <c r="P348" i="18" a="1"/>
  <c r="P348" i="18" s="1"/>
  <c r="R348" i="18" s="1"/>
  <c r="U348" i="18" s="1"/>
  <c r="P354" i="18" a="1"/>
  <c r="P354" i="18" s="1"/>
  <c r="R354" i="18" s="1"/>
  <c r="U354" i="18" s="1"/>
  <c r="P367" i="18" a="1"/>
  <c r="P367" i="18" s="1"/>
  <c r="R367" i="18" s="1"/>
  <c r="U367" i="18" s="1"/>
  <c r="P373" i="18" a="1"/>
  <c r="P373" i="18" s="1"/>
  <c r="R373" i="18" s="1"/>
  <c r="U373" i="18" s="1"/>
  <c r="P379" i="18" a="1"/>
  <c r="P379" i="18" s="1"/>
  <c r="R379" i="18" s="1"/>
  <c r="U379" i="18" s="1"/>
  <c r="P398" i="18" a="1"/>
  <c r="P398" i="18" s="1"/>
  <c r="R398" i="18" s="1"/>
  <c r="U398" i="18" s="1"/>
  <c r="P404" i="18" a="1"/>
  <c r="P404" i="18" s="1"/>
  <c r="P417" i="18" a="1"/>
  <c r="P417" i="18" s="1"/>
  <c r="R417" i="18" s="1"/>
  <c r="U417" i="18" s="1"/>
  <c r="O634" i="18" a="1"/>
  <c r="O634" i="18" s="1"/>
  <c r="P35" i="18" a="1"/>
  <c r="P35" i="18" s="1"/>
  <c r="R35" i="18" s="1"/>
  <c r="U35" i="18" s="1"/>
  <c r="P92" i="18" a="1"/>
  <c r="P92" i="18" s="1"/>
  <c r="R92" i="18" s="1"/>
  <c r="U92" i="18" s="1"/>
  <c r="P143" i="18" a="1"/>
  <c r="P143" i="18" s="1"/>
  <c r="R143" i="18" s="1"/>
  <c r="U143" i="18" s="1"/>
  <c r="P190" i="18" a="1"/>
  <c r="P190" i="18" s="1"/>
  <c r="R190" i="18" s="1"/>
  <c r="U190" i="18" s="1"/>
  <c r="P236" i="18" a="1"/>
  <c r="P236" i="18" s="1"/>
  <c r="P283" i="18" a="1"/>
  <c r="P283" i="18" s="1"/>
  <c r="R283" i="18" s="1"/>
  <c r="U283" i="18" s="1"/>
  <c r="P329" i="18" a="1"/>
  <c r="P329" i="18" s="1"/>
  <c r="R329" i="18" s="1"/>
  <c r="U329" i="18" s="1"/>
  <c r="P372" i="18" a="1"/>
  <c r="P372" i="18" s="1"/>
  <c r="R372" i="18" s="1"/>
  <c r="U372" i="18" s="1"/>
  <c r="P411" i="18" a="1"/>
  <c r="P411" i="18" s="1"/>
  <c r="R411" i="18" s="1"/>
  <c r="U411" i="18" s="1"/>
  <c r="P425" i="18" a="1"/>
  <c r="P425" i="18" s="1"/>
  <c r="R425" i="18" s="1"/>
  <c r="U425" i="18" s="1"/>
  <c r="P445" i="18" a="1"/>
  <c r="P445" i="18" s="1"/>
  <c r="R445" i="18" s="1"/>
  <c r="U445" i="18" s="1"/>
  <c r="P454" i="18" a="1"/>
  <c r="P454" i="18" s="1"/>
  <c r="P462" i="18" a="1"/>
  <c r="P462" i="18" s="1"/>
  <c r="R462" i="18" s="1"/>
  <c r="U462" i="18" s="1"/>
  <c r="P468" i="18" a="1"/>
  <c r="P468" i="18" s="1"/>
  <c r="R468" i="18" s="1"/>
  <c r="U468" i="18" s="1"/>
  <c r="P481" i="18" a="1"/>
  <c r="P481" i="18" s="1"/>
  <c r="P487" i="18" a="1"/>
  <c r="P487" i="18" s="1"/>
  <c r="R487" i="18" s="1"/>
  <c r="U487" i="18" s="1"/>
  <c r="P493" i="18" a="1"/>
  <c r="P493" i="18" s="1"/>
  <c r="R493" i="18" s="1"/>
  <c r="U493" i="18" s="1"/>
  <c r="P506" i="18" a="1"/>
  <c r="P506" i="18" s="1"/>
  <c r="R506" i="18" s="1"/>
  <c r="U506" i="18" s="1"/>
  <c r="P518" i="18" a="1"/>
  <c r="P518" i="18" s="1"/>
  <c r="P524" i="18" a="1"/>
  <c r="P524" i="18" s="1"/>
  <c r="P531" i="18" a="1"/>
  <c r="P531" i="18" s="1"/>
  <c r="R531" i="18" s="1"/>
  <c r="U531" i="18" s="1"/>
  <c r="P537" i="18" a="1"/>
  <c r="P537" i="18" s="1"/>
  <c r="R537" i="18" s="1"/>
  <c r="U537" i="18" s="1"/>
  <c r="P543" i="18" a="1"/>
  <c r="P543" i="18" s="1"/>
  <c r="R543" i="18" s="1"/>
  <c r="U543" i="18" s="1"/>
  <c r="P549" i="18" a="1"/>
  <c r="P549" i="18" s="1"/>
  <c r="R549" i="18" s="1"/>
  <c r="U549" i="18" s="1"/>
  <c r="P561" i="18" a="1"/>
  <c r="P561" i="18" s="1"/>
  <c r="R561" i="18" s="1"/>
  <c r="U561" i="18" s="1"/>
  <c r="P566" i="18" a="1"/>
  <c r="P566" i="18" s="1"/>
  <c r="R566" i="18" s="1"/>
  <c r="U566" i="18" s="1"/>
  <c r="P573" i="18" a="1"/>
  <c r="P573" i="18" s="1"/>
  <c r="R573" i="18" s="1"/>
  <c r="U573" i="18" s="1"/>
  <c r="P578" i="18" a="1"/>
  <c r="P578" i="18" s="1"/>
  <c r="R578" i="18" s="1"/>
  <c r="U578" i="18" s="1"/>
  <c r="P590" i="18" a="1"/>
  <c r="P590" i="18" s="1"/>
  <c r="R590" i="18" s="1"/>
  <c r="U590" i="18" s="1"/>
  <c r="P602" i="18" a="1"/>
  <c r="P602" i="18" s="1"/>
  <c r="R602" i="18" s="1"/>
  <c r="U602" i="18" s="1"/>
  <c r="P607" i="18" a="1"/>
  <c r="P607" i="18" s="1"/>
  <c r="R607" i="18" s="1"/>
  <c r="U607" i="18" s="1"/>
  <c r="P613" i="18" a="1"/>
  <c r="P613" i="18" s="1"/>
  <c r="R613" i="18" s="1"/>
  <c r="U613" i="18" s="1"/>
  <c r="P625" i="18" a="1"/>
  <c r="P625" i="18" s="1"/>
  <c r="R625" i="18" s="1"/>
  <c r="U625" i="18" s="1"/>
  <c r="P630" i="18" a="1"/>
  <c r="P630" i="18" s="1"/>
  <c r="R630" i="18" s="1"/>
  <c r="U630" i="18" s="1"/>
  <c r="O667" i="18" a="1"/>
  <c r="O667" i="18" s="1"/>
  <c r="P42" i="18" a="1"/>
  <c r="P42" i="18" s="1"/>
  <c r="R42" i="18" s="1"/>
  <c r="U42" i="18" s="1"/>
  <c r="P99" i="18" a="1"/>
  <c r="P99" i="18" s="1"/>
  <c r="R99" i="18" s="1"/>
  <c r="U99" i="18" s="1"/>
  <c r="P149" i="18" a="1"/>
  <c r="P149" i="18" s="1"/>
  <c r="R149" i="18" s="1"/>
  <c r="U149" i="18" s="1"/>
  <c r="P242" i="18" a="1"/>
  <c r="P242" i="18" s="1"/>
  <c r="R242" i="18" s="1"/>
  <c r="U242" i="18" s="1"/>
  <c r="P289" i="18" a="1"/>
  <c r="P289" i="18" s="1"/>
  <c r="P397" i="18" a="1"/>
  <c r="P397" i="18" s="1"/>
  <c r="R397" i="18" s="1"/>
  <c r="U397" i="18" s="1"/>
  <c r="P414" i="18" a="1"/>
  <c r="P414" i="18" s="1"/>
  <c r="R414" i="18" s="1"/>
  <c r="U414" i="18" s="1"/>
  <c r="P426" i="18" a="1"/>
  <c r="P426" i="18" s="1"/>
  <c r="R426" i="18" s="1"/>
  <c r="U426" i="18" s="1"/>
  <c r="P436" i="18" a="1"/>
  <c r="P436" i="18" s="1"/>
  <c r="P447" i="18" a="1"/>
  <c r="P447" i="18" s="1"/>
  <c r="R447" i="18" s="1"/>
  <c r="U447" i="18" s="1"/>
  <c r="P455" i="18" a="1"/>
  <c r="P455" i="18" s="1"/>
  <c r="P463" i="18" a="1"/>
  <c r="P463" i="18" s="1"/>
  <c r="R463" i="18" s="1"/>
  <c r="U463" i="18" s="1"/>
  <c r="P469" i="18" a="1"/>
  <c r="P469" i="18" s="1"/>
  <c r="R469" i="18" s="1"/>
  <c r="U469" i="18" s="1"/>
  <c r="P475" i="18" a="1"/>
  <c r="P475" i="18" s="1"/>
  <c r="R475" i="18" s="1"/>
  <c r="U475" i="18" s="1"/>
  <c r="P494" i="18" a="1"/>
  <c r="P494" i="18" s="1"/>
  <c r="R494" i="18" s="1"/>
  <c r="U494" i="18" s="1"/>
  <c r="P500" i="18" a="1"/>
  <c r="P500" i="18" s="1"/>
  <c r="R500" i="18" s="1"/>
  <c r="U500" i="18" s="1"/>
  <c r="P513" i="18" a="1"/>
  <c r="P513" i="18" s="1"/>
  <c r="R513" i="18" s="1"/>
  <c r="U513" i="18" s="1"/>
  <c r="P519" i="18" a="1"/>
  <c r="P519" i="18" s="1"/>
  <c r="R519" i="18" s="1"/>
  <c r="U519" i="18" s="1"/>
  <c r="P525" i="18" a="1"/>
  <c r="P525" i="18" s="1"/>
  <c r="R525" i="18" s="1"/>
  <c r="U525" i="18" s="1"/>
  <c r="P538" i="18" a="1"/>
  <c r="P538" i="18" s="1"/>
  <c r="R538" i="18" s="1"/>
  <c r="U538" i="18" s="1"/>
  <c r="P550" i="18" a="1"/>
  <c r="P550" i="18" s="1"/>
  <c r="R550" i="18" s="1"/>
  <c r="U550" i="18" s="1"/>
  <c r="P555" i="18" a="1"/>
  <c r="P555" i="18" s="1"/>
  <c r="R555" i="18" s="1"/>
  <c r="U555" i="18" s="1"/>
  <c r="P567" i="18" a="1"/>
  <c r="P567" i="18" s="1"/>
  <c r="R567" i="18" s="1"/>
  <c r="U567" i="18" s="1"/>
  <c r="P579" i="18" a="1"/>
  <c r="P579" i="18" s="1"/>
  <c r="R579" i="18" s="1"/>
  <c r="U579" i="18" s="1"/>
  <c r="P591" i="18" a="1"/>
  <c r="P591" i="18" s="1"/>
  <c r="R591" i="18" s="1"/>
  <c r="U591" i="18" s="1"/>
  <c r="P596" i="18" a="1"/>
  <c r="P596" i="18" s="1"/>
  <c r="R596" i="18" s="1"/>
  <c r="U596" i="18" s="1"/>
  <c r="P614" i="18" a="1"/>
  <c r="P614" i="18" s="1"/>
  <c r="R614" i="18" s="1"/>
  <c r="U614" i="18" s="1"/>
  <c r="P619" i="18" a="1"/>
  <c r="P619" i="18" s="1"/>
  <c r="R619" i="18" s="1"/>
  <c r="U619" i="18" s="1"/>
  <c r="P631" i="18" a="1"/>
  <c r="P631" i="18" s="1"/>
  <c r="R631" i="18" s="1"/>
  <c r="U631" i="18" s="1"/>
  <c r="P643" i="18" a="1"/>
  <c r="P643" i="18" s="1"/>
  <c r="R643" i="18" s="1"/>
  <c r="U643" i="18" s="1"/>
  <c r="P655" i="18" a="1"/>
  <c r="P655" i="18" s="1"/>
  <c r="R655" i="18" s="1"/>
  <c r="U655" i="18" s="1"/>
  <c r="P201" i="18" a="1"/>
  <c r="P201" i="18" s="1"/>
  <c r="R201" i="18" s="1"/>
  <c r="U201" i="18" s="1"/>
  <c r="P341" i="18" a="1"/>
  <c r="P341" i="18" s="1"/>
  <c r="R341" i="18" s="1"/>
  <c r="U341" i="18" s="1"/>
  <c r="P399" i="18" a="1"/>
  <c r="P399" i="18" s="1"/>
  <c r="R399" i="18" s="1"/>
  <c r="U399" i="18" s="1"/>
  <c r="P428" i="18" a="1"/>
  <c r="P428" i="18" s="1"/>
  <c r="R428" i="18" s="1"/>
  <c r="U428" i="18" s="1"/>
  <c r="P476" i="18" a="1"/>
  <c r="P476" i="18" s="1"/>
  <c r="P482" i="18" a="1"/>
  <c r="P482" i="18" s="1"/>
  <c r="R482" i="18" s="1"/>
  <c r="U482" i="18" s="1"/>
  <c r="P495" i="18" a="1"/>
  <c r="P495" i="18" s="1"/>
  <c r="R495" i="18" s="1"/>
  <c r="U495" i="18" s="1"/>
  <c r="P501" i="18" a="1"/>
  <c r="P501" i="18" s="1"/>
  <c r="R501" i="18" s="1"/>
  <c r="U501" i="18" s="1"/>
  <c r="P507" i="18" a="1"/>
  <c r="P507" i="18" s="1"/>
  <c r="R507" i="18" s="1"/>
  <c r="U507" i="18" s="1"/>
  <c r="P526" i="18" a="1"/>
  <c r="P526" i="18" s="1"/>
  <c r="R526" i="18" s="1"/>
  <c r="U526" i="18" s="1"/>
  <c r="P532" i="18" a="1"/>
  <c r="P532" i="18" s="1"/>
  <c r="R532" i="18" s="1"/>
  <c r="U532" i="18" s="1"/>
  <c r="P545" i="18" a="1"/>
  <c r="P545" i="18" s="1"/>
  <c r="R545" i="18" s="1"/>
  <c r="U545" i="18" s="1"/>
  <c r="P556" i="18" a="1"/>
  <c r="P556" i="18" s="1"/>
  <c r="P562" i="18" a="1"/>
  <c r="P562" i="18" s="1"/>
  <c r="R562" i="18" s="1"/>
  <c r="U562" i="18" s="1"/>
  <c r="P574" i="18" a="1"/>
  <c r="P574" i="18" s="1"/>
  <c r="R574" i="18" s="1"/>
  <c r="U574" i="18" s="1"/>
  <c r="P585" i="18" a="1"/>
  <c r="P585" i="18" s="1"/>
  <c r="R585" i="18" s="1"/>
  <c r="U585" i="18" s="1"/>
  <c r="P597" i="18" a="1"/>
  <c r="P597" i="18" s="1"/>
  <c r="R597" i="18" s="1"/>
  <c r="U597" i="18" s="1"/>
  <c r="P603" i="18" a="1"/>
  <c r="P603" i="18" s="1"/>
  <c r="R603" i="18" s="1"/>
  <c r="U603" i="18" s="1"/>
  <c r="P609" i="18" a="1"/>
  <c r="P609" i="18" s="1"/>
  <c r="R609" i="18" s="1"/>
  <c r="U609" i="18" s="1"/>
  <c r="P620" i="18" a="1"/>
  <c r="P620" i="18" s="1"/>
  <c r="P626" i="18" a="1"/>
  <c r="P626" i="18" s="1"/>
  <c r="R626" i="18" s="1"/>
  <c r="U626" i="18" s="1"/>
  <c r="P638" i="18" a="1"/>
  <c r="P638" i="18" s="1"/>
  <c r="R638" i="18" s="1"/>
  <c r="U638" i="18" s="1"/>
  <c r="P649" i="18" a="1"/>
  <c r="P649" i="18" s="1"/>
  <c r="R649" i="18" s="1"/>
  <c r="U649" i="18" s="1"/>
  <c r="P661" i="18" a="1"/>
  <c r="P661" i="18" s="1"/>
  <c r="R661" i="18" s="1"/>
  <c r="U661" i="18" s="1"/>
  <c r="P667" i="18" a="1"/>
  <c r="P667" i="18" s="1"/>
  <c r="R667" i="18" s="1"/>
  <c r="U667" i="18" s="1"/>
  <c r="P673" i="18" a="1"/>
  <c r="P673" i="18" s="1"/>
  <c r="R673" i="18" s="1"/>
  <c r="U673" i="18" s="1"/>
  <c r="P679" i="18" a="1"/>
  <c r="P679" i="18" s="1"/>
  <c r="R679" i="18" s="1"/>
  <c r="U679" i="18" s="1"/>
  <c r="P685" i="18" a="1"/>
  <c r="P685" i="18" s="1"/>
  <c r="R685" i="18" s="1"/>
  <c r="U685" i="18" s="1"/>
  <c r="P698" i="18" a="1"/>
  <c r="P698" i="18" s="1"/>
  <c r="R698" i="18" s="1"/>
  <c r="U698" i="18" s="1"/>
  <c r="P703" i="18" a="1"/>
  <c r="P703" i="18" s="1"/>
  <c r="R703" i="18" s="1"/>
  <c r="U703" i="18" s="1"/>
  <c r="P709" i="18" a="1"/>
  <c r="P709" i="18" s="1"/>
  <c r="R709" i="18" s="1"/>
  <c r="U709" i="18" s="1"/>
  <c r="P715" i="18" a="1"/>
  <c r="P715" i="18" s="1"/>
  <c r="R715" i="18" s="1"/>
  <c r="U715" i="18" s="1"/>
  <c r="P721" i="18" a="1"/>
  <c r="P721" i="18" s="1"/>
  <c r="R721" i="18" s="1"/>
  <c r="U721" i="18" s="1"/>
  <c r="O703" i="18" a="1"/>
  <c r="O703" i="18" s="1"/>
  <c r="P57" i="18" a="1"/>
  <c r="P57" i="18" s="1"/>
  <c r="P112" i="18" a="1"/>
  <c r="P112" i="18" s="1"/>
  <c r="P161" i="18" a="1"/>
  <c r="P161" i="18" s="1"/>
  <c r="R161" i="18" s="1"/>
  <c r="U161" i="18" s="1"/>
  <c r="P254" i="18" a="1"/>
  <c r="P254" i="18" s="1"/>
  <c r="R254" i="18" s="1"/>
  <c r="U254" i="18" s="1"/>
  <c r="P300" i="18" a="1"/>
  <c r="P300" i="18" s="1"/>
  <c r="P347" i="18" a="1"/>
  <c r="P347" i="18" s="1"/>
  <c r="R347" i="18" s="1"/>
  <c r="U347" i="18" s="1"/>
  <c r="P429" i="18" a="1"/>
  <c r="P429" i="18" s="1"/>
  <c r="R429" i="18" s="1"/>
  <c r="U429" i="18" s="1"/>
  <c r="P438" i="18" a="1"/>
  <c r="P438" i="18" s="1"/>
  <c r="R438" i="18" s="1"/>
  <c r="U438" i="18" s="1"/>
  <c r="P449" i="18" a="1"/>
  <c r="P449" i="18" s="1"/>
  <c r="R449" i="18" s="1"/>
  <c r="U449" i="18" s="1"/>
  <c r="P465" i="18" a="1"/>
  <c r="P465" i="18" s="1"/>
  <c r="R465" i="18" s="1"/>
  <c r="U465" i="18" s="1"/>
  <c r="P470" i="18" a="1"/>
  <c r="P470" i="18" s="1"/>
  <c r="R470" i="18" s="1"/>
  <c r="U470" i="18" s="1"/>
  <c r="P477" i="18" a="1"/>
  <c r="P477" i="18" s="1"/>
  <c r="R477" i="18" s="1"/>
  <c r="U477" i="18" s="1"/>
  <c r="P483" i="18" a="1"/>
  <c r="P483" i="18" s="1"/>
  <c r="R483" i="18" s="1"/>
  <c r="U483" i="18" s="1"/>
  <c r="P489" i="18" a="1"/>
  <c r="P489" i="18" s="1"/>
  <c r="R489" i="18" s="1"/>
  <c r="U489" i="18" s="1"/>
  <c r="P508" i="18" a="1"/>
  <c r="P508" i="18" s="1"/>
  <c r="P514" i="18" a="1"/>
  <c r="P514" i="18" s="1"/>
  <c r="R514" i="18" s="1"/>
  <c r="U514" i="18" s="1"/>
  <c r="P527" i="18" a="1"/>
  <c r="P527" i="18" s="1"/>
  <c r="R527" i="18" s="1"/>
  <c r="U527" i="18" s="1"/>
  <c r="P533" i="18" a="1"/>
  <c r="P533" i="18" s="1"/>
  <c r="R533" i="18" s="1"/>
  <c r="U533" i="18" s="1"/>
  <c r="P539" i="18" a="1"/>
  <c r="P539" i="18" s="1"/>
  <c r="R539" i="18" s="1"/>
  <c r="U539" i="18" s="1"/>
  <c r="P551" i="18" a="1"/>
  <c r="P551" i="18" s="1"/>
  <c r="R551" i="18" s="1"/>
  <c r="U551" i="18" s="1"/>
  <c r="P557" i="18" a="1"/>
  <c r="P557" i="18" s="1"/>
  <c r="R557" i="18" s="1"/>
  <c r="U557" i="18" s="1"/>
  <c r="P563" i="18" a="1"/>
  <c r="P563" i="18" s="1"/>
  <c r="R563" i="18" s="1"/>
  <c r="U563" i="18" s="1"/>
  <c r="P569" i="18" a="1"/>
  <c r="P569" i="18" s="1"/>
  <c r="R569" i="18" s="1"/>
  <c r="U569" i="18" s="1"/>
  <c r="P580" i="18" a="1"/>
  <c r="P580" i="18" s="1"/>
  <c r="R580" i="18" s="1"/>
  <c r="U580" i="18" s="1"/>
  <c r="P586" i="18" a="1"/>
  <c r="P586" i="18" s="1"/>
  <c r="R586" i="18" s="1"/>
  <c r="U586" i="18" s="1"/>
  <c r="P604" i="18" a="1"/>
  <c r="P604" i="18" s="1"/>
  <c r="P615" i="18" a="1"/>
  <c r="P615" i="18" s="1"/>
  <c r="R615" i="18" s="1"/>
  <c r="U615" i="18" s="1"/>
  <c r="P621" i="18" a="1"/>
  <c r="P621" i="18" s="1"/>
  <c r="R621" i="18" s="1"/>
  <c r="U621" i="18" s="1"/>
  <c r="P627" i="18" a="1"/>
  <c r="P627" i="18" s="1"/>
  <c r="R627" i="18" s="1"/>
  <c r="U627" i="18" s="1"/>
  <c r="P633" i="18" a="1"/>
  <c r="P633" i="18" s="1"/>
  <c r="R633" i="18" s="1"/>
  <c r="U633" i="18" s="1"/>
  <c r="P644" i="18" a="1"/>
  <c r="P644" i="18" s="1"/>
  <c r="R644" i="18" s="1"/>
  <c r="U644" i="18" s="1"/>
  <c r="P650" i="18" a="1"/>
  <c r="P650" i="18" s="1"/>
  <c r="R650" i="18" s="1"/>
  <c r="U650" i="18" s="1"/>
  <c r="O447" i="18" a="1"/>
  <c r="O447" i="18" s="1"/>
  <c r="O715" i="18" a="1"/>
  <c r="O715" i="18" s="1"/>
  <c r="P118" i="18" a="1"/>
  <c r="P118" i="18" s="1"/>
  <c r="P168" i="18" a="1"/>
  <c r="P168" i="18" s="1"/>
  <c r="R168" i="18" s="1"/>
  <c r="U168" i="18" s="1"/>
  <c r="P213" i="18" a="1"/>
  <c r="P213" i="18" s="1"/>
  <c r="R213" i="18" s="1"/>
  <c r="U213" i="18" s="1"/>
  <c r="P306" i="18" a="1"/>
  <c r="P306" i="18" s="1"/>
  <c r="R306" i="18" s="1"/>
  <c r="U306" i="18" s="1"/>
  <c r="P385" i="18" a="1"/>
  <c r="P385" i="18" s="1"/>
  <c r="R385" i="18" s="1"/>
  <c r="U385" i="18" s="1"/>
  <c r="P430" i="18" a="1"/>
  <c r="P430" i="18" s="1"/>
  <c r="R430" i="18" s="1"/>
  <c r="U430" i="18" s="1"/>
  <c r="P441" i="18" a="1"/>
  <c r="P441" i="18" s="1"/>
  <c r="R441" i="18" s="1"/>
  <c r="U441" i="18" s="1"/>
  <c r="P457" i="18" a="1"/>
  <c r="P457" i="18" s="1"/>
  <c r="R457" i="18" s="1"/>
  <c r="U457" i="18" s="1"/>
  <c r="P471" i="18" a="1"/>
  <c r="P471" i="18" s="1"/>
  <c r="R471" i="18" s="1"/>
  <c r="U471" i="18" s="1"/>
  <c r="P478" i="18" a="1"/>
  <c r="P478" i="18" s="1"/>
  <c r="R478" i="18" s="1"/>
  <c r="U478" i="18" s="1"/>
  <c r="P490" i="18" a="1"/>
  <c r="P490" i="18" s="1"/>
  <c r="R490" i="18" s="1"/>
  <c r="U490" i="18" s="1"/>
  <c r="P497" i="18" a="1"/>
  <c r="P497" i="18" s="1"/>
  <c r="R497" i="18" s="1"/>
  <c r="U497" i="18" s="1"/>
  <c r="P502" i="18" a="1"/>
  <c r="P502" i="18" s="1"/>
  <c r="R502" i="18" s="1"/>
  <c r="U502" i="18" s="1"/>
  <c r="P509" i="18" a="1"/>
  <c r="P509" i="18" s="1"/>
  <c r="P515" i="18" a="1"/>
  <c r="P515" i="18" s="1"/>
  <c r="R515" i="18" s="1"/>
  <c r="U515" i="18" s="1"/>
  <c r="P521" i="18" a="1"/>
  <c r="P521" i="18" s="1"/>
  <c r="R521" i="18" s="1"/>
  <c r="U521" i="18" s="1"/>
  <c r="P540" i="18" a="1"/>
  <c r="P540" i="18" s="1"/>
  <c r="P546" i="18" a="1"/>
  <c r="P546" i="18" s="1"/>
  <c r="R546" i="18" s="1"/>
  <c r="U546" i="18" s="1"/>
  <c r="P558" i="18" a="1"/>
  <c r="P558" i="18" s="1"/>
  <c r="R558" i="18" s="1"/>
  <c r="U558" i="18" s="1"/>
  <c r="P570" i="18" a="1"/>
  <c r="P570" i="18" s="1"/>
  <c r="R570" i="18" s="1"/>
  <c r="U570" i="18" s="1"/>
  <c r="P575" i="18" a="1"/>
  <c r="P575" i="18" s="1"/>
  <c r="R575" i="18" s="1"/>
  <c r="U575" i="18" s="1"/>
  <c r="P581" i="18" a="1"/>
  <c r="P581" i="18" s="1"/>
  <c r="R581" i="18" s="1"/>
  <c r="U581" i="18" s="1"/>
  <c r="P593" i="18" a="1"/>
  <c r="P593" i="18" s="1"/>
  <c r="R593" i="18" s="1"/>
  <c r="U593" i="18" s="1"/>
  <c r="P598" i="18" a="1"/>
  <c r="P598" i="18" s="1"/>
  <c r="R598" i="18" s="1"/>
  <c r="U598" i="18" s="1"/>
  <c r="P605" i="18" a="1"/>
  <c r="P605" i="18" s="1"/>
  <c r="R605" i="18" s="1"/>
  <c r="U605" i="18" s="1"/>
  <c r="P610" i="18" a="1"/>
  <c r="P610" i="18" s="1"/>
  <c r="R610" i="18" s="1"/>
  <c r="U610" i="18" s="1"/>
  <c r="P622" i="18" a="1"/>
  <c r="P622" i="18" s="1"/>
  <c r="R622" i="18" s="1"/>
  <c r="U622" i="18" s="1"/>
  <c r="P634" i="18" a="1"/>
  <c r="P634" i="18" s="1"/>
  <c r="R634" i="18" s="1"/>
  <c r="U634" i="18" s="1"/>
  <c r="P639" i="18" a="1"/>
  <c r="P639" i="18" s="1"/>
  <c r="R639" i="18" s="1"/>
  <c r="U639" i="18" s="1"/>
  <c r="P645" i="18" a="1"/>
  <c r="P645" i="18" s="1"/>
  <c r="R645" i="18" s="1"/>
  <c r="U645" i="18" s="1"/>
  <c r="P657" i="18" a="1"/>
  <c r="P657" i="18" s="1"/>
  <c r="R657" i="18" s="1"/>
  <c r="U657" i="18" s="1"/>
  <c r="P662" i="18" a="1"/>
  <c r="P662" i="18" s="1"/>
  <c r="R662" i="18" s="1"/>
  <c r="U662" i="18" s="1"/>
  <c r="P669" i="18" a="1"/>
  <c r="P669" i="18" s="1"/>
  <c r="R669" i="18" s="1"/>
  <c r="U669" i="18" s="1"/>
  <c r="P674" i="18" a="1"/>
  <c r="P674" i="18" s="1"/>
  <c r="R674" i="18" s="1"/>
  <c r="U674" i="18" s="1"/>
  <c r="O494" i="18" a="1"/>
  <c r="O494" i="18" s="1"/>
  <c r="P8" i="18" a="1"/>
  <c r="P8" i="18" s="1"/>
  <c r="P72" i="18" a="1"/>
  <c r="P72" i="18" s="1"/>
  <c r="R72" i="18" s="1"/>
  <c r="U72" i="18" s="1"/>
  <c r="P124" i="18" a="1"/>
  <c r="P124" i="18" s="1"/>
  <c r="P173" i="18" a="1"/>
  <c r="P173" i="18" s="1"/>
  <c r="R173" i="18" s="1"/>
  <c r="U173" i="18" s="1"/>
  <c r="P219" i="18" a="1"/>
  <c r="P219" i="18" s="1"/>
  <c r="R219" i="18" s="1"/>
  <c r="U219" i="18" s="1"/>
  <c r="P265" i="18" a="1"/>
  <c r="P265" i="18" s="1"/>
  <c r="R265" i="18" s="1"/>
  <c r="U265" i="18" s="1"/>
  <c r="P388" i="18" a="1"/>
  <c r="P388" i="18" s="1"/>
  <c r="P405" i="18" a="1"/>
  <c r="P405" i="18" s="1"/>
  <c r="R405" i="18" s="1"/>
  <c r="U405" i="18" s="1"/>
  <c r="P422" i="18" a="1"/>
  <c r="P422" i="18" s="1"/>
  <c r="R422" i="18" s="1"/>
  <c r="U422" i="18" s="1"/>
  <c r="P442" i="18" a="1"/>
  <c r="P442" i="18" s="1"/>
  <c r="R442" i="18" s="1"/>
  <c r="U442" i="18" s="1"/>
  <c r="P450" i="18" a="1"/>
  <c r="P450" i="18" s="1"/>
  <c r="R450" i="18" s="1"/>
  <c r="U450" i="18" s="1"/>
  <c r="P459" i="18" a="1"/>
  <c r="P459" i="18" s="1"/>
  <c r="R459" i="18" s="1"/>
  <c r="U459" i="18" s="1"/>
  <c r="P466" i="18" a="1"/>
  <c r="P466" i="18" s="1"/>
  <c r="R466" i="18" s="1"/>
  <c r="U466" i="18" s="1"/>
  <c r="P484" i="18" a="1"/>
  <c r="P484" i="18" s="1"/>
  <c r="R484" i="18" s="1"/>
  <c r="U484" i="18" s="1"/>
  <c r="P503" i="18" a="1"/>
  <c r="P503" i="18" s="1"/>
  <c r="R503" i="18" s="1"/>
  <c r="U503" i="18" s="1"/>
  <c r="P510" i="18" a="1"/>
  <c r="P510" i="18" s="1"/>
  <c r="R510" i="18" s="1"/>
  <c r="U510" i="18" s="1"/>
  <c r="P522" i="18" a="1"/>
  <c r="P522" i="18" s="1"/>
  <c r="R522" i="18" s="1"/>
  <c r="U522" i="18" s="1"/>
  <c r="P529" i="18" a="1"/>
  <c r="P529" i="18" s="1"/>
  <c r="R529" i="18" s="1"/>
  <c r="U529" i="18" s="1"/>
  <c r="P534" i="18" a="1"/>
  <c r="P534" i="18" s="1"/>
  <c r="R534" i="18" s="1"/>
  <c r="U534" i="18" s="1"/>
  <c r="P541" i="18" a="1"/>
  <c r="P541" i="18" s="1"/>
  <c r="R541" i="18" s="1"/>
  <c r="U541" i="18" s="1"/>
  <c r="P547" i="18" a="1"/>
  <c r="P547" i="18" s="1"/>
  <c r="R547" i="18" s="1"/>
  <c r="U547" i="18" s="1"/>
  <c r="P559" i="18" a="1"/>
  <c r="P559" i="18" s="1"/>
  <c r="R559" i="18" s="1"/>
  <c r="U559" i="18" s="1"/>
  <c r="P564" i="18" a="1"/>
  <c r="P564" i="18" s="1"/>
  <c r="R564" i="18" s="1"/>
  <c r="U564" i="18" s="1"/>
  <c r="P582" i="18" a="1"/>
  <c r="P582" i="18" s="1"/>
  <c r="P587" i="18" a="1"/>
  <c r="P587" i="18" s="1"/>
  <c r="R587" i="18" s="1"/>
  <c r="U587" i="18" s="1"/>
  <c r="P599" i="18" a="1"/>
  <c r="P599" i="18" s="1"/>
  <c r="R599" i="18" s="1"/>
  <c r="U599" i="18" s="1"/>
  <c r="P611" i="18" a="1"/>
  <c r="P611" i="18" s="1"/>
  <c r="R611" i="18" s="1"/>
  <c r="U611" i="18" s="1"/>
  <c r="P623" i="18" a="1"/>
  <c r="P623" i="18" s="1"/>
  <c r="R623" i="18" s="1"/>
  <c r="U623" i="18" s="1"/>
  <c r="P628" i="18" a="1"/>
  <c r="P628" i="18" s="1"/>
  <c r="R628" i="18" s="1"/>
  <c r="U628" i="18" s="1"/>
  <c r="P646" i="18" a="1"/>
  <c r="P646" i="18" s="1"/>
  <c r="P651" i="18" a="1"/>
  <c r="P651" i="18" s="1"/>
  <c r="R651" i="18" s="1"/>
  <c r="U651" i="18" s="1"/>
  <c r="P663" i="18" a="1"/>
  <c r="P663" i="18" s="1"/>
  <c r="R663" i="18" s="1"/>
  <c r="U663" i="18" s="1"/>
  <c r="P675" i="18" a="1"/>
  <c r="P675" i="18" s="1"/>
  <c r="R675" i="18" s="1"/>
  <c r="U675" i="18" s="1"/>
  <c r="P681" i="18" a="1"/>
  <c r="P681" i="18" s="1"/>
  <c r="R681" i="18" s="1"/>
  <c r="U681" i="18" s="1"/>
  <c r="P700" i="18" a="1"/>
  <c r="P700" i="18" s="1"/>
  <c r="O586" i="18" a="1"/>
  <c r="O586" i="18" s="1"/>
  <c r="P85" i="18" a="1"/>
  <c r="P85" i="18" s="1"/>
  <c r="R85" i="18" s="1"/>
  <c r="U85" i="18" s="1"/>
  <c r="P137" i="18" a="1"/>
  <c r="P137" i="18" s="1"/>
  <c r="R137" i="18" s="1"/>
  <c r="U137" i="18" s="1"/>
  <c r="P185" i="18" a="1"/>
  <c r="P185" i="18" s="1"/>
  <c r="R185" i="18" s="1"/>
  <c r="U185" i="18" s="1"/>
  <c r="P277" i="18" a="1"/>
  <c r="P277" i="18" s="1"/>
  <c r="R277" i="18" s="1"/>
  <c r="U277" i="18" s="1"/>
  <c r="P370" i="18" a="1"/>
  <c r="P370" i="18" s="1"/>
  <c r="R370" i="18" s="1"/>
  <c r="U370" i="18" s="1"/>
  <c r="P410" i="18" a="1"/>
  <c r="P410" i="18" s="1"/>
  <c r="R410" i="18" s="1"/>
  <c r="U410" i="18" s="1"/>
  <c r="P435" i="18" a="1"/>
  <c r="P435" i="18" s="1"/>
  <c r="P444" i="18" a="1"/>
  <c r="P444" i="18" s="1"/>
  <c r="R444" i="18" s="1"/>
  <c r="U444" i="18" s="1"/>
  <c r="P453" i="18" a="1"/>
  <c r="P453" i="18" s="1"/>
  <c r="P461" i="18" a="1"/>
  <c r="P461" i="18" s="1"/>
  <c r="R461" i="18" s="1"/>
  <c r="U461" i="18" s="1"/>
  <c r="P474" i="18" a="1"/>
  <c r="P474" i="18" s="1"/>
  <c r="R474" i="18" s="1"/>
  <c r="U474" i="18" s="1"/>
  <c r="P486" i="18" a="1"/>
  <c r="P486" i="18" s="1"/>
  <c r="R486" i="18" s="1"/>
  <c r="U486" i="18" s="1"/>
  <c r="P492" i="18" a="1"/>
  <c r="P492" i="18" s="1"/>
  <c r="P499" i="18" a="1"/>
  <c r="P499" i="18" s="1"/>
  <c r="R499" i="18" s="1"/>
  <c r="U499" i="18" s="1"/>
  <c r="P505" i="18" a="1"/>
  <c r="P505" i="18" s="1"/>
  <c r="R505" i="18" s="1"/>
  <c r="U505" i="18" s="1"/>
  <c r="P511" i="18" a="1"/>
  <c r="P511" i="18" s="1"/>
  <c r="R511" i="18" s="1"/>
  <c r="U511" i="18" s="1"/>
  <c r="P517" i="18" a="1"/>
  <c r="P517" i="18" s="1"/>
  <c r="R517" i="18" s="1"/>
  <c r="U517" i="18" s="1"/>
  <c r="P523" i="18" a="1"/>
  <c r="P523" i="18" s="1"/>
  <c r="R523" i="18" s="1"/>
  <c r="U523" i="18" s="1"/>
  <c r="P530" i="18" a="1"/>
  <c r="P530" i="18" s="1"/>
  <c r="R530" i="18" s="1"/>
  <c r="U530" i="18" s="1"/>
  <c r="P548" i="18" a="1"/>
  <c r="P548" i="18" s="1"/>
  <c r="R548" i="18" s="1"/>
  <c r="U548" i="18" s="1"/>
  <c r="P554" i="18" a="1"/>
  <c r="P554" i="18" s="1"/>
  <c r="R554" i="18" s="1"/>
  <c r="U554" i="18" s="1"/>
  <c r="P572" i="18" a="1"/>
  <c r="P572" i="18" s="1"/>
  <c r="P583" i="18" a="1"/>
  <c r="P583" i="18" s="1"/>
  <c r="R583" i="18" s="1"/>
  <c r="U583" i="18" s="1"/>
  <c r="P589" i="18" a="1"/>
  <c r="P589" i="18" s="1"/>
  <c r="R589" i="18" s="1"/>
  <c r="U589" i="18" s="1"/>
  <c r="P595" i="18" a="1"/>
  <c r="P595" i="18" s="1"/>
  <c r="R595" i="18" s="1"/>
  <c r="U595" i="18" s="1"/>
  <c r="P601" i="18" a="1"/>
  <c r="P601" i="18" s="1"/>
  <c r="R601" i="18" s="1"/>
  <c r="U601" i="18" s="1"/>
  <c r="P612" i="18" a="1"/>
  <c r="P612" i="18" s="1"/>
  <c r="R612" i="18" s="1"/>
  <c r="U612" i="18" s="1"/>
  <c r="P618" i="18" a="1"/>
  <c r="P618" i="18" s="1"/>
  <c r="R618" i="18" s="1"/>
  <c r="U618" i="18" s="1"/>
  <c r="P636" i="18" a="1"/>
  <c r="P636" i="18" s="1"/>
  <c r="P647" i="18" a="1"/>
  <c r="P647" i="18" s="1"/>
  <c r="R647" i="18" s="1"/>
  <c r="U647" i="18" s="1"/>
  <c r="P653" i="18" a="1"/>
  <c r="P653" i="18" s="1"/>
  <c r="R653" i="18" s="1"/>
  <c r="U653" i="18" s="1"/>
  <c r="P659" i="18" a="1"/>
  <c r="P659" i="18" s="1"/>
  <c r="R659" i="18" s="1"/>
  <c r="U659" i="18" s="1"/>
  <c r="P665" i="18" a="1"/>
  <c r="P665" i="18" s="1"/>
  <c r="R665" i="18" s="1"/>
  <c r="U665" i="18" s="1"/>
  <c r="P676" i="18" a="1"/>
  <c r="P676" i="18" s="1"/>
  <c r="R676" i="18" s="1"/>
  <c r="U676" i="18" s="1"/>
  <c r="P88" i="18" a="1"/>
  <c r="P88" i="18" s="1"/>
  <c r="O200" i="18" a="1"/>
  <c r="O200" i="18" s="1"/>
  <c r="O192" i="18" a="1"/>
  <c r="O192" i="18" s="1"/>
  <c r="P69" i="18" a="1"/>
  <c r="P69" i="18" s="1"/>
  <c r="R69" i="18" s="1"/>
  <c r="U69" i="18" s="1"/>
  <c r="O695" i="18" a="1"/>
  <c r="O695" i="18" s="1"/>
  <c r="O682" i="18" a="1"/>
  <c r="O682" i="18" s="1"/>
  <c r="O677" i="18" a="1"/>
  <c r="O677" i="18" s="1"/>
  <c r="O671" i="18" a="1"/>
  <c r="O671" i="18" s="1"/>
  <c r="O136" i="18" a="1"/>
  <c r="O136" i="18" s="1"/>
  <c r="P32" i="18" a="1"/>
  <c r="P32" i="18" s="1"/>
  <c r="R32" i="18" s="1"/>
  <c r="U32" i="18" s="1"/>
  <c r="O655" i="18" a="1"/>
  <c r="O655" i="18" s="1"/>
  <c r="O583" i="18" a="1"/>
  <c r="O583" i="18" s="1"/>
  <c r="O629" i="18" a="1"/>
  <c r="O629" i="18" s="1"/>
  <c r="R492" i="18"/>
  <c r="U492" i="18" s="1"/>
  <c r="R388" i="18"/>
  <c r="U388" i="18" s="1"/>
  <c r="R358" i="18"/>
  <c r="U358" i="18" s="1"/>
  <c r="R308" i="18"/>
  <c r="U308" i="18" s="1"/>
  <c r="R296" i="18"/>
  <c r="U296" i="18" s="1"/>
  <c r="R289" i="18"/>
  <c r="U289" i="18" s="1"/>
  <c r="R284" i="18"/>
  <c r="U284" i="18" s="1"/>
  <c r="R220" i="18"/>
  <c r="U220" i="18" s="1"/>
  <c r="R139" i="18"/>
  <c r="U139" i="18" s="1"/>
  <c r="R109" i="18"/>
  <c r="U109" i="18" s="1"/>
  <c r="R97" i="18"/>
  <c r="U97" i="18" s="1"/>
  <c r="R57" i="18"/>
  <c r="U57" i="18" s="1"/>
  <c r="R20" i="18"/>
  <c r="U20" i="18" s="1"/>
  <c r="R8" i="18"/>
  <c r="U8" i="18" s="1"/>
  <c r="P717" i="18" a="1"/>
  <c r="P717" i="18" s="1"/>
  <c r="R717" i="18" s="1"/>
  <c r="U717" i="18" s="1"/>
  <c r="P710" i="18" a="1"/>
  <c r="P710" i="18" s="1"/>
  <c r="P695" i="18" a="1"/>
  <c r="P695" i="18" s="1"/>
  <c r="R695" i="18" s="1"/>
  <c r="U695" i="18" s="1"/>
  <c r="P687" i="18" a="1"/>
  <c r="P687" i="18" s="1"/>
  <c r="R687" i="18" s="1"/>
  <c r="U687" i="18" s="1"/>
  <c r="P678" i="18" a="1"/>
  <c r="P678" i="18" s="1"/>
  <c r="R678" i="18" s="1"/>
  <c r="U678" i="18" s="1"/>
  <c r="P654" i="18" a="1"/>
  <c r="P654" i="18" s="1"/>
  <c r="R654" i="18" s="1"/>
  <c r="U654" i="18" s="1"/>
  <c r="P629" i="18" a="1"/>
  <c r="P629" i="18" s="1"/>
  <c r="R629" i="18" s="1"/>
  <c r="U629" i="18" s="1"/>
  <c r="P535" i="18" a="1"/>
  <c r="P535" i="18" s="1"/>
  <c r="R535" i="18" s="1"/>
  <c r="U535" i="18" s="1"/>
  <c r="P485" i="18" a="1"/>
  <c r="P485" i="18" s="1"/>
  <c r="R485" i="18" s="1"/>
  <c r="U485" i="18" s="1"/>
  <c r="P423" i="18" a="1"/>
  <c r="P423" i="18" s="1"/>
  <c r="P130" i="18" a="1"/>
  <c r="P130" i="18" s="1"/>
  <c r="R130" i="18" s="1"/>
  <c r="U130" i="18" s="1"/>
  <c r="R600" i="18"/>
  <c r="U600" i="18" s="1"/>
  <c r="R536" i="18"/>
  <c r="U536" i="18" s="1"/>
  <c r="R509" i="18"/>
  <c r="U509" i="18" s="1"/>
  <c r="R491" i="18"/>
  <c r="U491" i="18" s="1"/>
  <c r="R436" i="18"/>
  <c r="U436" i="18" s="1"/>
  <c r="R400" i="18"/>
  <c r="U400" i="18" s="1"/>
  <c r="R381" i="18"/>
  <c r="U381" i="18" s="1"/>
  <c r="R364" i="18"/>
  <c r="U364" i="18" s="1"/>
  <c r="R328" i="18"/>
  <c r="U328" i="18" s="1"/>
  <c r="R321" i="18"/>
  <c r="U321" i="18" s="1"/>
  <c r="R264" i="18"/>
  <c r="U264" i="18" s="1"/>
  <c r="R256" i="18"/>
  <c r="U256" i="18" s="1"/>
  <c r="R244" i="18"/>
  <c r="U244" i="18" s="1"/>
  <c r="R214" i="18"/>
  <c r="U214" i="18" s="1"/>
  <c r="R196" i="18"/>
  <c r="U196" i="18" s="1"/>
  <c r="R172" i="18"/>
  <c r="U172" i="18" s="1"/>
  <c r="R158" i="18"/>
  <c r="U158" i="18" s="1"/>
  <c r="R145" i="18"/>
  <c r="U145" i="18" s="1"/>
  <c r="R132" i="18"/>
  <c r="U132" i="18" s="1"/>
  <c r="R120" i="18"/>
  <c r="U120" i="18" s="1"/>
  <c r="R96" i="18"/>
  <c r="U96" i="18" s="1"/>
  <c r="R84" i="18"/>
  <c r="U84" i="18" s="1"/>
  <c r="R56" i="18"/>
  <c r="U56" i="18" s="1"/>
  <c r="R19" i="18"/>
  <c r="U19" i="18" s="1"/>
  <c r="P716" i="18" a="1"/>
  <c r="P716" i="18" s="1"/>
  <c r="P708" i="18" a="1"/>
  <c r="P708" i="18" s="1"/>
  <c r="R708" i="18" s="1"/>
  <c r="U708" i="18" s="1"/>
  <c r="P702" i="18" a="1"/>
  <c r="P702" i="18" s="1"/>
  <c r="R702" i="18" s="1"/>
  <c r="U702" i="18" s="1"/>
  <c r="P694" i="18" a="1"/>
  <c r="P694" i="18" s="1"/>
  <c r="R694" i="18" s="1"/>
  <c r="U694" i="18" s="1"/>
  <c r="P686" i="18" a="1"/>
  <c r="P686" i="18" s="1"/>
  <c r="R686" i="18" s="1"/>
  <c r="U686" i="18" s="1"/>
  <c r="P677" i="18" a="1"/>
  <c r="P677" i="18" s="1"/>
  <c r="R677" i="18" s="1"/>
  <c r="U677" i="18" s="1"/>
  <c r="P666" i="18" a="1"/>
  <c r="P666" i="18" s="1"/>
  <c r="R666" i="18" s="1"/>
  <c r="U666" i="18" s="1"/>
  <c r="P652" i="18" a="1"/>
  <c r="P652" i="18" s="1"/>
  <c r="R652" i="18" s="1"/>
  <c r="U652" i="18" s="1"/>
  <c r="P577" i="18" a="1"/>
  <c r="P577" i="18" s="1"/>
  <c r="R577" i="18" s="1"/>
  <c r="U577" i="18" s="1"/>
  <c r="P479" i="18" a="1"/>
  <c r="P479" i="18" s="1"/>
  <c r="R479" i="18" s="1"/>
  <c r="U479" i="18" s="1"/>
  <c r="P407" i="18" a="1"/>
  <c r="P407" i="18" s="1"/>
  <c r="R407" i="18" s="1"/>
  <c r="U407" i="18" s="1"/>
  <c r="P78" i="18" a="1"/>
  <c r="P78" i="18" s="1"/>
  <c r="R78" i="18" s="1"/>
  <c r="U78" i="18" s="1"/>
  <c r="S67" i="18" a="1"/>
  <c r="S67" i="18" s="1"/>
  <c r="S62" i="18" a="1"/>
  <c r="S62" i="18" s="1"/>
  <c r="S56" i="18" a="1"/>
  <c r="S56" i="18" s="1"/>
  <c r="S51" i="18" a="1"/>
  <c r="S51" i="18" s="1"/>
  <c r="S40" i="18" a="1"/>
  <c r="S40" i="18" s="1"/>
  <c r="S29" i="18" a="1"/>
  <c r="S29" i="18" s="1"/>
  <c r="S18" i="18" a="1"/>
  <c r="S18" i="18" s="1"/>
  <c r="S13" i="18" a="1"/>
  <c r="S13" i="18" s="1"/>
  <c r="R455" i="18"/>
  <c r="U455" i="18" s="1"/>
  <c r="R435" i="18"/>
  <c r="U435" i="18" s="1"/>
  <c r="R412" i="18"/>
  <c r="U412" i="18" s="1"/>
  <c r="R363" i="18"/>
  <c r="U363" i="18" s="1"/>
  <c r="R356" i="18"/>
  <c r="U356" i="18" s="1"/>
  <c r="R301" i="18"/>
  <c r="U301" i="18" s="1"/>
  <c r="R288" i="18"/>
  <c r="U288" i="18" s="1"/>
  <c r="R276" i="18"/>
  <c r="U276" i="18" s="1"/>
  <c r="R164" i="18"/>
  <c r="U164" i="18" s="1"/>
  <c r="R67" i="18"/>
  <c r="U67" i="18" s="1"/>
  <c r="P693" i="18" a="1"/>
  <c r="P693" i="18" s="1"/>
  <c r="R693" i="18" s="1"/>
  <c r="U693" i="18" s="1"/>
  <c r="P684" i="18" a="1"/>
  <c r="P684" i="18" s="1"/>
  <c r="P664" i="18" a="1"/>
  <c r="P664" i="18" s="1"/>
  <c r="R664" i="18" s="1"/>
  <c r="U664" i="18" s="1"/>
  <c r="P617" i="18" a="1"/>
  <c r="P617" i="18" s="1"/>
  <c r="R617" i="18" s="1"/>
  <c r="U617" i="18" s="1"/>
  <c r="P571" i="18" a="1"/>
  <c r="P571" i="18" s="1"/>
  <c r="R571" i="18" s="1"/>
  <c r="U571" i="18" s="1"/>
  <c r="P473" i="18" a="1"/>
  <c r="P473" i="18" s="1"/>
  <c r="R473" i="18" s="1"/>
  <c r="U473" i="18" s="1"/>
  <c r="P391" i="18" a="1"/>
  <c r="P391" i="18" s="1"/>
  <c r="R391" i="18" s="1"/>
  <c r="U391" i="18" s="1"/>
  <c r="R716" i="18"/>
  <c r="U716" i="18" s="1"/>
  <c r="R700" i="18"/>
  <c r="U700" i="18" s="1"/>
  <c r="R684" i="18"/>
  <c r="U684" i="18" s="1"/>
  <c r="R668" i="18"/>
  <c r="U668" i="18" s="1"/>
  <c r="R636" i="18"/>
  <c r="U636" i="18" s="1"/>
  <c r="R620" i="18"/>
  <c r="U620" i="18" s="1"/>
  <c r="R604" i="18"/>
  <c r="U604" i="18" s="1"/>
  <c r="R588" i="18"/>
  <c r="U588" i="18" s="1"/>
  <c r="R572" i="18"/>
  <c r="U572" i="18" s="1"/>
  <c r="R556" i="18"/>
  <c r="U556" i="18" s="1"/>
  <c r="R540" i="18"/>
  <c r="U540" i="18" s="1"/>
  <c r="R524" i="18"/>
  <c r="U524" i="18" s="1"/>
  <c r="R508" i="18"/>
  <c r="U508" i="18" s="1"/>
  <c r="R496" i="18"/>
  <c r="U496" i="18" s="1"/>
  <c r="R454" i="18"/>
  <c r="U454" i="18" s="1"/>
  <c r="R440" i="18"/>
  <c r="U440" i="18" s="1"/>
  <c r="R380" i="18"/>
  <c r="U380" i="18" s="1"/>
  <c r="R327" i="18"/>
  <c r="U327" i="18" s="1"/>
  <c r="R320" i="18"/>
  <c r="U320" i="18" s="1"/>
  <c r="R312" i="18"/>
  <c r="U312" i="18" s="1"/>
  <c r="R300" i="18"/>
  <c r="U300" i="18" s="1"/>
  <c r="R212" i="18"/>
  <c r="U212" i="18" s="1"/>
  <c r="R200" i="18"/>
  <c r="U200" i="18" s="1"/>
  <c r="R188" i="18"/>
  <c r="U188" i="18" s="1"/>
  <c r="R182" i="18"/>
  <c r="U182" i="18" s="1"/>
  <c r="R144" i="18"/>
  <c r="U144" i="18" s="1"/>
  <c r="R112" i="18"/>
  <c r="U112" i="18" s="1"/>
  <c r="R95" i="18"/>
  <c r="U95" i="18" s="1"/>
  <c r="R88" i="18"/>
  <c r="U88" i="18" s="1"/>
  <c r="R31" i="18"/>
  <c r="U31" i="18" s="1"/>
  <c r="P714" i="18" a="1"/>
  <c r="P714" i="18" s="1"/>
  <c r="R714" i="18" s="1"/>
  <c r="U714" i="18" s="1"/>
  <c r="P707" i="18" a="1"/>
  <c r="P707" i="18" s="1"/>
  <c r="R707" i="18" s="1"/>
  <c r="U707" i="18" s="1"/>
  <c r="P701" i="18" a="1"/>
  <c r="P701" i="18" s="1"/>
  <c r="R701" i="18" s="1"/>
  <c r="U701" i="18" s="1"/>
  <c r="P692" i="18" a="1"/>
  <c r="P692" i="18" s="1"/>
  <c r="R692" i="18" s="1"/>
  <c r="U692" i="18" s="1"/>
  <c r="P683" i="18" a="1"/>
  <c r="P683" i="18" s="1"/>
  <c r="R683" i="18" s="1"/>
  <c r="U683" i="18" s="1"/>
  <c r="P565" i="18" a="1"/>
  <c r="P565" i="18" s="1"/>
  <c r="R565" i="18" s="1"/>
  <c r="U565" i="18" s="1"/>
  <c r="P516" i="18" a="1"/>
  <c r="P516" i="18" s="1"/>
  <c r="R516" i="18" s="1"/>
  <c r="U516" i="18" s="1"/>
  <c r="P467" i="18" a="1"/>
  <c r="P467" i="18" s="1"/>
  <c r="R467" i="18" s="1"/>
  <c r="U467" i="18" s="1"/>
  <c r="P366" i="18" a="1"/>
  <c r="P366" i="18" s="1"/>
  <c r="R366" i="18" s="1"/>
  <c r="U366" i="18" s="1"/>
  <c r="O540" i="18" a="1"/>
  <c r="O540" i="18" s="1"/>
  <c r="S6" i="18" a="1"/>
  <c r="S6" i="18" s="1"/>
  <c r="R710" i="18"/>
  <c r="U710" i="18" s="1"/>
  <c r="R646" i="18"/>
  <c r="U646" i="18" s="1"/>
  <c r="R582" i="18"/>
  <c r="U582" i="18" s="1"/>
  <c r="R518" i="18"/>
  <c r="U518" i="18" s="1"/>
  <c r="R481" i="18"/>
  <c r="U481" i="18" s="1"/>
  <c r="R476" i="18"/>
  <c r="U476" i="18" s="1"/>
  <c r="R453" i="18"/>
  <c r="U453" i="18" s="1"/>
  <c r="R423" i="18"/>
  <c r="U423" i="18" s="1"/>
  <c r="R404" i="18"/>
  <c r="U404" i="18" s="1"/>
  <c r="R332" i="18"/>
  <c r="U332" i="18" s="1"/>
  <c r="R299" i="18"/>
  <c r="U299" i="18" s="1"/>
  <c r="R280" i="18"/>
  <c r="U280" i="18" s="1"/>
  <c r="R268" i="18"/>
  <c r="U268" i="18" s="1"/>
  <c r="R248" i="18"/>
  <c r="U248" i="18" s="1"/>
  <c r="R236" i="18"/>
  <c r="U236" i="18" s="1"/>
  <c r="R217" i="18"/>
  <c r="U217" i="18" s="1"/>
  <c r="R193" i="18"/>
  <c r="U193" i="18" s="1"/>
  <c r="R136" i="18"/>
  <c r="U136" i="18" s="1"/>
  <c r="R124" i="18"/>
  <c r="U124" i="18" s="1"/>
  <c r="R118" i="18"/>
  <c r="U118" i="18" s="1"/>
  <c r="R100" i="18"/>
  <c r="U100" i="18" s="1"/>
  <c r="R77" i="18"/>
  <c r="U77" i="18" s="1"/>
  <c r="R65" i="18"/>
  <c r="U65" i="18" s="1"/>
  <c r="R60" i="18"/>
  <c r="U60" i="18" s="1"/>
  <c r="R54" i="18"/>
  <c r="U54" i="18" s="1"/>
  <c r="R48" i="18"/>
  <c r="U48" i="18" s="1"/>
  <c r="P713" i="18" a="1"/>
  <c r="P713" i="18" s="1"/>
  <c r="R713" i="18" s="1"/>
  <c r="U713" i="18" s="1"/>
  <c r="P706" i="18" a="1"/>
  <c r="P706" i="18" s="1"/>
  <c r="R706" i="18" s="1"/>
  <c r="U706" i="18" s="1"/>
  <c r="P699" i="18" a="1"/>
  <c r="P699" i="18" s="1"/>
  <c r="R699" i="18" s="1"/>
  <c r="U699" i="18" s="1"/>
  <c r="P691" i="18" a="1"/>
  <c r="P691" i="18" s="1"/>
  <c r="R691" i="18" s="1"/>
  <c r="U691" i="18" s="1"/>
  <c r="P672" i="18" a="1"/>
  <c r="P672" i="18" s="1"/>
  <c r="R672" i="18" s="1"/>
  <c r="U672" i="18" s="1"/>
  <c r="P660" i="18" a="1"/>
  <c r="P660" i="18" s="1"/>
  <c r="R660" i="18" s="1"/>
  <c r="U660" i="18" s="1"/>
  <c r="P642" i="18" a="1"/>
  <c r="P642" i="18" s="1"/>
  <c r="R642" i="18" s="1"/>
  <c r="U642" i="18" s="1"/>
  <c r="P606" i="18" a="1"/>
  <c r="P606" i="18" s="1"/>
  <c r="R606" i="18" s="1"/>
  <c r="U606" i="18" s="1"/>
  <c r="P460" i="18" a="1"/>
  <c r="P460" i="18" s="1"/>
  <c r="R460" i="18" s="1"/>
  <c r="U460" i="18" s="1"/>
  <c r="P318" i="18" a="1"/>
  <c r="P318" i="18" s="1"/>
  <c r="R318" i="18" s="1"/>
  <c r="U318" i="18" s="1"/>
  <c r="O610" i="18" a="1"/>
  <c r="O610" i="18" s="1"/>
  <c r="O599" i="18" a="1"/>
  <c r="O599" i="18" s="1"/>
  <c r="O78" i="18" a="1"/>
  <c r="O78" i="18" s="1"/>
  <c r="R252" i="18"/>
  <c r="U252" i="18" s="1"/>
  <c r="R246" i="18"/>
  <c r="U246" i="18" s="1"/>
  <c r="R240" i="18"/>
  <c r="U240" i="18" s="1"/>
  <c r="R204" i="18"/>
  <c r="U204" i="18" s="1"/>
  <c r="R192" i="18"/>
  <c r="U192" i="18" s="1"/>
  <c r="R156" i="18"/>
  <c r="U156" i="18" s="1"/>
  <c r="R36" i="18"/>
  <c r="U36" i="18" s="1"/>
  <c r="R18" i="18"/>
  <c r="U18" i="18" s="1"/>
  <c r="O713" i="18" a="1"/>
  <c r="O713" i="18" s="1"/>
  <c r="O700" i="18" a="1"/>
  <c r="O700" i="18" s="1"/>
  <c r="O666" i="18" a="1"/>
  <c r="O666" i="18" s="1"/>
  <c r="O660" i="18" a="1"/>
  <c r="O660" i="18" s="1"/>
  <c r="O635" i="18" a="1"/>
  <c r="O635" i="18" s="1"/>
  <c r="O593" i="18" a="1"/>
  <c r="O593" i="18" s="1"/>
  <c r="O587" i="18" a="1"/>
  <c r="O587" i="18" s="1"/>
  <c r="O559" i="18" a="1"/>
  <c r="O559" i="18" s="1"/>
  <c r="O546" i="18" a="1"/>
  <c r="O546" i="18" s="1"/>
  <c r="O535" i="18" a="1"/>
  <c r="O535" i="18" s="1"/>
  <c r="O529" i="18" a="1"/>
  <c r="O529" i="18" s="1"/>
  <c r="O523" i="18" a="1"/>
  <c r="O523" i="18" s="1"/>
  <c r="O495" i="18" a="1"/>
  <c r="O495" i="18" s="1"/>
  <c r="O482" i="18" a="1"/>
  <c r="O482" i="18" s="1"/>
  <c r="O471" i="18" a="1"/>
  <c r="O471" i="18" s="1"/>
  <c r="O465" i="18" a="1"/>
  <c r="O465" i="18" s="1"/>
  <c r="O459" i="18" a="1"/>
  <c r="O459" i="18" s="1"/>
  <c r="O425" i="18" a="1"/>
  <c r="O425" i="18" s="1"/>
  <c r="O418" i="18" a="1"/>
  <c r="O418" i="18" s="1"/>
  <c r="O405" i="18" a="1"/>
  <c r="O405" i="18" s="1"/>
  <c r="O399" i="18" a="1"/>
  <c r="O399" i="18" s="1"/>
  <c r="O388" i="18" a="1"/>
  <c r="O388" i="18" s="1"/>
  <c r="O382" i="18" a="1"/>
  <c r="O382" i="18" s="1"/>
  <c r="O375" i="18" a="1"/>
  <c r="O375" i="18" s="1"/>
  <c r="O370" i="18" a="1"/>
  <c r="O370" i="18" s="1"/>
  <c r="O359" i="18" a="1"/>
  <c r="O359" i="18" s="1"/>
  <c r="O351" i="18" a="1"/>
  <c r="O351" i="18" s="1"/>
  <c r="O343" i="18" a="1"/>
  <c r="O343" i="18" s="1"/>
  <c r="O333" i="18" a="1"/>
  <c r="O333" i="18" s="1"/>
  <c r="O325" i="18" a="1"/>
  <c r="O325" i="18" s="1"/>
  <c r="O308" i="18" a="1"/>
  <c r="O308" i="18" s="1"/>
  <c r="O291" i="18" a="1"/>
  <c r="O291" i="18" s="1"/>
  <c r="O276" i="18" a="1"/>
  <c r="O276" i="18" s="1"/>
  <c r="O260" i="18" a="1"/>
  <c r="O260" i="18" s="1"/>
  <c r="O238" i="18" a="1"/>
  <c r="O238" i="18" s="1"/>
  <c r="O216" i="18" a="1"/>
  <c r="O216" i="18" s="1"/>
  <c r="O329" i="18" a="1"/>
  <c r="O329" i="18" s="1"/>
  <c r="O305" i="18" a="1"/>
  <c r="O305" i="18" s="1"/>
  <c r="O281" i="18" a="1"/>
  <c r="O281" i="18" s="1"/>
  <c r="O257" i="18" a="1"/>
  <c r="O257" i="18" s="1"/>
  <c r="O241" i="18" a="1"/>
  <c r="O241" i="18" s="1"/>
  <c r="O225" i="18" a="1"/>
  <c r="O225" i="18" s="1"/>
  <c r="O217" i="18" a="1"/>
  <c r="O217" i="18" s="1"/>
  <c r="O209" i="18" a="1"/>
  <c r="O209" i="18" s="1"/>
  <c r="O201" i="18" a="1"/>
  <c r="O201" i="18" s="1"/>
  <c r="O224" i="18" a="1"/>
  <c r="O224" i="18" s="1"/>
  <c r="O208" i="18" a="1"/>
  <c r="O208" i="18" s="1"/>
  <c r="O176" i="18" a="1"/>
  <c r="O176" i="18" s="1"/>
  <c r="O168" i="18" a="1"/>
  <c r="O168" i="18" s="1"/>
  <c r="O160" i="18" a="1"/>
  <c r="O160" i="18" s="1"/>
  <c r="O152" i="18" a="1"/>
  <c r="O152" i="18" s="1"/>
  <c r="O144" i="18" a="1"/>
  <c r="O144" i="18" s="1"/>
  <c r="O128" i="18" a="1"/>
  <c r="O128" i="18" s="1"/>
  <c r="O112" i="18" a="1"/>
  <c r="O112" i="18" s="1"/>
  <c r="O104" i="18" a="1"/>
  <c r="O104" i="18" s="1"/>
  <c r="O88" i="18" a="1"/>
  <c r="O88" i="18" s="1"/>
  <c r="O80" i="18" a="1"/>
  <c r="O80" i="18" s="1"/>
  <c r="O72" i="18" a="1"/>
  <c r="O72" i="18" s="1"/>
  <c r="O64" i="18" a="1"/>
  <c r="O64" i="18" s="1"/>
  <c r="O7" i="18" a="1"/>
  <c r="O7" i="18" s="1"/>
  <c r="O50" i="18" a="1"/>
  <c r="O50" i="18" s="1"/>
  <c r="O69" i="18" a="1"/>
  <c r="O69" i="18" s="1"/>
  <c r="O79" i="18" a="1"/>
  <c r="O79" i="18" s="1"/>
  <c r="O99" i="18" a="1"/>
  <c r="O99" i="18" s="1"/>
  <c r="O108" i="18" a="1"/>
  <c r="O108" i="18" s="1"/>
  <c r="O124" i="18" a="1"/>
  <c r="O124" i="18" s="1"/>
  <c r="O140" i="18" a="1"/>
  <c r="O140" i="18" s="1"/>
  <c r="O150" i="18" a="1"/>
  <c r="O150" i="18" s="1"/>
  <c r="O167" i="18" a="1"/>
  <c r="O167" i="18" s="1"/>
  <c r="O174" i="18" a="1"/>
  <c r="O174" i="18" s="1"/>
  <c r="O194" i="18" a="1"/>
  <c r="O194" i="18" s="1"/>
  <c r="O211" i="18" a="1"/>
  <c r="O211" i="18" s="1"/>
  <c r="O222" i="18" a="1"/>
  <c r="O222" i="18" s="1"/>
  <c r="O228" i="18" a="1"/>
  <c r="O228" i="18" s="1"/>
  <c r="O239" i="18" a="1"/>
  <c r="O239" i="18" s="1"/>
  <c r="O244" i="18" a="1"/>
  <c r="O244" i="18" s="1"/>
  <c r="O250" i="18" a="1"/>
  <c r="O250" i="18" s="1"/>
  <c r="O262" i="18" a="1"/>
  <c r="O262" i="18" s="1"/>
  <c r="O267" i="18" a="1"/>
  <c r="O267" i="18" s="1"/>
  <c r="O274" i="18" a="1"/>
  <c r="O274" i="18" s="1"/>
  <c r="O279" i="18" a="1"/>
  <c r="O279" i="18" s="1"/>
  <c r="O286" i="18" a="1"/>
  <c r="O286" i="18" s="1"/>
  <c r="O292" i="18" a="1"/>
  <c r="O292" i="18" s="1"/>
  <c r="O334" i="18" a="1"/>
  <c r="O334" i="18" s="1"/>
  <c r="O346" i="18" a="1"/>
  <c r="O346" i="18" s="1"/>
  <c r="O12" i="18" a="1"/>
  <c r="O12" i="18" s="1"/>
  <c r="O55" i="18" a="1"/>
  <c r="O55" i="18" s="1"/>
  <c r="O70" i="18" a="1"/>
  <c r="O70" i="18" s="1"/>
  <c r="O90" i="18" a="1"/>
  <c r="O90" i="18" s="1"/>
  <c r="O100" i="18" a="1"/>
  <c r="O100" i="18" s="1"/>
  <c r="O110" i="18" a="1"/>
  <c r="O110" i="18" s="1"/>
  <c r="O162" i="18" a="1"/>
  <c r="O162" i="18" s="1"/>
  <c r="O180" i="18" a="1"/>
  <c r="O180" i="18" s="1"/>
  <c r="O187" i="18" a="1"/>
  <c r="O187" i="18" s="1"/>
  <c r="O195" i="18" a="1"/>
  <c r="O195" i="18" s="1"/>
  <c r="O206" i="18" a="1"/>
  <c r="O206" i="18" s="1"/>
  <c r="O229" i="18" a="1"/>
  <c r="O229" i="18" s="1"/>
  <c r="O234" i="18" a="1"/>
  <c r="O234" i="18" s="1"/>
  <c r="O245" i="18" a="1"/>
  <c r="O245" i="18" s="1"/>
  <c r="O251" i="18" a="1"/>
  <c r="O251" i="18" s="1"/>
  <c r="O263" i="18" a="1"/>
  <c r="O263" i="18" s="1"/>
  <c r="O293" i="18" a="1"/>
  <c r="O293" i="18" s="1"/>
  <c r="O298" i="18" a="1"/>
  <c r="O298" i="18" s="1"/>
  <c r="O310" i="18" a="1"/>
  <c r="O310" i="18" s="1"/>
  <c r="O316" i="18" a="1"/>
  <c r="O316" i="18" s="1"/>
  <c r="O322" i="18" a="1"/>
  <c r="O322" i="18" s="1"/>
  <c r="O340" i="18" a="1"/>
  <c r="O340" i="18" s="1"/>
  <c r="O347" i="18" a="1"/>
  <c r="O347" i="18" s="1"/>
  <c r="O353" i="18" a="1"/>
  <c r="O353" i="18" s="1"/>
  <c r="O18" i="18" a="1"/>
  <c r="O18" i="18" s="1"/>
  <c r="O60" i="18" a="1"/>
  <c r="O60" i="18" s="1"/>
  <c r="O71" i="18" a="1"/>
  <c r="O71" i="18" s="1"/>
  <c r="O82" i="18" a="1"/>
  <c r="O82" i="18" s="1"/>
  <c r="O91" i="18" a="1"/>
  <c r="O91" i="18" s="1"/>
  <c r="O101" i="18" a="1"/>
  <c r="O101" i="18" s="1"/>
  <c r="O111" i="18" a="1"/>
  <c r="O111" i="18" s="1"/>
  <c r="O142" i="18" a="1"/>
  <c r="O142" i="18" s="1"/>
  <c r="O175" i="18" a="1"/>
  <c r="O175" i="18" s="1"/>
  <c r="O182" i="18" a="1"/>
  <c r="O182" i="18" s="1"/>
  <c r="O202" i="18" a="1"/>
  <c r="O202" i="18" s="1"/>
  <c r="O207" i="18" a="1"/>
  <c r="O207" i="18" s="1"/>
  <c r="O212" i="18" a="1"/>
  <c r="O212" i="18" s="1"/>
  <c r="O218" i="18" a="1"/>
  <c r="O218" i="18" s="1"/>
  <c r="O223" i="18" a="1"/>
  <c r="O223" i="18" s="1"/>
  <c r="O268" i="18" a="1"/>
  <c r="O268" i="18" s="1"/>
  <c r="O275" i="18" a="1"/>
  <c r="O275" i="18" s="1"/>
  <c r="O287" i="18" a="1"/>
  <c r="O287" i="18" s="1"/>
  <c r="O306" i="18" a="1"/>
  <c r="O306" i="18" s="1"/>
  <c r="O311" i="18" a="1"/>
  <c r="O311" i="18" s="1"/>
  <c r="O317" i="18" a="1"/>
  <c r="O317" i="18" s="1"/>
  <c r="O323" i="18" a="1"/>
  <c r="O323" i="18" s="1"/>
  <c r="O335" i="18" a="1"/>
  <c r="O335" i="18" s="1"/>
  <c r="O341" i="18" a="1"/>
  <c r="O341" i="18" s="1"/>
  <c r="O23" i="18" a="1"/>
  <c r="O23" i="18" s="1"/>
  <c r="O62" i="18" a="1"/>
  <c r="O62" i="18" s="1"/>
  <c r="O83" i="18" a="1"/>
  <c r="O83" i="18" s="1"/>
  <c r="O92" i="18" a="1"/>
  <c r="O92" i="18" s="1"/>
  <c r="O102" i="18" a="1"/>
  <c r="O102" i="18" s="1"/>
  <c r="O154" i="18" a="1"/>
  <c r="O154" i="18" s="1"/>
  <c r="O163" i="18" a="1"/>
  <c r="O163" i="18" s="1"/>
  <c r="O170" i="18" a="1"/>
  <c r="O170" i="18" s="1"/>
  <c r="O188" i="18" a="1"/>
  <c r="O188" i="18" s="1"/>
  <c r="O196" i="18" a="1"/>
  <c r="O196" i="18" s="1"/>
  <c r="O213" i="18" a="1"/>
  <c r="O213" i="18" s="1"/>
  <c r="O219" i="18" a="1"/>
  <c r="O219" i="18" s="1"/>
  <c r="O230" i="18" a="1"/>
  <c r="O230" i="18" s="1"/>
  <c r="O235" i="18" a="1"/>
  <c r="O235" i="18" s="1"/>
  <c r="O246" i="18" a="1"/>
  <c r="O246" i="18" s="1"/>
  <c r="O252" i="18" a="1"/>
  <c r="O252" i="18" s="1"/>
  <c r="O258" i="18" a="1"/>
  <c r="O258" i="18" s="1"/>
  <c r="O269" i="18" a="1"/>
  <c r="O269" i="18" s="1"/>
  <c r="O282" i="18" a="1"/>
  <c r="O282" i="18" s="1"/>
  <c r="O294" i="18" a="1"/>
  <c r="O294" i="18" s="1"/>
  <c r="O299" i="18" a="1"/>
  <c r="O299" i="18" s="1"/>
  <c r="O318" i="18" a="1"/>
  <c r="O318" i="18" s="1"/>
  <c r="O324" i="18" a="1"/>
  <c r="O324" i="18" s="1"/>
  <c r="O28" i="18" a="1"/>
  <c r="O28" i="18" s="1"/>
  <c r="O74" i="18" a="1"/>
  <c r="O74" i="18" s="1"/>
  <c r="O84" i="18" a="1"/>
  <c r="O84" i="18" s="1"/>
  <c r="O94" i="18" a="1"/>
  <c r="O94" i="18" s="1"/>
  <c r="O103" i="18" a="1"/>
  <c r="O103" i="18" s="1"/>
  <c r="O116" i="18" a="1"/>
  <c r="O116" i="18" s="1"/>
  <c r="O132" i="18" a="1"/>
  <c r="O132" i="18" s="1"/>
  <c r="O183" i="18" a="1"/>
  <c r="O183" i="18" s="1"/>
  <c r="O190" i="18" a="1"/>
  <c r="O190" i="18" s="1"/>
  <c r="O198" i="18" a="1"/>
  <c r="O198" i="18" s="1"/>
  <c r="O203" i="18" a="1"/>
  <c r="O203" i="18" s="1"/>
  <c r="O231" i="18" a="1"/>
  <c r="O231" i="18" s="1"/>
  <c r="O236" i="18" a="1"/>
  <c r="O236" i="18" s="1"/>
  <c r="O242" i="18" a="1"/>
  <c r="O242" i="18" s="1"/>
  <c r="O247" i="18" a="1"/>
  <c r="O247" i="18" s="1"/>
  <c r="O253" i="18" a="1"/>
  <c r="O253" i="18" s="1"/>
  <c r="O34" i="18" a="1"/>
  <c r="O34" i="18" s="1"/>
  <c r="O66" i="18" a="1"/>
  <c r="O66" i="18" s="1"/>
  <c r="O75" i="18" a="1"/>
  <c r="O75" i="18" s="1"/>
  <c r="O85" i="18" a="1"/>
  <c r="O85" i="18" s="1"/>
  <c r="O95" i="18" a="1"/>
  <c r="O95" i="18" s="1"/>
  <c r="O146" i="18" a="1"/>
  <c r="O146" i="18" s="1"/>
  <c r="O156" i="18" a="1"/>
  <c r="O156" i="18" s="1"/>
  <c r="O164" i="18" a="1"/>
  <c r="O164" i="18" s="1"/>
  <c r="O171" i="18" a="1"/>
  <c r="O171" i="18" s="1"/>
  <c r="O178" i="18" a="1"/>
  <c r="O178" i="18" s="1"/>
  <c r="O191" i="18" a="1"/>
  <c r="O191" i="18" s="1"/>
  <c r="O199" i="18" a="1"/>
  <c r="O199" i="18" s="1"/>
  <c r="O214" i="18" a="1"/>
  <c r="O214" i="18" s="1"/>
  <c r="O220" i="18" a="1"/>
  <c r="O220" i="18" s="1"/>
  <c r="O237" i="18" a="1"/>
  <c r="O237" i="18" s="1"/>
  <c r="O254" i="18" a="1"/>
  <c r="O254" i="18" s="1"/>
  <c r="O259" i="18" a="1"/>
  <c r="O259" i="18" s="1"/>
  <c r="O271" i="18" a="1"/>
  <c r="O271" i="18" s="1"/>
  <c r="O277" i="18" a="1"/>
  <c r="O277" i="18" s="1"/>
  <c r="O301" i="18" a="1"/>
  <c r="O301" i="18" s="1"/>
  <c r="O313" i="18" a="1"/>
  <c r="O313" i="18" s="1"/>
  <c r="O319" i="18" a="1"/>
  <c r="O319" i="18" s="1"/>
  <c r="P17" i="18" a="1"/>
  <c r="P17" i="18" s="1"/>
  <c r="R17" i="18" s="1"/>
  <c r="U17" i="18" s="1"/>
  <c r="P10" i="18" a="1"/>
  <c r="P10" i="18" s="1"/>
  <c r="R10" i="18" s="1"/>
  <c r="U10" i="18" s="1"/>
  <c r="P4" i="18" a="1"/>
  <c r="P4" i="18" s="1"/>
  <c r="R4" i="18" s="1"/>
  <c r="U4" i="18" s="1"/>
  <c r="O718" i="18" a="1"/>
  <c r="O718" i="18" s="1"/>
  <c r="O693" i="18" a="1"/>
  <c r="O693" i="18" s="1"/>
  <c r="O687" i="18" a="1"/>
  <c r="O687" i="18" s="1"/>
  <c r="O675" i="18" a="1"/>
  <c r="O675" i="18" s="1"/>
  <c r="O670" i="18" a="1"/>
  <c r="O670" i="18" s="1"/>
  <c r="O665" i="18" a="1"/>
  <c r="O665" i="18" s="1"/>
  <c r="O658" i="18" a="1"/>
  <c r="O658" i="18" s="1"/>
  <c r="O653" i="18" a="1"/>
  <c r="O653" i="18" s="1"/>
  <c r="O647" i="18" a="1"/>
  <c r="O647" i="18" s="1"/>
  <c r="O627" i="18" a="1"/>
  <c r="O627" i="18" s="1"/>
  <c r="O622" i="18" a="1"/>
  <c r="O622" i="18" s="1"/>
  <c r="O609" i="18" a="1"/>
  <c r="O609" i="18" s="1"/>
  <c r="O603" i="18" a="1"/>
  <c r="O603" i="18" s="1"/>
  <c r="O597" i="18" a="1"/>
  <c r="O597" i="18" s="1"/>
  <c r="O585" i="18" a="1"/>
  <c r="O585" i="18" s="1"/>
  <c r="O580" i="18" a="1"/>
  <c r="O580" i="18" s="1"/>
  <c r="O574" i="18" a="1"/>
  <c r="O574" i="18" s="1"/>
  <c r="O562" i="18" a="1"/>
  <c r="O562" i="18" s="1"/>
  <c r="O557" i="18" a="1"/>
  <c r="O557" i="18" s="1"/>
  <c r="O551" i="18" a="1"/>
  <c r="O551" i="18" s="1"/>
  <c r="O545" i="18" a="1"/>
  <c r="O545" i="18" s="1"/>
  <c r="O539" i="18" a="1"/>
  <c r="O539" i="18" s="1"/>
  <c r="O533" i="18" a="1"/>
  <c r="O533" i="18" s="1"/>
  <c r="O521" i="18" a="1"/>
  <c r="O521" i="18" s="1"/>
  <c r="O516" i="18" a="1"/>
  <c r="O516" i="18" s="1"/>
  <c r="O510" i="18" a="1"/>
  <c r="O510" i="18" s="1"/>
  <c r="O498" i="18" a="1"/>
  <c r="O498" i="18" s="1"/>
  <c r="O493" i="18" a="1"/>
  <c r="O493" i="18" s="1"/>
  <c r="O487" i="18" a="1"/>
  <c r="O487" i="18" s="1"/>
  <c r="O481" i="18" a="1"/>
  <c r="O481" i="18" s="1"/>
  <c r="O475" i="18" a="1"/>
  <c r="O475" i="18" s="1"/>
  <c r="O469" i="18" a="1"/>
  <c r="O469" i="18" s="1"/>
  <c r="O457" i="18" a="1"/>
  <c r="O457" i="18" s="1"/>
  <c r="O452" i="18" a="1"/>
  <c r="O452" i="18" s="1"/>
  <c r="O446" i="18" a="1"/>
  <c r="O446" i="18" s="1"/>
  <c r="O429" i="18" a="1"/>
  <c r="O429" i="18" s="1"/>
  <c r="O410" i="18" a="1"/>
  <c r="O410" i="18" s="1"/>
  <c r="O398" i="18" a="1"/>
  <c r="O398" i="18" s="1"/>
  <c r="O386" i="18" a="1"/>
  <c r="O386" i="18" s="1"/>
  <c r="O380" i="18" a="1"/>
  <c r="O380" i="18" s="1"/>
  <c r="O350" i="18" a="1"/>
  <c r="O350" i="18" s="1"/>
  <c r="O331" i="18" a="1"/>
  <c r="O331" i="18" s="1"/>
  <c r="O303" i="18" a="1"/>
  <c r="O303" i="18" s="1"/>
  <c r="O289" i="18" a="1"/>
  <c r="O289" i="18" s="1"/>
  <c r="O255" i="18" a="1"/>
  <c r="O255" i="18" s="1"/>
  <c r="O233" i="18" a="1"/>
  <c r="O233" i="18" s="1"/>
  <c r="O186" i="18" a="1"/>
  <c r="O186" i="18" s="1"/>
  <c r="O107" i="18" a="1"/>
  <c r="O107" i="18" s="1"/>
  <c r="O68" i="18" a="1"/>
  <c r="O68" i="18" s="1"/>
  <c r="P28" i="18" a="1"/>
  <c r="P28" i="18" s="1"/>
  <c r="R28" i="18" s="1"/>
  <c r="U28" i="18" s="1"/>
  <c r="P22" i="18" a="1"/>
  <c r="P22" i="18" s="1"/>
  <c r="R22" i="18" s="1"/>
  <c r="U22" i="18" s="1"/>
  <c r="P16" i="18" a="1"/>
  <c r="P16" i="18" s="1"/>
  <c r="R16" i="18" s="1"/>
  <c r="U16" i="18" s="1"/>
  <c r="P3" i="18" a="1"/>
  <c r="P3" i="18" s="1"/>
  <c r="R3" i="18" s="1"/>
  <c r="U3" i="18" s="1"/>
  <c r="O717" i="18" a="1"/>
  <c r="O717" i="18" s="1"/>
  <c r="O711" i="18" a="1"/>
  <c r="O711" i="18" s="1"/>
  <c r="O705" i="18" a="1"/>
  <c r="O705" i="18" s="1"/>
  <c r="O698" i="18" a="1"/>
  <c r="O698" i="18" s="1"/>
  <c r="O692" i="18" a="1"/>
  <c r="O692" i="18" s="1"/>
  <c r="O686" i="18" a="1"/>
  <c r="O686" i="18" s="1"/>
  <c r="O652" i="18" a="1"/>
  <c r="O652" i="18" s="1"/>
  <c r="O646" i="18" a="1"/>
  <c r="O646" i="18" s="1"/>
  <c r="O633" i="18" a="1"/>
  <c r="O633" i="18" s="1"/>
  <c r="O626" i="18" a="1"/>
  <c r="O626" i="18" s="1"/>
  <c r="O621" i="18" a="1"/>
  <c r="O621" i="18" s="1"/>
  <c r="O615" i="18" a="1"/>
  <c r="O615" i="18" s="1"/>
  <c r="O602" i="18" a="1"/>
  <c r="O602" i="18" s="1"/>
  <c r="O596" i="18" a="1"/>
  <c r="O596" i="18" s="1"/>
  <c r="O579" i="18" a="1"/>
  <c r="O579" i="18" s="1"/>
  <c r="O573" i="18" a="1"/>
  <c r="O573" i="18" s="1"/>
  <c r="O556" i="18" a="1"/>
  <c r="O556" i="18" s="1"/>
  <c r="O550" i="18" a="1"/>
  <c r="O550" i="18" s="1"/>
  <c r="O538" i="18" a="1"/>
  <c r="O538" i="18" s="1"/>
  <c r="O532" i="18" a="1"/>
  <c r="O532" i="18" s="1"/>
  <c r="O515" i="18" a="1"/>
  <c r="O515" i="18" s="1"/>
  <c r="O509" i="18" a="1"/>
  <c r="O509" i="18" s="1"/>
  <c r="O492" i="18" a="1"/>
  <c r="O492" i="18" s="1"/>
  <c r="O486" i="18" a="1"/>
  <c r="O486" i="18" s="1"/>
  <c r="O474" i="18" a="1"/>
  <c r="O474" i="18" s="1"/>
  <c r="O468" i="18" a="1"/>
  <c r="O468" i="18" s="1"/>
  <c r="O451" i="18" a="1"/>
  <c r="O451" i="18" s="1"/>
  <c r="O445" i="18" a="1"/>
  <c r="O445" i="18" s="1"/>
  <c r="O434" i="18" a="1"/>
  <c r="O434" i="18" s="1"/>
  <c r="O428" i="18" a="1"/>
  <c r="O428" i="18" s="1"/>
  <c r="O423" i="18" a="1"/>
  <c r="O423" i="18" s="1"/>
  <c r="O415" i="18" a="1"/>
  <c r="O415" i="18" s="1"/>
  <c r="O409" i="18" a="1"/>
  <c r="O409" i="18" s="1"/>
  <c r="O403" i="18" a="1"/>
  <c r="O403" i="18" s="1"/>
  <c r="O397" i="18" a="1"/>
  <c r="O397" i="18" s="1"/>
  <c r="O373" i="18" a="1"/>
  <c r="O373" i="18" s="1"/>
  <c r="O367" i="18" a="1"/>
  <c r="O367" i="18" s="1"/>
  <c r="O362" i="18" a="1"/>
  <c r="O362" i="18" s="1"/>
  <c r="O357" i="18" a="1"/>
  <c r="O357" i="18" s="1"/>
  <c r="O349" i="18" a="1"/>
  <c r="O349" i="18" s="1"/>
  <c r="O339" i="18" a="1"/>
  <c r="O339" i="18" s="1"/>
  <c r="O302" i="18" a="1"/>
  <c r="O302" i="18" s="1"/>
  <c r="O285" i="18" a="1"/>
  <c r="O285" i="18" s="1"/>
  <c r="O270" i="18" a="1"/>
  <c r="O270" i="18" s="1"/>
  <c r="O210" i="18" a="1"/>
  <c r="O210" i="18" s="1"/>
  <c r="O184" i="18" a="1"/>
  <c r="O184" i="18" s="1"/>
  <c r="O158" i="18" a="1"/>
  <c r="O158" i="18" s="1"/>
  <c r="O106" i="18" a="1"/>
  <c r="O106" i="18" s="1"/>
  <c r="O67" i="18" a="1"/>
  <c r="O67" i="18" s="1"/>
  <c r="O679" i="18" a="1"/>
  <c r="O679" i="18" s="1"/>
  <c r="O674" i="18" a="1"/>
  <c r="O674" i="18" s="1"/>
  <c r="O669" i="18" a="1"/>
  <c r="O669" i="18" s="1"/>
  <c r="O657" i="18" a="1"/>
  <c r="O657" i="18" s="1"/>
  <c r="O651" i="18" a="1"/>
  <c r="O651" i="18" s="1"/>
  <c r="O645" i="18" a="1"/>
  <c r="O645" i="18" s="1"/>
  <c r="O639" i="18" a="1"/>
  <c r="O639" i="18" s="1"/>
  <c r="O620" i="18" a="1"/>
  <c r="O620" i="18" s="1"/>
  <c r="O614" i="18" a="1"/>
  <c r="O614" i="18" s="1"/>
  <c r="O591" i="18" a="1"/>
  <c r="O591" i="18" s="1"/>
  <c r="O578" i="18" a="1"/>
  <c r="O578" i="18" s="1"/>
  <c r="O567" i="18" a="1"/>
  <c r="O567" i="18" s="1"/>
  <c r="O561" i="18" a="1"/>
  <c r="O561" i="18" s="1"/>
  <c r="O555" i="18" a="1"/>
  <c r="O555" i="18" s="1"/>
  <c r="O527" i="18" a="1"/>
  <c r="O527" i="18" s="1"/>
  <c r="O514" i="18" a="1"/>
  <c r="O514" i="18" s="1"/>
  <c r="O503" i="18" a="1"/>
  <c r="O503" i="18" s="1"/>
  <c r="O497" i="18" a="1"/>
  <c r="O497" i="18" s="1"/>
  <c r="O491" i="18" a="1"/>
  <c r="O491" i="18" s="1"/>
  <c r="O463" i="18" a="1"/>
  <c r="O463" i="18" s="1"/>
  <c r="O450" i="18" a="1"/>
  <c r="O450" i="18" s="1"/>
  <c r="O439" i="18" a="1"/>
  <c r="O439" i="18" s="1"/>
  <c r="O422" i="18" a="1"/>
  <c r="O422" i="18" s="1"/>
  <c r="O396" i="18" a="1"/>
  <c r="O396" i="18" s="1"/>
  <c r="O391" i="18" a="1"/>
  <c r="O391" i="18" s="1"/>
  <c r="O385" i="18" a="1"/>
  <c r="O385" i="18" s="1"/>
  <c r="O379" i="18" a="1"/>
  <c r="O379" i="18" s="1"/>
  <c r="O372" i="18" a="1"/>
  <c r="O372" i="18" s="1"/>
  <c r="O356" i="18" a="1"/>
  <c r="O356" i="18" s="1"/>
  <c r="O348" i="18" a="1"/>
  <c r="O348" i="18" s="1"/>
  <c r="O330" i="18" a="1"/>
  <c r="O330" i="18" s="1"/>
  <c r="O315" i="18" a="1"/>
  <c r="O315" i="18" s="1"/>
  <c r="O300" i="18" a="1"/>
  <c r="O300" i="18" s="1"/>
  <c r="O284" i="18" a="1"/>
  <c r="O284" i="18" s="1"/>
  <c r="O227" i="18" a="1"/>
  <c r="O227" i="18" s="1"/>
  <c r="O205" i="18" a="1"/>
  <c r="O205" i="18" s="1"/>
  <c r="O179" i="18" a="1"/>
  <c r="O179" i="18" s="1"/>
  <c r="O148" i="18" a="1"/>
  <c r="O148" i="18" s="1"/>
  <c r="O98" i="18" a="1"/>
  <c r="O98" i="18" s="1"/>
  <c r="O44" i="18" a="1"/>
  <c r="O44" i="18" s="1"/>
  <c r="O690" i="18" a="1"/>
  <c r="O690" i="18" s="1"/>
  <c r="O684" i="18" a="1"/>
  <c r="O684" i="18" s="1"/>
  <c r="O668" i="18" a="1"/>
  <c r="O668" i="18" s="1"/>
  <c r="O663" i="18" a="1"/>
  <c r="O663" i="18" s="1"/>
  <c r="O650" i="18" a="1"/>
  <c r="O650" i="18" s="1"/>
  <c r="O644" i="18" a="1"/>
  <c r="O644" i="18" s="1"/>
  <c r="O638" i="18" a="1"/>
  <c r="O638" i="18" s="1"/>
  <c r="O625" i="18" a="1"/>
  <c r="O625" i="18" s="1"/>
  <c r="O619" i="18" a="1"/>
  <c r="O619" i="18" s="1"/>
  <c r="O613" i="18" a="1"/>
  <c r="O613" i="18" s="1"/>
  <c r="O607" i="18" a="1"/>
  <c r="O607" i="18" s="1"/>
  <c r="O601" i="18" a="1"/>
  <c r="O601" i="18" s="1"/>
  <c r="O595" i="18" a="1"/>
  <c r="O595" i="18" s="1"/>
  <c r="O590" i="18" a="1"/>
  <c r="O590" i="18" s="1"/>
  <c r="O572" i="18" a="1"/>
  <c r="O572" i="18" s="1"/>
  <c r="O566" i="18" a="1"/>
  <c r="O566" i="18" s="1"/>
  <c r="O554" i="18" a="1"/>
  <c r="O554" i="18" s="1"/>
  <c r="O549" i="18" a="1"/>
  <c r="O549" i="18" s="1"/>
  <c r="O543" i="18" a="1"/>
  <c r="O543" i="18" s="1"/>
  <c r="O537" i="18" a="1"/>
  <c r="O537" i="18" s="1"/>
  <c r="O531" i="18" a="1"/>
  <c r="O531" i="18" s="1"/>
  <c r="O526" i="18" a="1"/>
  <c r="O526" i="18" s="1"/>
  <c r="O508" i="18" a="1"/>
  <c r="O508" i="18" s="1"/>
  <c r="O502" i="18" a="1"/>
  <c r="O502" i="18" s="1"/>
  <c r="O490" i="18" a="1"/>
  <c r="O490" i="18" s="1"/>
  <c r="O485" i="18" a="1"/>
  <c r="O485" i="18" s="1"/>
  <c r="O479" i="18" a="1"/>
  <c r="O479" i="18" s="1"/>
  <c r="O473" i="18" a="1"/>
  <c r="O473" i="18" s="1"/>
  <c r="O467" i="18" a="1"/>
  <c r="O467" i="18" s="1"/>
  <c r="O462" i="18" a="1"/>
  <c r="O462" i="18" s="1"/>
  <c r="O444" i="18" a="1"/>
  <c r="O444" i="18" s="1"/>
  <c r="O438" i="18" a="1"/>
  <c r="O438" i="18" s="1"/>
  <c r="O433" i="18" a="1"/>
  <c r="O433" i="18" s="1"/>
  <c r="O427" i="18" a="1"/>
  <c r="O427" i="18" s="1"/>
  <c r="O421" i="18" a="1"/>
  <c r="O421" i="18" s="1"/>
  <c r="O414" i="18" a="1"/>
  <c r="O414" i="18" s="1"/>
  <c r="O407" i="18" a="1"/>
  <c r="O407" i="18" s="1"/>
  <c r="O402" i="18" a="1"/>
  <c r="O402" i="18" s="1"/>
  <c r="O395" i="18" a="1"/>
  <c r="O395" i="18" s="1"/>
  <c r="O390" i="18" a="1"/>
  <c r="O390" i="18" s="1"/>
  <c r="O378" i="18" a="1"/>
  <c r="O378" i="18" s="1"/>
  <c r="O366" i="18" a="1"/>
  <c r="O366" i="18" s="1"/>
  <c r="O361" i="18" a="1"/>
  <c r="O361" i="18" s="1"/>
  <c r="O355" i="18" a="1"/>
  <c r="O355" i="18" s="1"/>
  <c r="O338" i="18" a="1"/>
  <c r="O338" i="18" s="1"/>
  <c r="O314" i="18" a="1"/>
  <c r="O314" i="18" s="1"/>
  <c r="O297" i="18" a="1"/>
  <c r="O297" i="18" s="1"/>
  <c r="O283" i="18" a="1"/>
  <c r="O283" i="18" s="1"/>
  <c r="O266" i="18" a="1"/>
  <c r="O266" i="18" s="1"/>
  <c r="O249" i="18" a="1"/>
  <c r="O249" i="18" s="1"/>
  <c r="O226" i="18" a="1"/>
  <c r="O226" i="18" s="1"/>
  <c r="O204" i="18" a="1"/>
  <c r="O204" i="18" s="1"/>
  <c r="O96" i="18" a="1"/>
  <c r="O96" i="18" s="1"/>
  <c r="O39" i="18" a="1"/>
  <c r="O39" i="18" s="1"/>
  <c r="O643" i="18" a="1"/>
  <c r="O643" i="18" s="1"/>
  <c r="O637" i="18" a="1"/>
  <c r="O637" i="18" s="1"/>
  <c r="O631" i="18" a="1"/>
  <c r="O631" i="18" s="1"/>
  <c r="O618" i="18" a="1"/>
  <c r="O618" i="18" s="1"/>
  <c r="O612" i="18" a="1"/>
  <c r="O612" i="18" s="1"/>
  <c r="O606" i="18" a="1"/>
  <c r="O606" i="18" s="1"/>
  <c r="O594" i="18" a="1"/>
  <c r="O594" i="18" s="1"/>
  <c r="O589" i="18" a="1"/>
  <c r="O589" i="18" s="1"/>
  <c r="O577" i="18" a="1"/>
  <c r="O577" i="18" s="1"/>
  <c r="O571" i="18" a="1"/>
  <c r="O571" i="18" s="1"/>
  <c r="O565" i="18" a="1"/>
  <c r="O565" i="18" s="1"/>
  <c r="O553" i="18" a="1"/>
  <c r="O553" i="18" s="1"/>
  <c r="O548" i="18" a="1"/>
  <c r="O548" i="18" s="1"/>
  <c r="O542" i="18" a="1"/>
  <c r="O542" i="18" s="1"/>
  <c r="O530" i="18" a="1"/>
  <c r="O530" i="18" s="1"/>
  <c r="O525" i="18" a="1"/>
  <c r="O525" i="18" s="1"/>
  <c r="O519" i="18" a="1"/>
  <c r="O519" i="18" s="1"/>
  <c r="O513" i="18" a="1"/>
  <c r="O513" i="18" s="1"/>
  <c r="O507" i="18" a="1"/>
  <c r="O507" i="18" s="1"/>
  <c r="O501" i="18" a="1"/>
  <c r="O501" i="18" s="1"/>
  <c r="O489" i="18" a="1"/>
  <c r="O489" i="18" s="1"/>
  <c r="O484" i="18" a="1"/>
  <c r="O484" i="18" s="1"/>
  <c r="O478" i="18" a="1"/>
  <c r="O478" i="18" s="1"/>
  <c r="O466" i="18" a="1"/>
  <c r="O466" i="18" s="1"/>
  <c r="O461" i="18" a="1"/>
  <c r="O461" i="18" s="1"/>
  <c r="O455" i="18" a="1"/>
  <c r="O455" i="18" s="1"/>
  <c r="O449" i="18" a="1"/>
  <c r="O449" i="18" s="1"/>
  <c r="O443" i="18" a="1"/>
  <c r="O443" i="18" s="1"/>
  <c r="O437" i="18" a="1"/>
  <c r="O437" i="18" s="1"/>
  <c r="O426" i="18" a="1"/>
  <c r="O426" i="18" s="1"/>
  <c r="O420" i="18" a="1"/>
  <c r="O420" i="18" s="1"/>
  <c r="O413" i="18" a="1"/>
  <c r="O413" i="18" s="1"/>
  <c r="O406" i="18" a="1"/>
  <c r="O406" i="18" s="1"/>
  <c r="O401" i="18" a="1"/>
  <c r="O401" i="18" s="1"/>
  <c r="O383" i="18" a="1"/>
  <c r="O383" i="18" s="1"/>
  <c r="O377" i="18" a="1"/>
  <c r="O377" i="18" s="1"/>
  <c r="O371" i="18" a="1"/>
  <c r="O371" i="18" s="1"/>
  <c r="O365" i="18" a="1"/>
  <c r="O365" i="18" s="1"/>
  <c r="O354" i="18" a="1"/>
  <c r="O354" i="18" s="1"/>
  <c r="O345" i="18" a="1"/>
  <c r="O345" i="18" s="1"/>
  <c r="O337" i="18" a="1"/>
  <c r="O337" i="18" s="1"/>
  <c r="O327" i="18" a="1"/>
  <c r="O327" i="18" s="1"/>
  <c r="O278" i="18" a="1"/>
  <c r="O278" i="18" s="1"/>
  <c r="O265" i="18" a="1"/>
  <c r="O265" i="18" s="1"/>
  <c r="O172" i="18" a="1"/>
  <c r="O172" i="18" s="1"/>
  <c r="O87" i="18" a="1"/>
  <c r="O87" i="18" s="1"/>
  <c r="O2" i="18" a="1"/>
  <c r="O2" i="18" s="1"/>
  <c r="P63" i="18" a="1"/>
  <c r="P63" i="18" s="1"/>
  <c r="R63" i="18" s="1"/>
  <c r="U63" i="18" s="1"/>
  <c r="P50" i="18" a="1"/>
  <c r="P50" i="18" s="1"/>
  <c r="R50" i="18" s="1"/>
  <c r="U50" i="18" s="1"/>
  <c r="P43" i="18" a="1"/>
  <c r="P43" i="18" s="1"/>
  <c r="R43" i="18" s="1"/>
  <c r="U43" i="18" s="1"/>
  <c r="P38" i="18" a="1"/>
  <c r="P38" i="18" s="1"/>
  <c r="R38" i="18" s="1"/>
  <c r="U38" i="18" s="1"/>
  <c r="P25" i="18" a="1"/>
  <c r="P25" i="18" s="1"/>
  <c r="R25" i="18" s="1"/>
  <c r="U25" i="18" s="1"/>
  <c r="P12" i="18" a="1"/>
  <c r="P12" i="18" s="1"/>
  <c r="R12" i="18" s="1"/>
  <c r="U12" i="18" s="1"/>
  <c r="P7" i="18" a="1"/>
  <c r="P7" i="18" s="1"/>
  <c r="R7" i="18" s="1"/>
  <c r="U7" i="18" s="1"/>
  <c r="O714" i="18" a="1"/>
  <c r="O714" i="18" s="1"/>
  <c r="O707" i="18" a="1"/>
  <c r="O707" i="18" s="1"/>
  <c r="O701" i="18" a="1"/>
  <c r="O701" i="18" s="1"/>
  <c r="O689" i="18" a="1"/>
  <c r="O689" i="18" s="1"/>
  <c r="O661" i="18" a="1"/>
  <c r="O661" i="18" s="1"/>
  <c r="O642" i="18" a="1"/>
  <c r="O642" i="18" s="1"/>
  <c r="O636" i="18" a="1"/>
  <c r="O636" i="18" s="1"/>
  <c r="O630" i="18" a="1"/>
  <c r="O630" i="18" s="1"/>
  <c r="O617" i="18" a="1"/>
  <c r="O617" i="18" s="1"/>
  <c r="O611" i="18" a="1"/>
  <c r="O611" i="18" s="1"/>
  <c r="O605" i="18" a="1"/>
  <c r="O605" i="18" s="1"/>
  <c r="O588" i="18" a="1"/>
  <c r="O588" i="18" s="1"/>
  <c r="O582" i="18" a="1"/>
  <c r="O582" i="18" s="1"/>
  <c r="O570" i="18" a="1"/>
  <c r="O570" i="18" s="1"/>
  <c r="O564" i="18" a="1"/>
  <c r="O564" i="18" s="1"/>
  <c r="O547" i="18" a="1"/>
  <c r="O547" i="18" s="1"/>
  <c r="O541" i="18" a="1"/>
  <c r="O541" i="18" s="1"/>
  <c r="O524" i="18" a="1"/>
  <c r="O524" i="18" s="1"/>
  <c r="O518" i="18" a="1"/>
  <c r="O518" i="18" s="1"/>
  <c r="O506" i="18" a="1"/>
  <c r="O506" i="18" s="1"/>
  <c r="O500" i="18" a="1"/>
  <c r="O500" i="18" s="1"/>
  <c r="O483" i="18" a="1"/>
  <c r="O483" i="18" s="1"/>
  <c r="O477" i="18" a="1"/>
  <c r="O477" i="18" s="1"/>
  <c r="O460" i="18" a="1"/>
  <c r="O460" i="18" s="1"/>
  <c r="O454" i="18" a="1"/>
  <c r="O454" i="18" s="1"/>
  <c r="O442" i="18" a="1"/>
  <c r="O442" i="18" s="1"/>
  <c r="O436" i="18" a="1"/>
  <c r="O436" i="18" s="1"/>
  <c r="O431" i="18" a="1"/>
  <c r="O431" i="18" s="1"/>
  <c r="O419" i="18" a="1"/>
  <c r="O419" i="18" s="1"/>
  <c r="O412" i="18" a="1"/>
  <c r="O412" i="18" s="1"/>
  <c r="O394" i="18" a="1"/>
  <c r="O394" i="18" s="1"/>
  <c r="O389" i="18" a="1"/>
  <c r="O389" i="18" s="1"/>
  <c r="O364" i="18" a="1"/>
  <c r="O364" i="18" s="1"/>
  <c r="O326" i="18" a="1"/>
  <c r="O326" i="18" s="1"/>
  <c r="O309" i="18" a="1"/>
  <c r="O309" i="18" s="1"/>
  <c r="O295" i="18" a="1"/>
  <c r="O295" i="18" s="1"/>
  <c r="O261" i="18" a="1"/>
  <c r="O261" i="18" s="1"/>
  <c r="O243" i="18" a="1"/>
  <c r="O243" i="18" s="1"/>
  <c r="O221" i="18" a="1"/>
  <c r="O221" i="18" s="1"/>
  <c r="O86" i="18" a="1"/>
  <c r="O86" i="18" s="1"/>
  <c r="O159" i="18" a="1"/>
  <c r="O159" i="18" s="1"/>
  <c r="O193" i="18" a="1"/>
  <c r="O193" i="18" s="1"/>
  <c r="O185" i="18" a="1"/>
  <c r="O185" i="18" s="1"/>
  <c r="O177" i="18" a="1"/>
  <c r="O177" i="18" s="1"/>
  <c r="O169" i="18" a="1"/>
  <c r="O169" i="18" s="1"/>
  <c r="O161" i="18" a="1"/>
  <c r="O161" i="18" s="1"/>
  <c r="O153" i="18" a="1"/>
  <c r="O153" i="18" s="1"/>
  <c r="O145" i="18" a="1"/>
  <c r="O145" i="18" s="1"/>
  <c r="O137" i="18" a="1"/>
  <c r="O137" i="18" s="1"/>
  <c r="O129" i="18" a="1"/>
  <c r="O129" i="18" s="1"/>
  <c r="O121" i="18" a="1"/>
  <c r="O121" i="18" s="1"/>
  <c r="O113" i="18" a="1"/>
  <c r="O113" i="18" s="1"/>
  <c r="O105" i="18" a="1"/>
  <c r="O105" i="18" s="1"/>
  <c r="O97" i="18" a="1"/>
  <c r="O97" i="18" s="1"/>
  <c r="O89" i="18" a="1"/>
  <c r="O89" i="18" s="1"/>
  <c r="O81" i="18" a="1"/>
  <c r="O81" i="18" s="1"/>
  <c r="O138" i="18" a="1"/>
  <c r="O138" i="18" s="1"/>
  <c r="O65" i="18" a="1"/>
  <c r="O65" i="18" s="1"/>
  <c r="O57" i="18" a="1"/>
  <c r="O57" i="18" s="1"/>
  <c r="O49" i="18" a="1"/>
  <c r="O49" i="18" s="1"/>
  <c r="O41" i="18" a="1"/>
  <c r="O41" i="18" s="1"/>
  <c r="O33" i="18" a="1"/>
  <c r="O33" i="18" s="1"/>
  <c r="O25" i="18" a="1"/>
  <c r="O25" i="18" s="1"/>
  <c r="O17" i="18" a="1"/>
  <c r="O17" i="18" s="1"/>
  <c r="O13" i="18" a="1"/>
  <c r="O13" i="18" s="1"/>
  <c r="O197" i="18" a="1"/>
  <c r="O197" i="18" s="1"/>
  <c r="O189" i="18" a="1"/>
  <c r="O189" i="18" s="1"/>
  <c r="O181" i="18" a="1"/>
  <c r="O181" i="18" s="1"/>
  <c r="O173" i="18" a="1"/>
  <c r="O173" i="18" s="1"/>
  <c r="O165" i="18" a="1"/>
  <c r="O165" i="18" s="1"/>
  <c r="O157" i="18" a="1"/>
  <c r="O157" i="18" s="1"/>
  <c r="O149" i="18" a="1"/>
  <c r="O149" i="18" s="1"/>
  <c r="O141" i="18" a="1"/>
  <c r="O141" i="18" s="1"/>
  <c r="O133" i="18" a="1"/>
  <c r="O133" i="18" s="1"/>
  <c r="O125" i="18" a="1"/>
  <c r="O125" i="18" s="1"/>
  <c r="O117" i="18" a="1"/>
  <c r="O117" i="18" s="1"/>
  <c r="O59" i="18" a="1"/>
  <c r="O59" i="18" s="1"/>
  <c r="O54" i="18" a="1"/>
  <c r="O54" i="18" s="1"/>
  <c r="O48" i="18" a="1"/>
  <c r="O48" i="18" s="1"/>
  <c r="O43" i="18" a="1"/>
  <c r="O43" i="18" s="1"/>
  <c r="O38" i="18" a="1"/>
  <c r="O38" i="18" s="1"/>
  <c r="O32" i="18" a="1"/>
  <c r="O32" i="18" s="1"/>
  <c r="O27" i="18" a="1"/>
  <c r="O27" i="18" s="1"/>
  <c r="O22" i="18" a="1"/>
  <c r="O22" i="18" s="1"/>
  <c r="O16" i="18" a="1"/>
  <c r="O16" i="18" s="1"/>
  <c r="O11" i="18" a="1"/>
  <c r="O11" i="18" s="1"/>
  <c r="O6" i="18" a="1"/>
  <c r="O6" i="18" s="1"/>
  <c r="O53" i="18" a="1"/>
  <c r="O53" i="18" s="1"/>
  <c r="O37" i="18" a="1"/>
  <c r="O37" i="18" s="1"/>
  <c r="O21" i="18" a="1"/>
  <c r="O21" i="18" s="1"/>
  <c r="O5" i="18" a="1"/>
  <c r="O5" i="18" s="1"/>
  <c r="O63" i="18" a="1"/>
  <c r="O63" i="18" s="1"/>
  <c r="O58" i="18" a="1"/>
  <c r="O58" i="18" s="1"/>
  <c r="O52" i="18" a="1"/>
  <c r="O52" i="18" s="1"/>
  <c r="O47" i="18" a="1"/>
  <c r="O47" i="18" s="1"/>
  <c r="O42" i="18" a="1"/>
  <c r="O42" i="18" s="1"/>
  <c r="O36" i="18" a="1"/>
  <c r="O36" i="18" s="1"/>
  <c r="O31" i="18" a="1"/>
  <c r="O31" i="18" s="1"/>
  <c r="O26" i="18" a="1"/>
  <c r="O26" i="18" s="1"/>
  <c r="O20" i="18" a="1"/>
  <c r="O20" i="18" s="1"/>
  <c r="O15" i="18" a="1"/>
  <c r="O15" i="18" s="1"/>
  <c r="O10" i="18" a="1"/>
  <c r="O10" i="18" s="1"/>
  <c r="O4" i="18" a="1"/>
  <c r="O4" i="18" s="1"/>
  <c r="O155" i="18" a="1"/>
  <c r="O155" i="18" s="1"/>
  <c r="O151" i="18" a="1"/>
  <c r="O151" i="18" s="1"/>
  <c r="O147" i="18" a="1"/>
  <c r="O147" i="18" s="1"/>
  <c r="O143" i="18" a="1"/>
  <c r="O143" i="18" s="1"/>
  <c r="O139" i="18" a="1"/>
  <c r="O139" i="18" s="1"/>
  <c r="O135" i="18" a="1"/>
  <c r="O135" i="18" s="1"/>
  <c r="O131" i="18" a="1"/>
  <c r="O131" i="18" s="1"/>
  <c r="O127" i="18" a="1"/>
  <c r="O127" i="18" s="1"/>
  <c r="O123" i="18" a="1"/>
  <c r="O123" i="18" s="1"/>
  <c r="O119" i="18" a="1"/>
  <c r="O119" i="18" s="1"/>
  <c r="O115" i="18" a="1"/>
  <c r="O115" i="18" s="1"/>
  <c r="O73" i="18" a="1"/>
  <c r="O73" i="18" s="1"/>
  <c r="O9" i="18" a="1"/>
  <c r="O9" i="18" s="1"/>
  <c r="O56" i="18" a="1"/>
  <c r="O56" i="18" s="1"/>
  <c r="O51" i="18" a="1"/>
  <c r="O51" i="18" s="1"/>
  <c r="O46" i="18" a="1"/>
  <c r="O46" i="18" s="1"/>
  <c r="O40" i="18" a="1"/>
  <c r="O40" i="18" s="1"/>
  <c r="O35" i="18" a="1"/>
  <c r="O35" i="18" s="1"/>
  <c r="O30" i="18" a="1"/>
  <c r="O30" i="18" s="1"/>
  <c r="O24" i="18" a="1"/>
  <c r="O24" i="18" s="1"/>
  <c r="O19" i="18" a="1"/>
  <c r="O19" i="18" s="1"/>
  <c r="O14" i="18" a="1"/>
  <c r="O14" i="18" s="1"/>
  <c r="O8" i="18" a="1"/>
  <c r="O8" i="18" s="1"/>
  <c r="O3" i="18" a="1"/>
  <c r="O3" i="18" s="1"/>
  <c r="O134" i="18" a="1"/>
  <c r="O134" i="18" s="1"/>
  <c r="O130" i="18" a="1"/>
  <c r="O130" i="18" s="1"/>
  <c r="O126" i="18" a="1"/>
  <c r="O126" i="18" s="1"/>
  <c r="O122" i="18" a="1"/>
  <c r="O122" i="18" s="1"/>
  <c r="O118" i="18" a="1"/>
  <c r="O118" i="18" s="1"/>
  <c r="O114" i="18" a="1"/>
  <c r="O114" i="18" s="1"/>
  <c r="O109" i="18" a="1"/>
  <c r="O109" i="18" s="1"/>
  <c r="O93" i="18" a="1"/>
  <c r="O93" i="18" s="1"/>
  <c r="O77" i="18" a="1"/>
  <c r="O77" i="18" s="1"/>
  <c r="O61" i="18" a="1"/>
  <c r="O61" i="18" s="1"/>
  <c r="O45" i="18" a="1"/>
  <c r="O45" i="18" s="1"/>
  <c r="O29" i="18" a="1"/>
  <c r="O29" i="18" s="1"/>
  <c r="Q361" i="17"/>
  <c r="W361" i="17" s="1"/>
  <c r="Q471" i="17"/>
  <c r="W471" i="17" s="1"/>
  <c r="Y475" i="17"/>
  <c r="Q475" i="17" s="1"/>
  <c r="W475" i="17" s="1"/>
  <c r="Q429" i="17"/>
  <c r="W429" i="17" s="1"/>
  <c r="Y481" i="17"/>
  <c r="Q481" i="17" s="1"/>
  <c r="W481" i="17" s="1"/>
  <c r="Q476" i="17"/>
  <c r="W476" i="17" s="1"/>
  <c r="Q193" i="17"/>
  <c r="W193" i="17" s="1"/>
  <c r="Q213" i="17"/>
  <c r="W213" i="17" s="1"/>
  <c r="N37" i="17" a="1"/>
  <c r="N37" i="17" s="1"/>
  <c r="N36" i="17" a="1"/>
  <c r="N36" i="17" s="1"/>
  <c r="N33" i="17" a="1"/>
  <c r="N33" i="17" s="1"/>
  <c r="N2" i="17" a="1"/>
  <c r="N2" i="17" s="1"/>
  <c r="Q279" i="17"/>
  <c r="W279" i="17" s="1"/>
  <c r="Y75" i="17"/>
  <c r="Q75" i="17" s="1"/>
  <c r="W75" i="17" s="1"/>
  <c r="Q393" i="17"/>
  <c r="W393" i="17" s="1"/>
  <c r="Y242" i="17"/>
  <c r="Q242" i="17" s="1"/>
  <c r="W242" i="17" s="1"/>
  <c r="Y33" i="17"/>
  <c r="Q33" i="17" s="1"/>
  <c r="W33" i="17" s="1"/>
  <c r="N43" i="17" a="1"/>
  <c r="N43" i="17" s="1"/>
  <c r="N452" i="17" a="1"/>
  <c r="N452" i="17" s="1"/>
  <c r="N212" i="17" a="1"/>
  <c r="N212" i="17" s="1"/>
  <c r="Y85" i="17"/>
  <c r="Q85" i="17" s="1"/>
  <c r="W85" i="17" s="1"/>
  <c r="Q392" i="17"/>
  <c r="W392" i="17" s="1"/>
  <c r="N363" i="17" a="1"/>
  <c r="N363" i="17" s="1"/>
  <c r="N42" i="17" a="1"/>
  <c r="N42" i="17" s="1"/>
  <c r="N41" i="17" a="1"/>
  <c r="N41" i="17" s="1"/>
  <c r="N362" i="17" a="1"/>
  <c r="N362" i="17" s="1"/>
  <c r="Q458" i="17"/>
  <c r="W458" i="17" s="1"/>
  <c r="Y68" i="17"/>
  <c r="Q68" i="17" s="1"/>
  <c r="W68" i="17" s="1"/>
  <c r="Q333" i="17"/>
  <c r="W333" i="17" s="1"/>
  <c r="N40" i="17" a="1"/>
  <c r="N40" i="17" s="1"/>
  <c r="N422" i="17" a="1"/>
  <c r="N422" i="17" s="1"/>
  <c r="N39" i="17" a="1"/>
  <c r="N39" i="17" s="1"/>
  <c r="N332" i="17" a="1"/>
  <c r="N332" i="17" s="1"/>
  <c r="Y244" i="17"/>
  <c r="Q244" i="17" s="1"/>
  <c r="W244" i="17" s="1"/>
  <c r="Q36" i="17"/>
  <c r="W36" i="17" s="1"/>
  <c r="N38" i="17" a="1"/>
  <c r="N38" i="17" s="1"/>
  <c r="N272" i="17" a="1"/>
  <c r="N272" i="17" s="1"/>
  <c r="Y99" i="17"/>
  <c r="Q99" i="17" s="1"/>
  <c r="W99" i="17" s="1"/>
  <c r="Y368" i="17"/>
  <c r="Q368" i="17" s="1"/>
  <c r="W368" i="17" s="1"/>
  <c r="Y73" i="17"/>
  <c r="Q73" i="17" s="1"/>
  <c r="W73" i="17" s="1"/>
  <c r="Y276" i="17"/>
  <c r="Q276" i="17" s="1"/>
  <c r="W276" i="17" s="1"/>
  <c r="N242" i="17" a="1"/>
  <c r="N242" i="17" s="1"/>
  <c r="N35" i="17" a="1"/>
  <c r="N35" i="17" s="1"/>
  <c r="N34" i="17" a="1"/>
  <c r="N34" i="17" s="1"/>
  <c r="N32" i="17" a="1"/>
  <c r="N32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SQLite3 ODBC Driver;Database=/users/zeynep/downloads/ine332simulationmodelingrestaurant.db;" command="select * from FrequencyStatsQuery"/>
  </connection>
  <connection id="2" xr16:uid="{0D0487BA-A295-4B77-80F6-D5BE4F81B0B2}" name="Connection1" type="1" refreshedVersion="8" saveData="1">
    <dbPr connection="DRIVER=SQLite3 ODBC Driver;Database=/users/zeynep/downloads/ine332simulationmodelingrestaurant.db;" command="select * from ProjectQuery"/>
  </connection>
  <connection id="3" xr16:uid="{3D0C4819-CB44-4E78-BCA2-42901CC6F509}" name="Connection2" type="1" refreshedVersion="8" saveData="1">
    <dbPr connection="DRIVER=SQLite3 ODBC Driver;Database=/users/zeynep/downloads/ine332simulationmodelingrestaurant.db;" command="select * from DiscreteTimeStatsQuery"/>
  </connection>
  <connection id="4" xr16:uid="{F47580D8-08D6-4B69-8DE7-1B45C3195479}" name="Connection3" type="1" refreshedVersion="8" saveData="1">
    <dbPr connection="DRIVER=SQLite3 ODBC Driver;Database=/users/zeynep/downloads/ine332simulationmodelingrestaurant.db;" command="select * from ContinuousTimeStatsQuery"/>
  </connection>
  <connection id="5" xr16:uid="{FFC361A3-242A-482C-9819-1F93D48A8A8E}" name="Connection4" type="1" refreshedVersion="8" saveData="1">
    <dbPr connection="DRIVER=SQLite3 ODBC Driver;Database=/users/zeynep/downloads/ine332simulationmodelingrestaurant.db;" command="select * from CounterStatsQuery"/>
  </connection>
  <connection id="6" xr16:uid="{25109672-E607-4045-8EEA-6BAAEEA2B450}" name="Connection5" type="1" refreshedVersion="8" saveData="1">
    <dbPr connection="DRIVER=SQLite3 ODBC Driver;Database=/users/zeynep/downloads/ine332simulationmodelingrestaurant.db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<sst xmlns="http://schemas.openxmlformats.org/spreadsheetml/2006/main" count="8262" uniqueCount="122">
  <si>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</si>
  <si>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</si>
  <si>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</si>
  <si>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</si>
  <si>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</si>
  <si>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</si>
  <si>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</si>
  <si>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</si>
  <si>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</si>
  <si>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</si>
  <si>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</si>
  <si>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</si>
  <si>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</si>
  <si>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</si>
  <si>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</si>
  <si>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</si>
  <si>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</si>
  <si>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</si>
  <si>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</si>
  <si>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</si>
  <si>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</si>
  <si>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</si>
  <si>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</si>
  <si>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</si>
  <si>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</si>
  <si>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</si>
  <si>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</si>
  <si>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</si>
  <si>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</si>
  <si>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</si>
  <si>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</si>
  <si>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</si>
  <si>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</si>
  <si>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</si>
  <si>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</si>
  <si>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</si>
  <si>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</si>
  <si>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</si>
  <si>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</si>
  <si>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</si>
  <si>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</si>
  <si>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</si>
  <si>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</si>
  <si>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</si>
  <si>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</si>
  <si>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</si>
  <si>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</si>
  <si>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</si>
  <si>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</si>
  <si>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</si>
  <si>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</si>
  <si>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</si>
  <si>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</si>
  <si>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</si>
  <si>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</si>
  <si>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</si>
  <si>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</si>
  <si>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</si>
  <si>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</si>
  <si>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</si>
  <si>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</si>
  <si>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</si>
  <si>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</si>
  <si>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</si>
  <si>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</si>
  <si>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(blank)</t>
  </si>
  <si>
    <t>IsPeriodic</t>
  </si>
  <si>
    <t>Unnamed Project</t>
  </si>
  <si>
    <t>IncludeOption</t>
  </si>
  <si>
    <t>C:\Users\ilgin\OneDrive\Masast\PROJEEEEEEEEEEEEEEE\INE332SimulationModelingRestaurant.p</t>
  </si>
  <si>
    <t>2025-05-26 16:22:20</t>
  </si>
  <si>
    <t>Cleaning_Table.Queue</t>
  </si>
  <si>
    <t>Waiting Time</t>
  </si>
  <si>
    <t>Queue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</si>
  <si>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</si>
  <si>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</si>
  <si>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</si>
  <si>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</si>
  <si>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</si>
  <si>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</si>
  <si>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</si>
  <si>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</si>
  <si>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Food_Preparation.Queue</t>
  </si>
  <si>
    <t>InsideWaitTime</t>
  </si>
  <si>
    <t>Interval</t>
  </si>
  <si>
    <t>User Specified</t>
  </si>
  <si>
    <t>Inside_Table_Standing.Queue</t>
  </si>
  <si>
    <t>Inside_Table_Waiting_Queue</t>
  </si>
  <si>
    <t>Order_Group.Queue</t>
  </si>
  <si>
    <t>OutsideWaitTime</t>
  </si>
  <si>
    <t>Outside_Table_Standing.Queue</t>
  </si>
  <si>
    <t>Outside_Table_Waiting_Queue</t>
  </si>
  <si>
    <t>Taking_Order.Queue</t>
  </si>
  <si>
    <t>Cleaner</t>
  </si>
  <si>
    <t>Instantaneous Utilization</t>
  </si>
  <si>
    <t>Resource</t>
  </si>
  <si>
    <t>Number Busy</t>
  </si>
  <si>
    <t>Number Scheduled</t>
  </si>
  <si>
    <t>Number Waiting</t>
  </si>
  <si>
    <t>Cooker</t>
  </si>
  <si>
    <t>WIP</t>
  </si>
  <si>
    <t>Inside_Table</t>
  </si>
  <si>
    <t>Outside_Table</t>
  </si>
  <si>
    <t>Waiter</t>
  </si>
  <si>
    <t>Cleaner.NumberSeized</t>
  </si>
  <si>
    <t>Total Number Seized</t>
  </si>
  <si>
    <t>Cleaner.ScheduledUtilization</t>
  </si>
  <si>
    <t>Scheduled Utilization</t>
  </si>
  <si>
    <t>Cooker.NumberSeized</t>
  </si>
  <si>
    <t>Cooker.ScheduledUtilization</t>
  </si>
  <si>
    <t>Customer.NumberIn</t>
  </si>
  <si>
    <t>Number In</t>
  </si>
  <si>
    <t>Customer.NumberOut</t>
  </si>
  <si>
    <t>Number Out</t>
  </si>
  <si>
    <t>Inside_Table.NumberSeized</t>
  </si>
  <si>
    <t>Inside_Table.ScheduledUtilization</t>
  </si>
  <si>
    <t>Outside_Table.NumberSeized</t>
  </si>
  <si>
    <t>Outside_Table.ScheduledUtilization</t>
  </si>
  <si>
    <t>System.NumberOut</t>
  </si>
  <si>
    <t>System</t>
  </si>
  <si>
    <t>Waiter.NumberSeized</t>
  </si>
  <si>
    <t>Waiter.ScheduledUtilization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</si>
</sst>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0" formatCode="General"/>
    </dxf>
    <dxf>
      <numFmt numFmtId="0" formatCode="General"/>
    </dxf>
    <dxf>
      <numFmt numFmtId="0" formatCode="General"/>
    </dxf>
    <dxf>
      <numFmt numFmtId="164" formatCode="[=400000000000000000000]&quot;Null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4" formatCode="0.00%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833.142439467592" createdVersion="7" refreshedVersion="8" minRefreshableVersion="3" recordCount="48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10">
        <s v="Cleaning_Table.Queue"/>
        <s v="Customer"/>
        <s v="Food_Preparation.Queue"/>
        <s v="Inside_Table_Standing.Queue"/>
        <s v="Inside_Table_Waiting_Queue"/>
        <s v="InsideWaitTime"/>
        <s v="Order_Group.Queue"/>
        <s v="Outside_Table_Standing.Queue"/>
        <s v="Outside_Table_Waiting_Queue"/>
        <s v="OutsideWaitTime"/>
        <s v="Taking_Order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s v="Interval"/>
        <m u="1"/>
        <s v="Total Time Per Entity" u="1"/>
        <s v="VA Time Per Entity" u="1"/>
        <s v="Wait Time Per Entity" u="1"/>
      </sharedItems>
    </cacheField>
    <cacheField name="Source" numFmtId="0">
      <sharedItems containsBlank="1" count="5">
        <s v="Queue"/>
        <s v="Entity"/>
        <s v="User Specified"/>
        <m u="1"/>
        <s v="Process" u="1"/>
      </sharedItems>
    </cacheField>
    <cacheField name="Average" numFmtId="0">
      <sharedItems containsSemiMixedTypes="0" containsString="0" containsNumber="1" minValue="0" maxValue="43.261092257362002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22.019452018570899"/>
    </cacheField>
    <cacheField name="Maximum" numFmtId="0">
      <sharedItems containsSemiMixedTypes="0" containsString="0" containsNumber="1" minValue="0" maxValue="180.86047487093799"/>
    </cacheField>
    <cacheField name="NumberObservations" numFmtId="0">
      <sharedItems containsSemiMixedTypes="0" containsString="0" containsNumber="1" containsInteger="1" minValue="132" maxValue="64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42.144608162589741"/>
    </cacheField>
    <cacheField name="StDevOfAverage" numFmtId="0">
      <sharedItems containsSemiMixedTypes="0" containsString="0" containsNumber="1" minValue="0" maxValue="0.5068976071692575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18927867722499744"/>
    </cacheField>
    <cacheField name="MinimumAverage" numFmtId="0">
      <sharedItems containsSemiMixedTypes="0" containsString="0" containsNumber="1" minValue="0" maxValue="41.266839452854697"/>
    </cacheField>
    <cacheField name="MaximumAverage" numFmtId="0">
      <sharedItems containsSemiMixedTypes="0" containsString="0" containsNumber="1" minValue="0" maxValue="43.261092257362002"/>
    </cacheField>
    <cacheField name="OverallMinimum" numFmtId="0">
      <sharedItems containsSemiMixedTypes="0" containsString="0" containsNumber="1" minValue="0" maxValue="14.356812659243699"/>
    </cacheField>
    <cacheField name="OverallMaximum" numFmtId="0">
      <sharedItems containsSemiMixedTypes="0" containsString="0" containsNumber="1" minValue="0" maxValue="180.86047487093799"/>
    </cacheField>
    <cacheField name="AverageNumberObservations" numFmtId="0">
      <sharedItems containsSemiMixedTypes="0" containsString="0" containsNumber="1" minValue="142.66666666666666" maxValue="570.66666666666663"/>
    </cacheField>
    <cacheField name="SummaryHalfWidth" numFmtId="0">
      <sharedItems containsSemiMixedTypes="0" containsString="0" containsNumber="1" minValue="0" maxValue="0.18927867722499744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833.142439814816" createdVersion="7" refreshedVersion="8" minRefreshableVersion="3" recordCount="39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91">
        <s v="Cleaner.NumberSeized"/>
        <s v="Cleaner.ScheduledUtilization"/>
        <s v="Cooker.NumberSeized"/>
        <s v="Cooker.ScheduledUtilization"/>
        <s v="Customer.NumberIn"/>
        <s v="Customer.NumberOut"/>
        <s v="Inside_Table.NumberSeized"/>
        <s v="Inside_Table.ScheduledUtilization"/>
        <s v="Outside_Table.NumberSeized"/>
        <s v="Outside_Table.ScheduledUtilization"/>
        <s v="System.NumberOut"/>
        <s v="Waiter.NumberSeized"/>
        <s v="Waiter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In"/>
        <s v="Number Out"/>
        <m u="1"/>
        <s v="Accum VA Time" u="1"/>
        <s v="Accum Wait Time" u="1"/>
      </sharedItems>
    </cacheField>
    <cacheField name="Source" numFmtId="0">
      <sharedItems containsBlank="1" count="5">
        <s v="Resource"/>
        <s v="Entity"/>
        <s v="System"/>
        <m u="1"/>
        <s v="Process" u="1"/>
      </sharedItems>
    </cacheField>
    <cacheField name="RecordedValue" numFmtId="0">
      <sharedItems containsSemiMixedTypes="0" containsString="0" containsNumber="1" minValue="1.70504385964912E-3" maxValue="958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1.889307012236451E-3" maxValue="855.93333333333328"/>
    </cacheField>
    <cacheField name="StandardDeviation" numFmtId="0">
      <sharedItems containsSemiMixedTypes="0" containsString="0" containsNumber="1" minValue="1.2015303758165521E-4" maxValue="38.659373073509371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4.4865881583116673E-5" maxValue="14.435647148869247"/>
    </cacheField>
    <cacheField name="Minimum" numFmtId="0">
      <sharedItems containsSemiMixedTypes="0" containsString="0" containsNumber="1" minValue="1.70504385964912E-3" maxValue="798"/>
    </cacheField>
    <cacheField name="Maximum" numFmtId="0">
      <sharedItems containsSemiMixedTypes="0" containsString="0" containsNumber="1" minValue="2.17031677925951E-3" maxValue="9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833.14243981481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833.142439930554" createdVersion="7" refreshedVersion="8" minRefreshableVersion="3" recordCount="72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38">
        <s v="Cleaner"/>
        <s v="Cleaning_Table.Queue"/>
        <s v="Cooker"/>
        <s v="Customer"/>
        <s v="Food_Preparation.Queue"/>
        <s v="Inside_Table"/>
        <s v="Inside_Table_Standing.Queue"/>
        <s v="Inside_Table_Waiting_Queue"/>
        <s v="Order_Group.Queue"/>
        <s v="Outside_Table"/>
        <s v="Outside_Table_Standing.Queue"/>
        <s v="Outside_Table_Waiting_Queue"/>
        <s v="Taking_Order.Queue"/>
        <s v="Waiter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80"/>
    </cacheField>
    <cacheField name="BatchMeansHalfWidth" numFmtId="0">
      <sharedItems containsSemiMixedTypes="0" containsString="0" containsNumber="1" minValue="1.5910684621005201E-4" maxValue="3E+20"/>
    </cacheField>
    <cacheField name="Minimum" numFmtId="0">
      <sharedItems containsSemiMixedTypes="0" containsString="0" containsNumber="1" containsInteger="1" minValue="0" maxValue="80"/>
    </cacheField>
    <cacheField name="Maximum" numFmtId="0">
      <sharedItems containsSemiMixedTypes="0" containsString="0" containsNumber="1" minValue="0" maxValue="80"/>
    </cacheField>
    <cacheField name="LastRecordedValue" numFmtId="0">
      <sharedItems containsSemiMixedTypes="0" containsString="0" containsNumber="1" minValue="0" maxValue="8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80"/>
    </cacheField>
    <cacheField name="StDevOfAverage" numFmtId="0">
      <sharedItems containsSemiMixedTypes="0" containsString="0" containsNumber="1" minValue="0" maxValue="0.6928161948883387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25870181881670146"/>
    </cacheField>
    <cacheField name="MinimumAverage" numFmtId="0">
      <sharedItems containsSemiMixedTypes="0" containsString="0" containsNumber="1" minValue="0" maxValue="80"/>
    </cacheField>
    <cacheField name="MaximumAverage" numFmtId="0">
      <sharedItems containsSemiMixedTypes="0" containsString="0" containsNumber="1" minValue="0" maxValue="80"/>
    </cacheField>
    <cacheField name="SummaryHalfWidth" numFmtId="0">
      <sharedItems containsSemiMixedTypes="0" containsString="0" containsNumber="1" minValue="0" maxValue="0.258701818816701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833.142440046293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0">
  <r>
    <x v="0"/>
    <s v="2025-05-26 16:22:20"/>
    <n v="1"/>
    <x v="0"/>
    <x v="0"/>
    <x v="0"/>
    <n v="0.21714421018410399"/>
    <n v="2E+20"/>
    <n v="0"/>
    <n v="2.65811275396663"/>
    <n v="285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2"/>
    <x v="0"/>
    <x v="0"/>
    <x v="0"/>
    <n v="0.24934943205935001"/>
    <n v="2E+20"/>
    <n v="0"/>
    <n v="3.1196891314867798"/>
    <n v="292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3"/>
    <x v="0"/>
    <x v="0"/>
    <x v="0"/>
    <n v="0.23311997967540601"/>
    <n v="2E+20"/>
    <n v="0"/>
    <n v="3.0375959949546698"/>
    <n v="280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4"/>
    <x v="0"/>
    <x v="0"/>
    <x v="0"/>
    <n v="0.265754120327441"/>
    <n v="2E+20"/>
    <n v="0"/>
    <n v="3.9207205144007302"/>
    <n v="310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5"/>
    <x v="0"/>
    <x v="0"/>
    <x v="0"/>
    <n v="0.24841491844958299"/>
    <n v="2E+20"/>
    <n v="0"/>
    <n v="3.35919662646165"/>
    <n v="285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6"/>
    <x v="0"/>
    <x v="0"/>
    <x v="0"/>
    <n v="0.21571903616875501"/>
    <n v="2E+20"/>
    <n v="0"/>
    <n v="1.96223869064193"/>
    <n v="318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7"/>
    <x v="0"/>
    <x v="0"/>
    <x v="0"/>
    <n v="0.196687400741792"/>
    <n v="2E+20"/>
    <n v="0"/>
    <n v="2.8406752285234198"/>
    <n v="266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8"/>
    <x v="0"/>
    <x v="0"/>
    <x v="0"/>
    <n v="0.180854824491337"/>
    <n v="2E+20"/>
    <n v="0"/>
    <n v="3.6166386125305499"/>
    <n v="283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9"/>
    <x v="0"/>
    <x v="0"/>
    <x v="0"/>
    <n v="0.207062251209787"/>
    <n v="2E+20"/>
    <n v="0"/>
    <n v="1.9624988928010201"/>
    <n v="289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10"/>
    <x v="0"/>
    <x v="0"/>
    <x v="0"/>
    <n v="0.21236183209453"/>
    <n v="2E+20"/>
    <n v="0"/>
    <n v="3.7829721564066898"/>
    <n v="278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11"/>
    <x v="0"/>
    <x v="0"/>
    <x v="0"/>
    <n v="0.212265714444096"/>
    <n v="2E+20"/>
    <n v="0"/>
    <n v="3.39020695862928"/>
    <n v="296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12"/>
    <x v="0"/>
    <x v="0"/>
    <x v="0"/>
    <n v="0.30302623594621902"/>
    <n v="2E+20"/>
    <n v="0"/>
    <n v="3.6701704890244899"/>
    <n v="299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13"/>
    <x v="0"/>
    <x v="0"/>
    <x v="0"/>
    <n v="0.209747159773329"/>
    <n v="2E+20"/>
    <n v="0"/>
    <n v="3.1864641349395701"/>
    <n v="297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14"/>
    <x v="0"/>
    <x v="0"/>
    <x v="0"/>
    <n v="0.20860595135300899"/>
    <n v="2E+20"/>
    <n v="0"/>
    <n v="1.9335519591677399"/>
    <n v="275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15"/>
    <x v="0"/>
    <x v="0"/>
    <x v="0"/>
    <n v="0.20850959135549799"/>
    <n v="2E+20"/>
    <n v="0"/>
    <n v="3.6715962753545499"/>
    <n v="277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16"/>
    <x v="0"/>
    <x v="0"/>
    <x v="0"/>
    <n v="0.19982707262032001"/>
    <n v="2E+20"/>
    <n v="0"/>
    <n v="2.7819356713481498"/>
    <n v="279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17"/>
    <x v="0"/>
    <x v="0"/>
    <x v="0"/>
    <n v="0.26646163121581701"/>
    <n v="2E+20"/>
    <n v="0"/>
    <n v="3.4736079970895699"/>
    <n v="280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18"/>
    <x v="0"/>
    <x v="0"/>
    <x v="0"/>
    <n v="0.28428161614018499"/>
    <n v="2E+20"/>
    <n v="0"/>
    <n v="3.21280509869894"/>
    <n v="286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19"/>
    <x v="0"/>
    <x v="0"/>
    <x v="0"/>
    <n v="0.21628789883615701"/>
    <n v="2E+20"/>
    <n v="0"/>
    <n v="2.92130116129078"/>
    <n v="290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20"/>
    <x v="0"/>
    <x v="0"/>
    <x v="0"/>
    <n v="0.238391459533389"/>
    <n v="2E+20"/>
    <n v="0"/>
    <n v="2.4571783612784102"/>
    <n v="273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21"/>
    <x v="0"/>
    <x v="0"/>
    <x v="0"/>
    <n v="0.21484377996524601"/>
    <n v="2E+20"/>
    <n v="0"/>
    <n v="3.4293456415321102"/>
    <n v="284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22"/>
    <x v="0"/>
    <x v="0"/>
    <x v="0"/>
    <n v="0.18410534137068801"/>
    <n v="2E+20"/>
    <n v="0"/>
    <n v="3.6297856556416299"/>
    <n v="282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23"/>
    <x v="0"/>
    <x v="0"/>
    <x v="0"/>
    <n v="0.189126201248278"/>
    <n v="2E+20"/>
    <n v="0"/>
    <n v="3.7547225482785498"/>
    <n v="280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24"/>
    <x v="0"/>
    <x v="0"/>
    <x v="0"/>
    <n v="0.25653744481277002"/>
    <n v="2E+20"/>
    <n v="0"/>
    <n v="4.9820001768348403"/>
    <n v="291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25"/>
    <x v="0"/>
    <x v="0"/>
    <x v="0"/>
    <n v="0.24602579001956401"/>
    <n v="2E+20"/>
    <n v="0"/>
    <n v="3.22610734858472"/>
    <n v="302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26"/>
    <x v="0"/>
    <x v="0"/>
    <x v="0"/>
    <n v="0.233972687846214"/>
    <n v="2E+20"/>
    <n v="0"/>
    <n v="3.4013291033395499"/>
    <n v="272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27"/>
    <x v="0"/>
    <x v="0"/>
    <x v="0"/>
    <n v="0.24242976975177299"/>
    <n v="2E+20"/>
    <n v="0"/>
    <n v="2.96015040428028"/>
    <n v="270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28"/>
    <x v="0"/>
    <x v="0"/>
    <x v="0"/>
    <n v="0.24832737285021"/>
    <n v="2E+20"/>
    <n v="0"/>
    <n v="2.6284791253651698"/>
    <n v="267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29"/>
    <x v="0"/>
    <x v="0"/>
    <x v="0"/>
    <n v="0.211680438124144"/>
    <n v="2E+20"/>
    <n v="0"/>
    <n v="3.90648823814263"/>
    <n v="306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30"/>
    <x v="0"/>
    <x v="0"/>
    <x v="0"/>
    <n v="0.166055927963801"/>
    <n v="2E+20"/>
    <n v="0"/>
    <n v="3.7587564677130598"/>
    <n v="270"/>
    <s v="Unnamed ProjectCleaning_Table.QueueWaiting TimeQueue"/>
    <n v="30"/>
    <n v="0.22556590301909313"/>
    <n v="3.1328864241642683E-2"/>
    <n v="0.95"/>
    <n v="1.1698390165490775E-2"/>
    <n v="0.166055927963801"/>
    <n v="0.30302623594621902"/>
    <n v="0"/>
    <n v="4.9820001768348403"/>
    <n v="285.39999999999998"/>
    <n v="1.1698390165490775E-2"/>
    <n v="30"/>
    <n v="1"/>
  </r>
  <r>
    <x v="0"/>
    <s v="2025-05-26 16:22:20"/>
    <n v="1"/>
    <x v="1"/>
    <x v="1"/>
    <x v="1"/>
    <n v="0"/>
    <n v="2E+20"/>
    <n v="0"/>
    <n v="0"/>
    <n v="285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"/>
    <x v="1"/>
    <x v="2"/>
    <x v="1"/>
    <n v="0"/>
    <n v="2E+20"/>
    <n v="0"/>
    <n v="0"/>
    <n v="285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"/>
    <x v="1"/>
    <x v="3"/>
    <x v="1"/>
    <n v="42.1347609251753"/>
    <n v="2E+20"/>
    <n v="20.283741717115198"/>
    <n v="81.896846324795007"/>
    <n v="285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1"/>
    <x v="1"/>
    <x v="4"/>
    <x v="1"/>
    <n v="0"/>
    <n v="2E+20"/>
    <n v="0"/>
    <n v="0"/>
    <n v="285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"/>
    <x v="1"/>
    <x v="5"/>
    <x v="1"/>
    <n v="35.860642939177303"/>
    <n v="2E+20"/>
    <n v="20.283741717115198"/>
    <n v="54.096063926053397"/>
    <n v="285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1"/>
    <x v="1"/>
    <x v="6"/>
    <x v="1"/>
    <n v="13.897505402355799"/>
    <n v="2E+20"/>
    <n v="0"/>
    <n v="76.657480173895706"/>
    <n v="285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2"/>
    <x v="1"/>
    <x v="1"/>
    <x v="1"/>
    <n v="0"/>
    <n v="2E+20"/>
    <n v="0"/>
    <n v="0"/>
    <n v="291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"/>
    <x v="1"/>
    <x v="2"/>
    <x v="1"/>
    <n v="0"/>
    <n v="2E+20"/>
    <n v="0"/>
    <n v="0"/>
    <n v="291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"/>
    <x v="1"/>
    <x v="3"/>
    <x v="1"/>
    <n v="41.489863878617101"/>
    <n v="2E+20"/>
    <n v="14.356812659243699"/>
    <n v="82.970237228326795"/>
    <n v="291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2"/>
    <x v="1"/>
    <x v="4"/>
    <x v="1"/>
    <n v="0"/>
    <n v="2E+20"/>
    <n v="0"/>
    <n v="0"/>
    <n v="291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"/>
    <x v="1"/>
    <x v="5"/>
    <x v="1"/>
    <n v="35.895478336892197"/>
    <n v="2E+20"/>
    <n v="14.356812659243699"/>
    <n v="57.411384622132303"/>
    <n v="291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2"/>
    <x v="1"/>
    <x v="6"/>
    <x v="1"/>
    <n v="13.116677955028299"/>
    <n v="2E+20"/>
    <n v="0"/>
    <n v="98.812782374270199"/>
    <n v="291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3"/>
    <x v="1"/>
    <x v="1"/>
    <x v="1"/>
    <n v="0"/>
    <n v="2E+20"/>
    <n v="0"/>
    <n v="0"/>
    <n v="280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3"/>
    <x v="1"/>
    <x v="2"/>
    <x v="1"/>
    <n v="0"/>
    <n v="2E+20"/>
    <n v="0"/>
    <n v="0"/>
    <n v="280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3"/>
    <x v="1"/>
    <x v="3"/>
    <x v="1"/>
    <n v="41.924916690652402"/>
    <n v="2E+20"/>
    <n v="18.4407421252617"/>
    <n v="75.314543049281397"/>
    <n v="280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3"/>
    <x v="1"/>
    <x v="4"/>
    <x v="1"/>
    <n v="0"/>
    <n v="2E+20"/>
    <n v="0"/>
    <n v="0"/>
    <n v="280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3"/>
    <x v="1"/>
    <x v="5"/>
    <x v="1"/>
    <n v="35.6333778026261"/>
    <n v="2E+20"/>
    <n v="18.4407421252617"/>
    <n v="53.664951353410402"/>
    <n v="280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3"/>
    <x v="1"/>
    <x v="6"/>
    <x v="1"/>
    <n v="13.8047361144486"/>
    <n v="2E+20"/>
    <n v="0"/>
    <n v="86.532820143383304"/>
    <n v="280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4"/>
    <x v="1"/>
    <x v="1"/>
    <x v="1"/>
    <n v="0"/>
    <n v="2E+20"/>
    <n v="0"/>
    <n v="0"/>
    <n v="310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4"/>
    <x v="1"/>
    <x v="2"/>
    <x v="1"/>
    <n v="0"/>
    <n v="2E+20"/>
    <n v="0"/>
    <n v="0"/>
    <n v="310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4"/>
    <x v="1"/>
    <x v="3"/>
    <x v="1"/>
    <n v="41.8357600888829"/>
    <n v="2E+20"/>
    <n v="15.173627226778001"/>
    <n v="73.175207814603397"/>
    <n v="310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4"/>
    <x v="1"/>
    <x v="4"/>
    <x v="1"/>
    <n v="0"/>
    <n v="2E+20"/>
    <n v="0"/>
    <n v="0"/>
    <n v="310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4"/>
    <x v="1"/>
    <x v="5"/>
    <x v="1"/>
    <n v="35.974438322023403"/>
    <n v="2E+20"/>
    <n v="14.2518779052622"/>
    <n v="52.187397146142501"/>
    <n v="310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4"/>
    <x v="1"/>
    <x v="6"/>
    <x v="1"/>
    <n v="13.112131619462"/>
    <n v="2E+20"/>
    <n v="0"/>
    <n v="65.274034850229597"/>
    <n v="310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5"/>
    <x v="1"/>
    <x v="1"/>
    <x v="1"/>
    <n v="0"/>
    <n v="2E+20"/>
    <n v="0"/>
    <n v="0"/>
    <n v="285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5"/>
    <x v="1"/>
    <x v="2"/>
    <x v="1"/>
    <n v="0"/>
    <n v="2E+20"/>
    <n v="0"/>
    <n v="0"/>
    <n v="285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5"/>
    <x v="1"/>
    <x v="3"/>
    <x v="1"/>
    <n v="43.261092257362002"/>
    <n v="2E+20"/>
    <n v="15.089225937034801"/>
    <n v="80.149866521716106"/>
    <n v="285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5"/>
    <x v="1"/>
    <x v="4"/>
    <x v="1"/>
    <n v="0"/>
    <n v="2E+20"/>
    <n v="0"/>
    <n v="0"/>
    <n v="285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5"/>
    <x v="1"/>
    <x v="5"/>
    <x v="1"/>
    <n v="36.707690403515898"/>
    <n v="2E+20"/>
    <n v="15.089225937034801"/>
    <n v="57.896374655177603"/>
    <n v="285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5"/>
    <x v="1"/>
    <x v="6"/>
    <x v="1"/>
    <n v="13.457379146873199"/>
    <n v="2E+20"/>
    <n v="0"/>
    <n v="65.844302669740003"/>
    <n v="285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6"/>
    <x v="1"/>
    <x v="1"/>
    <x v="1"/>
    <n v="0"/>
    <n v="2E+20"/>
    <n v="0"/>
    <n v="0"/>
    <n v="318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6"/>
    <x v="1"/>
    <x v="2"/>
    <x v="1"/>
    <n v="0"/>
    <n v="2E+20"/>
    <n v="0"/>
    <n v="0"/>
    <n v="318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6"/>
    <x v="1"/>
    <x v="3"/>
    <x v="1"/>
    <n v="41.4996582804119"/>
    <n v="2E+20"/>
    <n v="19.4929706880548"/>
    <n v="72.383170649124807"/>
    <n v="318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6"/>
    <x v="1"/>
    <x v="4"/>
    <x v="1"/>
    <n v="0"/>
    <n v="2E+20"/>
    <n v="0"/>
    <n v="0"/>
    <n v="318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6"/>
    <x v="1"/>
    <x v="5"/>
    <x v="1"/>
    <n v="35.158236096727201"/>
    <n v="2E+20"/>
    <n v="19.4929706880548"/>
    <n v="51.342290520070897"/>
    <n v="318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6"/>
    <x v="1"/>
    <x v="6"/>
    <x v="1"/>
    <n v="13.615218463078101"/>
    <n v="2E+20"/>
    <n v="0"/>
    <n v="89.634301489140398"/>
    <n v="318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7"/>
    <x v="1"/>
    <x v="1"/>
    <x v="1"/>
    <n v="0"/>
    <n v="2E+20"/>
    <n v="0"/>
    <n v="0"/>
    <n v="266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7"/>
    <x v="1"/>
    <x v="2"/>
    <x v="1"/>
    <n v="0"/>
    <n v="2E+20"/>
    <n v="0"/>
    <n v="0"/>
    <n v="266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7"/>
    <x v="1"/>
    <x v="3"/>
    <x v="1"/>
    <n v="41.918034753990703"/>
    <n v="2E+20"/>
    <n v="17.5095492775412"/>
    <n v="88.516248971297202"/>
    <n v="266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7"/>
    <x v="1"/>
    <x v="4"/>
    <x v="1"/>
    <n v="0"/>
    <n v="2E+20"/>
    <n v="0"/>
    <n v="0"/>
    <n v="266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7"/>
    <x v="1"/>
    <x v="5"/>
    <x v="1"/>
    <n v="35.941600116703398"/>
    <n v="2E+20"/>
    <n v="17.5095492775412"/>
    <n v="52.426125876151403"/>
    <n v="266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7"/>
    <x v="1"/>
    <x v="6"/>
    <x v="1"/>
    <n v="13.6352992518781"/>
    <n v="2E+20"/>
    <n v="0"/>
    <n v="95.156077189525902"/>
    <n v="266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8"/>
    <x v="1"/>
    <x v="1"/>
    <x v="1"/>
    <n v="0"/>
    <n v="2E+20"/>
    <n v="0"/>
    <n v="0"/>
    <n v="283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8"/>
    <x v="1"/>
    <x v="2"/>
    <x v="1"/>
    <n v="0"/>
    <n v="2E+20"/>
    <n v="0"/>
    <n v="0"/>
    <n v="283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8"/>
    <x v="1"/>
    <x v="3"/>
    <x v="1"/>
    <n v="42.295740047083299"/>
    <n v="2E+20"/>
    <n v="19.355880754087401"/>
    <n v="70.490337497390399"/>
    <n v="283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8"/>
    <x v="1"/>
    <x v="4"/>
    <x v="1"/>
    <n v="0"/>
    <n v="2E+20"/>
    <n v="0"/>
    <n v="0"/>
    <n v="283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8"/>
    <x v="1"/>
    <x v="5"/>
    <x v="1"/>
    <n v="36.3114089835153"/>
    <n v="2E+20"/>
    <n v="19.355880754087401"/>
    <n v="52.336821608398601"/>
    <n v="283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8"/>
    <x v="1"/>
    <x v="6"/>
    <x v="1"/>
    <n v="13.8560569665489"/>
    <n v="2E+20"/>
    <n v="0"/>
    <n v="71.497261652598795"/>
    <n v="283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9"/>
    <x v="1"/>
    <x v="1"/>
    <x v="1"/>
    <n v="0"/>
    <n v="2E+20"/>
    <n v="0"/>
    <n v="0"/>
    <n v="288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9"/>
    <x v="1"/>
    <x v="2"/>
    <x v="1"/>
    <n v="0"/>
    <n v="2E+20"/>
    <n v="0"/>
    <n v="0"/>
    <n v="288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9"/>
    <x v="1"/>
    <x v="3"/>
    <x v="1"/>
    <n v="41.744226236606998"/>
    <n v="2E+20"/>
    <n v="14.4841280389758"/>
    <n v="75.190279680599801"/>
    <n v="288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9"/>
    <x v="1"/>
    <x v="4"/>
    <x v="1"/>
    <n v="0"/>
    <n v="2E+20"/>
    <n v="0"/>
    <n v="0"/>
    <n v="288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9"/>
    <x v="1"/>
    <x v="5"/>
    <x v="1"/>
    <n v="35.779400773827398"/>
    <n v="2E+20"/>
    <n v="14.4841280389758"/>
    <n v="56.162973720784997"/>
    <n v="288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9"/>
    <x v="1"/>
    <x v="6"/>
    <x v="1"/>
    <n v="13.7165540524352"/>
    <n v="2E+20"/>
    <n v="0"/>
    <n v="84.008570607491905"/>
    <n v="288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10"/>
    <x v="1"/>
    <x v="1"/>
    <x v="1"/>
    <n v="0"/>
    <n v="2E+20"/>
    <n v="0"/>
    <n v="0"/>
    <n v="278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0"/>
    <x v="1"/>
    <x v="2"/>
    <x v="1"/>
    <n v="0"/>
    <n v="2E+20"/>
    <n v="0"/>
    <n v="0"/>
    <n v="278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0"/>
    <x v="1"/>
    <x v="3"/>
    <x v="1"/>
    <n v="41.266839452854697"/>
    <n v="2E+20"/>
    <n v="19.4551020611495"/>
    <n v="81.239006642262297"/>
    <n v="278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10"/>
    <x v="1"/>
    <x v="4"/>
    <x v="1"/>
    <n v="0"/>
    <n v="2E+20"/>
    <n v="0"/>
    <n v="0"/>
    <n v="278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0"/>
    <x v="1"/>
    <x v="5"/>
    <x v="1"/>
    <n v="35.411733530712603"/>
    <n v="2E+20"/>
    <n v="19.4551020611495"/>
    <n v="53.374234983873698"/>
    <n v="278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10"/>
    <x v="1"/>
    <x v="6"/>
    <x v="1"/>
    <n v="13.831120265988099"/>
    <n v="2E+20"/>
    <n v="0"/>
    <n v="83.978318218272307"/>
    <n v="278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11"/>
    <x v="1"/>
    <x v="1"/>
    <x v="1"/>
    <n v="0"/>
    <n v="2E+20"/>
    <n v="0"/>
    <n v="0"/>
    <n v="296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1"/>
    <x v="1"/>
    <x v="2"/>
    <x v="1"/>
    <n v="0"/>
    <n v="2E+20"/>
    <n v="0"/>
    <n v="0"/>
    <n v="296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1"/>
    <x v="1"/>
    <x v="3"/>
    <x v="1"/>
    <n v="42.109698544571401"/>
    <n v="2E+20"/>
    <n v="16.904883911605101"/>
    <n v="68.069926161852393"/>
    <n v="296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11"/>
    <x v="1"/>
    <x v="4"/>
    <x v="1"/>
    <n v="0"/>
    <n v="2E+20"/>
    <n v="0"/>
    <n v="0"/>
    <n v="296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1"/>
    <x v="1"/>
    <x v="5"/>
    <x v="1"/>
    <n v="36.1068670625138"/>
    <n v="2E+20"/>
    <n v="15.392414474786101"/>
    <n v="55.447576173919501"/>
    <n v="296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11"/>
    <x v="1"/>
    <x v="6"/>
    <x v="1"/>
    <n v="13.245673892218299"/>
    <n v="2E+20"/>
    <n v="0"/>
    <n v="61.036472616933501"/>
    <n v="296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12"/>
    <x v="1"/>
    <x v="1"/>
    <x v="1"/>
    <n v="0"/>
    <n v="2E+20"/>
    <n v="0"/>
    <n v="0"/>
    <n v="299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2"/>
    <x v="1"/>
    <x v="2"/>
    <x v="1"/>
    <n v="0"/>
    <n v="2E+20"/>
    <n v="0"/>
    <n v="0"/>
    <n v="299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2"/>
    <x v="1"/>
    <x v="3"/>
    <x v="1"/>
    <n v="42.643288348218498"/>
    <n v="2E+20"/>
    <n v="18.139569883127599"/>
    <n v="86.756271513893793"/>
    <n v="299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12"/>
    <x v="1"/>
    <x v="4"/>
    <x v="1"/>
    <n v="0"/>
    <n v="2E+20"/>
    <n v="0"/>
    <n v="0"/>
    <n v="299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2"/>
    <x v="1"/>
    <x v="5"/>
    <x v="1"/>
    <n v="35.820331311040903"/>
    <n v="2E+20"/>
    <n v="18.139569883127599"/>
    <n v="53.397881108101402"/>
    <n v="299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12"/>
    <x v="1"/>
    <x v="6"/>
    <x v="1"/>
    <n v="13.843981874184401"/>
    <n v="2E+20"/>
    <n v="0"/>
    <n v="105.316749826483"/>
    <n v="299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13"/>
    <x v="1"/>
    <x v="1"/>
    <x v="1"/>
    <n v="0"/>
    <n v="2E+20"/>
    <n v="0"/>
    <n v="0"/>
    <n v="296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3"/>
    <x v="1"/>
    <x v="2"/>
    <x v="1"/>
    <n v="0"/>
    <n v="2E+20"/>
    <n v="0"/>
    <n v="0"/>
    <n v="296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3"/>
    <x v="1"/>
    <x v="3"/>
    <x v="1"/>
    <n v="42.7528545670244"/>
    <n v="2E+20"/>
    <n v="18.8499595700209"/>
    <n v="75.381927513556704"/>
    <n v="296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13"/>
    <x v="1"/>
    <x v="4"/>
    <x v="1"/>
    <n v="0"/>
    <n v="2E+20"/>
    <n v="0"/>
    <n v="0"/>
    <n v="296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3"/>
    <x v="1"/>
    <x v="5"/>
    <x v="1"/>
    <n v="36.642680644444802"/>
    <n v="2E+20"/>
    <n v="18.8499595700209"/>
    <n v="54.211637325966002"/>
    <n v="296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13"/>
    <x v="1"/>
    <x v="6"/>
    <x v="1"/>
    <n v="13.3806420567562"/>
    <n v="2E+20"/>
    <n v="0"/>
    <n v="72.303816858635102"/>
    <n v="296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14"/>
    <x v="1"/>
    <x v="1"/>
    <x v="1"/>
    <n v="0"/>
    <n v="2E+20"/>
    <n v="0"/>
    <n v="0"/>
    <n v="275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4"/>
    <x v="1"/>
    <x v="2"/>
    <x v="1"/>
    <n v="0"/>
    <n v="2E+20"/>
    <n v="0"/>
    <n v="0"/>
    <n v="275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4"/>
    <x v="1"/>
    <x v="3"/>
    <x v="1"/>
    <n v="42.815846828892703"/>
    <n v="2E+20"/>
    <n v="19.754420014121301"/>
    <n v="88.436075266926295"/>
    <n v="275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14"/>
    <x v="1"/>
    <x v="4"/>
    <x v="1"/>
    <n v="0"/>
    <n v="2E+20"/>
    <n v="0"/>
    <n v="0"/>
    <n v="275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4"/>
    <x v="1"/>
    <x v="5"/>
    <x v="1"/>
    <n v="36.2350228590794"/>
    <n v="2E+20"/>
    <n v="19.754420014121301"/>
    <n v="55.612767966617099"/>
    <n v="275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14"/>
    <x v="1"/>
    <x v="6"/>
    <x v="1"/>
    <n v="14.319051591609201"/>
    <n v="2E+20"/>
    <n v="0"/>
    <n v="104.940296586728"/>
    <n v="275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15"/>
    <x v="1"/>
    <x v="1"/>
    <x v="1"/>
    <n v="0"/>
    <n v="2E+20"/>
    <n v="0"/>
    <n v="0"/>
    <n v="277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5"/>
    <x v="1"/>
    <x v="2"/>
    <x v="1"/>
    <n v="0"/>
    <n v="2E+20"/>
    <n v="0"/>
    <n v="0"/>
    <n v="277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5"/>
    <x v="1"/>
    <x v="3"/>
    <x v="1"/>
    <n v="41.920241316613001"/>
    <n v="2E+20"/>
    <n v="20.7463109565449"/>
    <n v="75.744309322086806"/>
    <n v="277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15"/>
    <x v="1"/>
    <x v="4"/>
    <x v="1"/>
    <n v="0"/>
    <n v="2E+20"/>
    <n v="0"/>
    <n v="0"/>
    <n v="277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5"/>
    <x v="1"/>
    <x v="5"/>
    <x v="1"/>
    <n v="35.988885436394298"/>
    <n v="2E+20"/>
    <n v="18.8057141455477"/>
    <n v="56.656575950742798"/>
    <n v="277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15"/>
    <x v="1"/>
    <x v="6"/>
    <x v="1"/>
    <n v="13.7264460039656"/>
    <n v="2E+20"/>
    <n v="0"/>
    <n v="73.054347645858698"/>
    <n v="277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16"/>
    <x v="1"/>
    <x v="1"/>
    <x v="1"/>
    <n v="0"/>
    <n v="2E+20"/>
    <n v="0"/>
    <n v="0"/>
    <n v="280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6"/>
    <x v="1"/>
    <x v="2"/>
    <x v="1"/>
    <n v="0"/>
    <n v="2E+20"/>
    <n v="0"/>
    <n v="0"/>
    <n v="280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6"/>
    <x v="1"/>
    <x v="3"/>
    <x v="1"/>
    <n v="41.9327511647395"/>
    <n v="2E+20"/>
    <n v="19.884120443348799"/>
    <n v="109.278485088034"/>
    <n v="280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16"/>
    <x v="1"/>
    <x v="4"/>
    <x v="1"/>
    <n v="0"/>
    <n v="2E+20"/>
    <n v="0"/>
    <n v="0"/>
    <n v="280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6"/>
    <x v="1"/>
    <x v="5"/>
    <x v="1"/>
    <n v="35.893036711931103"/>
    <n v="2E+20"/>
    <n v="19.884120443348799"/>
    <n v="59.029685998760698"/>
    <n v="280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16"/>
    <x v="1"/>
    <x v="6"/>
    <x v="1"/>
    <n v="14.256677992383899"/>
    <n v="2E+20"/>
    <n v="0"/>
    <n v="180.86047487093799"/>
    <n v="280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17"/>
    <x v="1"/>
    <x v="1"/>
    <x v="1"/>
    <n v="0"/>
    <n v="2E+20"/>
    <n v="0"/>
    <n v="0"/>
    <n v="280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7"/>
    <x v="1"/>
    <x v="2"/>
    <x v="1"/>
    <n v="0"/>
    <n v="2E+20"/>
    <n v="0"/>
    <n v="0"/>
    <n v="280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7"/>
    <x v="1"/>
    <x v="3"/>
    <x v="1"/>
    <n v="41.991100341093599"/>
    <n v="2E+20"/>
    <n v="20.1486636848845"/>
    <n v="71.684309171413105"/>
    <n v="280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17"/>
    <x v="1"/>
    <x v="4"/>
    <x v="1"/>
    <n v="0"/>
    <n v="2E+20"/>
    <n v="0"/>
    <n v="0"/>
    <n v="280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7"/>
    <x v="1"/>
    <x v="5"/>
    <x v="1"/>
    <n v="35.969034551146301"/>
    <n v="2E+20"/>
    <n v="20.1486636848845"/>
    <n v="56.965292683870501"/>
    <n v="280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17"/>
    <x v="1"/>
    <x v="6"/>
    <x v="1"/>
    <n v="13.7113513740437"/>
    <n v="2E+20"/>
    <n v="0"/>
    <n v="75.080613333643896"/>
    <n v="280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18"/>
    <x v="1"/>
    <x v="1"/>
    <x v="1"/>
    <n v="0"/>
    <n v="2E+20"/>
    <n v="0"/>
    <n v="0"/>
    <n v="286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8"/>
    <x v="1"/>
    <x v="2"/>
    <x v="1"/>
    <n v="0"/>
    <n v="2E+20"/>
    <n v="0"/>
    <n v="0"/>
    <n v="286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8"/>
    <x v="1"/>
    <x v="3"/>
    <x v="1"/>
    <n v="42.251478952588897"/>
    <n v="2E+20"/>
    <n v="17.1832177688751"/>
    <n v="82.779770161636904"/>
    <n v="286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18"/>
    <x v="1"/>
    <x v="4"/>
    <x v="1"/>
    <n v="0"/>
    <n v="2E+20"/>
    <n v="0"/>
    <n v="0"/>
    <n v="286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8"/>
    <x v="1"/>
    <x v="5"/>
    <x v="1"/>
    <n v="36.1952056868463"/>
    <n v="2E+20"/>
    <n v="17.1832177688751"/>
    <n v="52.5308074489201"/>
    <n v="286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18"/>
    <x v="1"/>
    <x v="6"/>
    <x v="1"/>
    <n v="13.7042652642552"/>
    <n v="2E+20"/>
    <n v="0"/>
    <n v="83.468426318608195"/>
    <n v="286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19"/>
    <x v="1"/>
    <x v="1"/>
    <x v="1"/>
    <n v="0"/>
    <n v="2E+20"/>
    <n v="0"/>
    <n v="0"/>
    <n v="289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9"/>
    <x v="1"/>
    <x v="2"/>
    <x v="1"/>
    <n v="0"/>
    <n v="2E+20"/>
    <n v="0"/>
    <n v="0"/>
    <n v="289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9"/>
    <x v="1"/>
    <x v="3"/>
    <x v="1"/>
    <n v="42.230750450937101"/>
    <n v="2E+20"/>
    <n v="18.572481691055099"/>
    <n v="76.837395572616103"/>
    <n v="289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19"/>
    <x v="1"/>
    <x v="4"/>
    <x v="1"/>
    <n v="0"/>
    <n v="2E+20"/>
    <n v="0"/>
    <n v="0"/>
    <n v="289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19"/>
    <x v="1"/>
    <x v="5"/>
    <x v="1"/>
    <n v="36.024618536124798"/>
    <n v="2E+20"/>
    <n v="18.572481691055099"/>
    <n v="56.259144722721402"/>
    <n v="289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19"/>
    <x v="1"/>
    <x v="6"/>
    <x v="1"/>
    <n v="13.436718065699599"/>
    <n v="2E+20"/>
    <n v="0"/>
    <n v="78.456930382593399"/>
    <n v="289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20"/>
    <x v="1"/>
    <x v="1"/>
    <x v="1"/>
    <n v="0"/>
    <n v="2E+20"/>
    <n v="0"/>
    <n v="0"/>
    <n v="273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0"/>
    <x v="1"/>
    <x v="2"/>
    <x v="1"/>
    <n v="0"/>
    <n v="2E+20"/>
    <n v="0"/>
    <n v="0"/>
    <n v="273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0"/>
    <x v="1"/>
    <x v="3"/>
    <x v="1"/>
    <n v="42.413860005454303"/>
    <n v="2E+20"/>
    <n v="20.260146316112699"/>
    <n v="92.292763292348695"/>
    <n v="273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20"/>
    <x v="1"/>
    <x v="4"/>
    <x v="1"/>
    <n v="0"/>
    <n v="2E+20"/>
    <n v="0"/>
    <n v="0"/>
    <n v="273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0"/>
    <x v="1"/>
    <x v="5"/>
    <x v="1"/>
    <n v="35.940606656315801"/>
    <n v="2E+20"/>
    <n v="19.498244838433799"/>
    <n v="53.641614654315397"/>
    <n v="273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20"/>
    <x v="1"/>
    <x v="6"/>
    <x v="1"/>
    <n v="14.1693078742964"/>
    <n v="2E+20"/>
    <n v="0"/>
    <n v="91.829722617138401"/>
    <n v="273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21"/>
    <x v="1"/>
    <x v="1"/>
    <x v="1"/>
    <n v="0"/>
    <n v="2E+20"/>
    <n v="0"/>
    <n v="0"/>
    <n v="284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1"/>
    <x v="1"/>
    <x v="2"/>
    <x v="1"/>
    <n v="0"/>
    <n v="2E+20"/>
    <n v="0"/>
    <n v="0"/>
    <n v="284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1"/>
    <x v="1"/>
    <x v="3"/>
    <x v="1"/>
    <n v="42.366604651404302"/>
    <n v="2E+20"/>
    <n v="14.5740602771757"/>
    <n v="69.662374841021105"/>
    <n v="284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21"/>
    <x v="1"/>
    <x v="4"/>
    <x v="1"/>
    <n v="0"/>
    <n v="2E+20"/>
    <n v="0"/>
    <n v="0"/>
    <n v="284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1"/>
    <x v="1"/>
    <x v="5"/>
    <x v="1"/>
    <n v="36.127476797005698"/>
    <n v="2E+20"/>
    <n v="14.5740602771757"/>
    <n v="52.703281877830896"/>
    <n v="284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21"/>
    <x v="1"/>
    <x v="6"/>
    <x v="1"/>
    <n v="13.3810379002655"/>
    <n v="2E+20"/>
    <n v="0"/>
    <n v="63.5134741093093"/>
    <n v="284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22"/>
    <x v="1"/>
    <x v="1"/>
    <x v="1"/>
    <n v="0"/>
    <n v="2E+20"/>
    <n v="0"/>
    <n v="0"/>
    <n v="283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2"/>
    <x v="1"/>
    <x v="2"/>
    <x v="1"/>
    <n v="0"/>
    <n v="2E+20"/>
    <n v="0"/>
    <n v="0"/>
    <n v="283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2"/>
    <x v="1"/>
    <x v="3"/>
    <x v="1"/>
    <n v="42.484204561310698"/>
    <n v="2E+20"/>
    <n v="18.107448726777399"/>
    <n v="79.241098892283802"/>
    <n v="283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22"/>
    <x v="1"/>
    <x v="4"/>
    <x v="1"/>
    <n v="0"/>
    <n v="2E+20"/>
    <n v="0"/>
    <n v="0"/>
    <n v="283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2"/>
    <x v="1"/>
    <x v="5"/>
    <x v="1"/>
    <n v="36.373908324687598"/>
    <n v="2E+20"/>
    <n v="18.107448726777399"/>
    <n v="53.624332529453604"/>
    <n v="283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22"/>
    <x v="1"/>
    <x v="6"/>
    <x v="1"/>
    <n v="13.3632633143595"/>
    <n v="2E+20"/>
    <n v="0"/>
    <n v="88.436668895562704"/>
    <n v="283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23"/>
    <x v="1"/>
    <x v="1"/>
    <x v="1"/>
    <n v="0"/>
    <n v="2E+20"/>
    <n v="0"/>
    <n v="0"/>
    <n v="280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3"/>
    <x v="1"/>
    <x v="2"/>
    <x v="1"/>
    <n v="0"/>
    <n v="2E+20"/>
    <n v="0"/>
    <n v="0"/>
    <n v="280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3"/>
    <x v="1"/>
    <x v="3"/>
    <x v="1"/>
    <n v="41.864642028230598"/>
    <n v="2E+20"/>
    <n v="17.9494189997231"/>
    <n v="74.810423352549606"/>
    <n v="280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23"/>
    <x v="1"/>
    <x v="4"/>
    <x v="1"/>
    <n v="0"/>
    <n v="2E+20"/>
    <n v="0"/>
    <n v="0"/>
    <n v="280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3"/>
    <x v="1"/>
    <x v="5"/>
    <x v="1"/>
    <n v="35.802150566011598"/>
    <n v="2E+20"/>
    <n v="17.2770794775975"/>
    <n v="53.4332832449645"/>
    <n v="280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23"/>
    <x v="1"/>
    <x v="6"/>
    <x v="1"/>
    <n v="13.6763311799081"/>
    <n v="2E+20"/>
    <n v="0"/>
    <n v="78.609040049624497"/>
    <n v="280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24"/>
    <x v="1"/>
    <x v="1"/>
    <x v="1"/>
    <n v="0"/>
    <n v="2E+20"/>
    <n v="0"/>
    <n v="0"/>
    <n v="291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4"/>
    <x v="1"/>
    <x v="2"/>
    <x v="1"/>
    <n v="0"/>
    <n v="2E+20"/>
    <n v="0"/>
    <n v="0"/>
    <n v="291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4"/>
    <x v="1"/>
    <x v="3"/>
    <x v="1"/>
    <n v="43.023556428397399"/>
    <n v="2E+20"/>
    <n v="15.529317608629301"/>
    <n v="101.053920186113"/>
    <n v="291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24"/>
    <x v="1"/>
    <x v="4"/>
    <x v="1"/>
    <n v="0"/>
    <n v="2E+20"/>
    <n v="0"/>
    <n v="0"/>
    <n v="291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4"/>
    <x v="1"/>
    <x v="5"/>
    <x v="1"/>
    <n v="36.491995373236797"/>
    <n v="2E+20"/>
    <n v="15.529317608629301"/>
    <n v="51.918456555373297"/>
    <n v="291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24"/>
    <x v="1"/>
    <x v="6"/>
    <x v="1"/>
    <n v="13.864202822477299"/>
    <n v="2E+20"/>
    <n v="0"/>
    <n v="111.42459066244599"/>
    <n v="291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25"/>
    <x v="1"/>
    <x v="1"/>
    <x v="1"/>
    <n v="0"/>
    <n v="2E+20"/>
    <n v="0"/>
    <n v="0"/>
    <n v="302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5"/>
    <x v="1"/>
    <x v="2"/>
    <x v="1"/>
    <n v="0"/>
    <n v="2E+20"/>
    <n v="0"/>
    <n v="0"/>
    <n v="302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5"/>
    <x v="1"/>
    <x v="3"/>
    <x v="1"/>
    <n v="41.278037848851099"/>
    <n v="2E+20"/>
    <n v="21.356997215153999"/>
    <n v="83.170898626337006"/>
    <n v="302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25"/>
    <x v="1"/>
    <x v="4"/>
    <x v="1"/>
    <n v="0"/>
    <n v="2E+20"/>
    <n v="0"/>
    <n v="0"/>
    <n v="302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5"/>
    <x v="1"/>
    <x v="5"/>
    <x v="1"/>
    <n v="35.531102524576298"/>
    <n v="2E+20"/>
    <n v="19.755083445415799"/>
    <n v="55.363753473801999"/>
    <n v="302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25"/>
    <x v="1"/>
    <x v="6"/>
    <x v="1"/>
    <n v="12.598242749972901"/>
    <n v="2E+20"/>
    <n v="0"/>
    <n v="88.878516151092498"/>
    <n v="302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26"/>
    <x v="1"/>
    <x v="1"/>
    <x v="1"/>
    <n v="0"/>
    <n v="2E+20"/>
    <n v="0"/>
    <n v="0"/>
    <n v="272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6"/>
    <x v="1"/>
    <x v="2"/>
    <x v="1"/>
    <n v="0"/>
    <n v="2E+20"/>
    <n v="0"/>
    <n v="0"/>
    <n v="272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6"/>
    <x v="1"/>
    <x v="3"/>
    <x v="1"/>
    <n v="42.020744016487797"/>
    <n v="2E+20"/>
    <n v="21.047821382680699"/>
    <n v="76.636027817328596"/>
    <n v="272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26"/>
    <x v="1"/>
    <x v="4"/>
    <x v="1"/>
    <n v="0"/>
    <n v="2E+20"/>
    <n v="0"/>
    <n v="0"/>
    <n v="272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6"/>
    <x v="1"/>
    <x v="5"/>
    <x v="1"/>
    <n v="36.078826089998898"/>
    <n v="2E+20"/>
    <n v="19.894842986504401"/>
    <n v="56.328428947159203"/>
    <n v="272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26"/>
    <x v="1"/>
    <x v="6"/>
    <x v="1"/>
    <n v="13.742897245293999"/>
    <n v="2E+20"/>
    <n v="0"/>
    <n v="69.381624451833204"/>
    <n v="272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27"/>
    <x v="1"/>
    <x v="1"/>
    <x v="1"/>
    <n v="0"/>
    <n v="2E+20"/>
    <n v="0"/>
    <n v="0"/>
    <n v="270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7"/>
    <x v="1"/>
    <x v="2"/>
    <x v="1"/>
    <n v="0"/>
    <n v="2E+20"/>
    <n v="0"/>
    <n v="0"/>
    <n v="270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7"/>
    <x v="1"/>
    <x v="3"/>
    <x v="1"/>
    <n v="41.409559215413303"/>
    <n v="2E+20"/>
    <n v="16.529084906126201"/>
    <n v="73.974376564166107"/>
    <n v="270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27"/>
    <x v="1"/>
    <x v="4"/>
    <x v="1"/>
    <n v="0"/>
    <n v="2E+20"/>
    <n v="0"/>
    <n v="0"/>
    <n v="270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7"/>
    <x v="1"/>
    <x v="5"/>
    <x v="1"/>
    <n v="35.637415870958897"/>
    <n v="2E+20"/>
    <n v="16.319964880775199"/>
    <n v="59.774077085699403"/>
    <n v="270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27"/>
    <x v="1"/>
    <x v="6"/>
    <x v="1"/>
    <n v="13.4078903860411"/>
    <n v="2E+20"/>
    <n v="0"/>
    <n v="67.736201886535497"/>
    <n v="270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28"/>
    <x v="1"/>
    <x v="1"/>
    <x v="1"/>
    <n v="0"/>
    <n v="2E+20"/>
    <n v="0"/>
    <n v="0"/>
    <n v="267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8"/>
    <x v="1"/>
    <x v="2"/>
    <x v="1"/>
    <n v="0"/>
    <n v="2E+20"/>
    <n v="0"/>
    <n v="0"/>
    <n v="267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8"/>
    <x v="1"/>
    <x v="3"/>
    <x v="1"/>
    <n v="42.8742711693546"/>
    <n v="2E+20"/>
    <n v="21.047762871578499"/>
    <n v="82.698907441322504"/>
    <n v="267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28"/>
    <x v="1"/>
    <x v="4"/>
    <x v="1"/>
    <n v="0"/>
    <n v="2E+20"/>
    <n v="0"/>
    <n v="0"/>
    <n v="267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8"/>
    <x v="1"/>
    <x v="5"/>
    <x v="1"/>
    <n v="36.373358120192002"/>
    <n v="2E+20"/>
    <n v="21.047762871578499"/>
    <n v="51.476014589677"/>
    <n v="267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28"/>
    <x v="1"/>
    <x v="6"/>
    <x v="1"/>
    <n v="13.9647391446101"/>
    <n v="2E+20"/>
    <n v="0"/>
    <n v="87.118291032804194"/>
    <n v="267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29"/>
    <x v="1"/>
    <x v="1"/>
    <x v="1"/>
    <n v="0"/>
    <n v="2E+20"/>
    <n v="0"/>
    <n v="0"/>
    <n v="305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9"/>
    <x v="1"/>
    <x v="2"/>
    <x v="1"/>
    <n v="0"/>
    <n v="2E+20"/>
    <n v="0"/>
    <n v="0"/>
    <n v="305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9"/>
    <x v="1"/>
    <x v="3"/>
    <x v="1"/>
    <n v="42.163432896656701"/>
    <n v="2E+20"/>
    <n v="19.036252073657401"/>
    <n v="72.224012180245794"/>
    <n v="305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29"/>
    <x v="1"/>
    <x v="4"/>
    <x v="1"/>
    <n v="0"/>
    <n v="2E+20"/>
    <n v="0"/>
    <n v="0"/>
    <n v="305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29"/>
    <x v="1"/>
    <x v="5"/>
    <x v="1"/>
    <n v="36.188759381521102"/>
    <n v="2E+20"/>
    <n v="17.264322416714801"/>
    <n v="57.194098287968899"/>
    <n v="305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29"/>
    <x v="1"/>
    <x v="6"/>
    <x v="1"/>
    <n v="12.7746087327083"/>
    <n v="2E+20"/>
    <n v="0"/>
    <n v="82.851356611276699"/>
    <n v="305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30"/>
    <x v="1"/>
    <x v="1"/>
    <x v="1"/>
    <n v="0"/>
    <n v="2E+20"/>
    <n v="0"/>
    <n v="0"/>
    <n v="270"/>
    <s v="Unnamed ProjectCustomerNVA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30"/>
    <x v="1"/>
    <x v="2"/>
    <x v="1"/>
    <n v="0"/>
    <n v="2E+20"/>
    <n v="0"/>
    <n v="0"/>
    <n v="270"/>
    <s v="Unnamed ProjectCustomerOth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30"/>
    <x v="1"/>
    <x v="3"/>
    <x v="1"/>
    <n v="42.420428929815202"/>
    <n v="2E+20"/>
    <n v="22.019452018570899"/>
    <n v="75.935977692423904"/>
    <n v="270"/>
    <s v="Unnamed ProjectCustomerTotal TimeEntity"/>
    <n v="30"/>
    <n v="42.144608162589741"/>
    <n v="0.50689760716925758"/>
    <n v="0.95"/>
    <n v="0.18927867722499744"/>
    <n v="41.266839452854697"/>
    <n v="43.261092257362002"/>
    <n v="14.356812659243699"/>
    <n v="109.278485088034"/>
    <n v="285.3"/>
    <n v="0.18927867722499744"/>
    <n v="30"/>
    <n v="1"/>
  </r>
  <r>
    <x v="0"/>
    <s v="2025-05-26 16:22:20"/>
    <n v="30"/>
    <x v="1"/>
    <x v="4"/>
    <x v="1"/>
    <n v="0"/>
    <n v="2E+20"/>
    <n v="0"/>
    <n v="0"/>
    <n v="270"/>
    <s v="Unnamed ProjectCustomerTransfer TimeEntity"/>
    <n v="30"/>
    <n v="0"/>
    <n v="0"/>
    <n v="0.95"/>
    <n v="0"/>
    <n v="0"/>
    <n v="0"/>
    <n v="0"/>
    <n v="0"/>
    <n v="285.3"/>
    <n v="0"/>
    <n v="30"/>
    <n v="1"/>
  </r>
  <r>
    <x v="0"/>
    <s v="2025-05-26 16:22:20"/>
    <n v="30"/>
    <x v="1"/>
    <x v="5"/>
    <x v="1"/>
    <n v="36.033343428145599"/>
    <n v="2E+20"/>
    <n v="21.048270490406601"/>
    <n v="53.195115314238599"/>
    <n v="270"/>
    <s v="Unnamed ProjectCustomerVA TimeEntity"/>
    <n v="30"/>
    <n v="36.00428777459642"/>
    <n v="0.34275969383872451"/>
    <n v="0.95"/>
    <n v="0.12798857311270725"/>
    <n v="35.158236096727201"/>
    <n v="36.707690403515898"/>
    <n v="14.2518779052622"/>
    <n v="59.774077085699403"/>
    <n v="285.3"/>
    <n v="0.12798857311270725"/>
    <n v="30"/>
    <n v="1"/>
  </r>
  <r>
    <x v="0"/>
    <s v="2025-05-26 16:22:20"/>
    <n v="30"/>
    <x v="1"/>
    <x v="6"/>
    <x v="1"/>
    <n v="14.0367881895269"/>
    <n v="2E+20"/>
    <n v="0"/>
    <n v="79.647033917249502"/>
    <n v="270"/>
    <s v="Unnamed ProjectCustomerWait TimeEntity"/>
    <n v="30"/>
    <n v="13.621559896422417"/>
    <n v="0.39651575913774295"/>
    <n v="0.95"/>
    <n v="0.14806141778332987"/>
    <n v="12.598242749972901"/>
    <n v="14.319051591609201"/>
    <n v="0"/>
    <n v="180.86047487093799"/>
    <n v="285.3"/>
    <n v="0.14806141778332987"/>
    <n v="30"/>
    <n v="1"/>
  </r>
  <r>
    <x v="0"/>
    <s v="2025-05-26 16:22:20"/>
    <n v="1"/>
    <x v="2"/>
    <x v="0"/>
    <x v="0"/>
    <n v="1.6619984355859001"/>
    <n v="2E+20"/>
    <n v="0"/>
    <n v="15.940328295319899"/>
    <n v="286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2"/>
    <x v="2"/>
    <x v="0"/>
    <x v="0"/>
    <n v="1.0693593599656801"/>
    <n v="2E+20"/>
    <n v="0"/>
    <n v="9.9658446658779702"/>
    <n v="292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3"/>
    <x v="2"/>
    <x v="0"/>
    <x v="0"/>
    <n v="1.42058942420927"/>
    <n v="2E+20"/>
    <n v="0"/>
    <n v="11.9801343005565"/>
    <n v="282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4"/>
    <x v="2"/>
    <x v="0"/>
    <x v="0"/>
    <n v="1.6839193562913699"/>
    <n v="2E+20"/>
    <n v="0"/>
    <n v="11.8676377184033"/>
    <n v="312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5"/>
    <x v="2"/>
    <x v="0"/>
    <x v="0"/>
    <n v="2.12227338288143"/>
    <n v="2E+20"/>
    <n v="0"/>
    <n v="18.744949050386101"/>
    <n v="287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6"/>
    <x v="2"/>
    <x v="0"/>
    <x v="0"/>
    <n v="2.1285453504012799"/>
    <n v="0.90439126344018905"/>
    <n v="0"/>
    <n v="19.573636820365799"/>
    <n v="320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7"/>
    <x v="2"/>
    <x v="0"/>
    <x v="0"/>
    <n v="1.0108895958150601"/>
    <n v="2E+20"/>
    <n v="0"/>
    <n v="13.4625378282042"/>
    <n v="264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8"/>
    <x v="2"/>
    <x v="0"/>
    <x v="0"/>
    <n v="1.1507743408261"/>
    <n v="2E+20"/>
    <n v="0"/>
    <n v="15.5741257187392"/>
    <n v="284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9"/>
    <x v="2"/>
    <x v="0"/>
    <x v="0"/>
    <n v="1.27237517108077"/>
    <n v="2E+20"/>
    <n v="0"/>
    <n v="19.299840662535001"/>
    <n v="288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10"/>
    <x v="2"/>
    <x v="0"/>
    <x v="0"/>
    <n v="0.87993622398139104"/>
    <n v="2E+20"/>
    <n v="0"/>
    <n v="13.5072680300946"/>
    <n v="276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11"/>
    <x v="2"/>
    <x v="0"/>
    <x v="0"/>
    <n v="1.3500974275627"/>
    <n v="2E+20"/>
    <n v="0"/>
    <n v="16.1775625413974"/>
    <n v="294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12"/>
    <x v="2"/>
    <x v="0"/>
    <x v="0"/>
    <n v="2.2729191308574102"/>
    <n v="2E+20"/>
    <n v="0"/>
    <n v="30.239944815467201"/>
    <n v="298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13"/>
    <x v="2"/>
    <x v="0"/>
    <x v="0"/>
    <n v="1.5227764003301101"/>
    <n v="2E+20"/>
    <n v="0"/>
    <n v="14.6882613117575"/>
    <n v="296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14"/>
    <x v="2"/>
    <x v="0"/>
    <x v="0"/>
    <n v="1.46295885959034"/>
    <n v="2E+20"/>
    <n v="0"/>
    <n v="16.346443748805999"/>
    <n v="276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15"/>
    <x v="2"/>
    <x v="0"/>
    <x v="0"/>
    <n v="1.0709567024111399"/>
    <n v="2E+20"/>
    <n v="0"/>
    <n v="10.938009870856799"/>
    <n v="276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16"/>
    <x v="2"/>
    <x v="0"/>
    <x v="0"/>
    <n v="1.0406448582160801"/>
    <n v="2E+20"/>
    <n v="0"/>
    <n v="18.5359659997489"/>
    <n v="278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17"/>
    <x v="2"/>
    <x v="0"/>
    <x v="0"/>
    <n v="1.18619677773414"/>
    <n v="2E+20"/>
    <n v="0"/>
    <n v="12.2160405194674"/>
    <n v="282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18"/>
    <x v="2"/>
    <x v="0"/>
    <x v="0"/>
    <n v="1.14299021167214"/>
    <n v="2E+20"/>
    <n v="0"/>
    <n v="16.430756591376401"/>
    <n v="288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19"/>
    <x v="2"/>
    <x v="0"/>
    <x v="0"/>
    <n v="1.32383638741868"/>
    <n v="2E+20"/>
    <n v="0"/>
    <n v="12.393086047443401"/>
    <n v="292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20"/>
    <x v="2"/>
    <x v="0"/>
    <x v="0"/>
    <n v="1.5344872270883301"/>
    <n v="2E+20"/>
    <n v="0"/>
    <n v="22.448705282420502"/>
    <n v="272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21"/>
    <x v="2"/>
    <x v="0"/>
    <x v="0"/>
    <n v="1.60559969481326"/>
    <n v="2E+20"/>
    <n v="0"/>
    <n v="17.8207877466082"/>
    <n v="284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22"/>
    <x v="2"/>
    <x v="0"/>
    <x v="0"/>
    <n v="1.56865952352167"/>
    <n v="2E+20"/>
    <n v="0"/>
    <n v="17.928957147730699"/>
    <n v="282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23"/>
    <x v="2"/>
    <x v="0"/>
    <x v="0"/>
    <n v="1.38515309915617"/>
    <n v="2E+20"/>
    <n v="0"/>
    <n v="15.5029790722137"/>
    <n v="280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24"/>
    <x v="2"/>
    <x v="0"/>
    <x v="0"/>
    <n v="1.8580084211308601"/>
    <n v="2E+20"/>
    <n v="0"/>
    <n v="15.7736327561877"/>
    <n v="296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25"/>
    <x v="2"/>
    <x v="0"/>
    <x v="0"/>
    <n v="1.50490047423587"/>
    <n v="2E+20"/>
    <n v="0"/>
    <n v="15.8542289769572"/>
    <n v="300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26"/>
    <x v="2"/>
    <x v="0"/>
    <x v="0"/>
    <n v="0.87405579377787401"/>
    <n v="2E+20"/>
    <n v="0"/>
    <n v="7.7673034509114096"/>
    <n v="274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27"/>
    <x v="2"/>
    <x v="0"/>
    <x v="0"/>
    <n v="0.62370245189172402"/>
    <n v="2E+20"/>
    <n v="0"/>
    <n v="10.672104265055699"/>
    <n v="272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28"/>
    <x v="2"/>
    <x v="0"/>
    <x v="0"/>
    <n v="1.3048351468484001"/>
    <n v="2E+20"/>
    <n v="0"/>
    <n v="13.008607007238499"/>
    <n v="267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29"/>
    <x v="2"/>
    <x v="0"/>
    <x v="0"/>
    <n v="1.6213994087561701"/>
    <n v="2E+20"/>
    <n v="0"/>
    <n v="17.690941070085699"/>
    <n v="302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30"/>
    <x v="2"/>
    <x v="0"/>
    <x v="0"/>
    <n v="1.2952713328415599"/>
    <n v="2E+20"/>
    <n v="0"/>
    <n v="15.0145000901957"/>
    <n v="270"/>
    <s v="Unnamed ProjectFood_Preparation.QueueWaiting TimeQueue"/>
    <n v="30"/>
    <n v="1.3983369990297625"/>
    <n v="0.38093512277159397"/>
    <n v="0.95"/>
    <n v="0.14224351254961343"/>
    <n v="0.62370245189172402"/>
    <n v="2.2729191308574102"/>
    <n v="0"/>
    <n v="30.239944815467201"/>
    <n v="285.66666666666669"/>
    <n v="0.14224351254961343"/>
    <n v="30"/>
    <n v="1"/>
  </r>
  <r>
    <x v="0"/>
    <s v="2025-05-26 16:22:20"/>
    <n v="1"/>
    <x v="3"/>
    <x v="0"/>
    <x v="0"/>
    <n v="0"/>
    <n v="0"/>
    <n v="0"/>
    <n v="0"/>
    <n v="355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2"/>
    <x v="3"/>
    <x v="0"/>
    <x v="0"/>
    <n v="0"/>
    <n v="0"/>
    <n v="0"/>
    <n v="0"/>
    <n v="337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3"/>
    <x v="3"/>
    <x v="0"/>
    <x v="0"/>
    <n v="0"/>
    <n v="0"/>
    <n v="0"/>
    <n v="0"/>
    <n v="353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4"/>
    <x v="3"/>
    <x v="0"/>
    <x v="0"/>
    <n v="0"/>
    <n v="0"/>
    <n v="0"/>
    <n v="0"/>
    <n v="396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5"/>
    <x v="3"/>
    <x v="0"/>
    <x v="0"/>
    <n v="0"/>
    <n v="0"/>
    <n v="0"/>
    <n v="0"/>
    <n v="353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6"/>
    <x v="3"/>
    <x v="0"/>
    <x v="0"/>
    <n v="0"/>
    <n v="0"/>
    <n v="0"/>
    <n v="0"/>
    <n v="393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7"/>
    <x v="3"/>
    <x v="0"/>
    <x v="0"/>
    <n v="0"/>
    <n v="2E+20"/>
    <n v="0"/>
    <n v="0"/>
    <n v="315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8"/>
    <x v="3"/>
    <x v="0"/>
    <x v="0"/>
    <n v="0"/>
    <n v="0"/>
    <n v="0"/>
    <n v="0"/>
    <n v="344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9"/>
    <x v="3"/>
    <x v="0"/>
    <x v="0"/>
    <n v="0"/>
    <n v="0"/>
    <n v="0"/>
    <n v="0"/>
    <n v="342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10"/>
    <x v="3"/>
    <x v="0"/>
    <x v="0"/>
    <n v="0"/>
    <n v="0"/>
    <n v="0"/>
    <n v="0"/>
    <n v="323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11"/>
    <x v="3"/>
    <x v="0"/>
    <x v="0"/>
    <n v="0"/>
    <n v="0"/>
    <n v="0"/>
    <n v="0"/>
    <n v="341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12"/>
    <x v="3"/>
    <x v="0"/>
    <x v="0"/>
    <n v="0"/>
    <n v="0"/>
    <n v="0"/>
    <n v="0"/>
    <n v="339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13"/>
    <x v="3"/>
    <x v="0"/>
    <x v="0"/>
    <n v="0"/>
    <n v="0"/>
    <n v="0"/>
    <n v="0"/>
    <n v="358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14"/>
    <x v="3"/>
    <x v="0"/>
    <x v="0"/>
    <n v="0"/>
    <n v="0"/>
    <n v="0"/>
    <n v="0"/>
    <n v="327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15"/>
    <x v="3"/>
    <x v="0"/>
    <x v="0"/>
    <n v="0"/>
    <n v="0"/>
    <n v="0"/>
    <n v="0"/>
    <n v="344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16"/>
    <x v="3"/>
    <x v="0"/>
    <x v="0"/>
    <n v="0"/>
    <n v="0"/>
    <n v="0"/>
    <n v="0"/>
    <n v="333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17"/>
    <x v="3"/>
    <x v="0"/>
    <x v="0"/>
    <n v="0"/>
    <n v="0"/>
    <n v="0"/>
    <n v="0"/>
    <n v="338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18"/>
    <x v="3"/>
    <x v="0"/>
    <x v="0"/>
    <n v="0"/>
    <n v="0"/>
    <n v="0"/>
    <n v="0"/>
    <n v="340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19"/>
    <x v="3"/>
    <x v="0"/>
    <x v="0"/>
    <n v="0"/>
    <n v="0"/>
    <n v="0"/>
    <n v="0"/>
    <n v="367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20"/>
    <x v="3"/>
    <x v="0"/>
    <x v="0"/>
    <n v="0"/>
    <n v="0"/>
    <n v="0"/>
    <n v="0"/>
    <n v="323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21"/>
    <x v="3"/>
    <x v="0"/>
    <x v="0"/>
    <n v="0"/>
    <n v="0"/>
    <n v="0"/>
    <n v="0"/>
    <n v="338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22"/>
    <x v="3"/>
    <x v="0"/>
    <x v="0"/>
    <n v="0"/>
    <n v="0"/>
    <n v="0"/>
    <n v="0"/>
    <n v="334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23"/>
    <x v="3"/>
    <x v="0"/>
    <x v="0"/>
    <n v="0"/>
    <n v="2E+20"/>
    <n v="0"/>
    <n v="0"/>
    <n v="311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24"/>
    <x v="3"/>
    <x v="0"/>
    <x v="0"/>
    <n v="0"/>
    <n v="0"/>
    <n v="0"/>
    <n v="0"/>
    <n v="371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25"/>
    <x v="3"/>
    <x v="0"/>
    <x v="0"/>
    <n v="0"/>
    <n v="0"/>
    <n v="0"/>
    <n v="0"/>
    <n v="374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26"/>
    <x v="3"/>
    <x v="0"/>
    <x v="0"/>
    <n v="0"/>
    <n v="0"/>
    <n v="0"/>
    <n v="0"/>
    <n v="344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27"/>
    <x v="3"/>
    <x v="0"/>
    <x v="0"/>
    <n v="0"/>
    <n v="0"/>
    <n v="0"/>
    <n v="0"/>
    <n v="327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28"/>
    <x v="3"/>
    <x v="0"/>
    <x v="0"/>
    <n v="0"/>
    <n v="2E+20"/>
    <n v="0"/>
    <n v="0"/>
    <n v="314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29"/>
    <x v="3"/>
    <x v="0"/>
    <x v="0"/>
    <n v="0"/>
    <n v="0"/>
    <n v="0"/>
    <n v="0"/>
    <n v="378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30"/>
    <x v="3"/>
    <x v="0"/>
    <x v="0"/>
    <n v="0"/>
    <n v="0"/>
    <n v="0"/>
    <n v="0"/>
    <n v="326"/>
    <s v="Unnamed ProjectInside_Table_Standing.QueueWaiting TimeQueue"/>
    <n v="30"/>
    <n v="0"/>
    <n v="0"/>
    <n v="0.95"/>
    <n v="0"/>
    <n v="0"/>
    <n v="0"/>
    <n v="0"/>
    <n v="0"/>
    <n v="344.6"/>
    <n v="0"/>
    <n v="30"/>
    <n v="1"/>
  </r>
  <r>
    <x v="0"/>
    <s v="2025-05-26 16:22:20"/>
    <n v="1"/>
    <x v="4"/>
    <x v="0"/>
    <x v="0"/>
    <n v="0"/>
    <n v="2E+20"/>
    <n v="0"/>
    <n v="0"/>
    <n v="301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"/>
    <x v="4"/>
    <x v="0"/>
    <x v="0"/>
    <n v="0"/>
    <n v="2E+20"/>
    <n v="0"/>
    <n v="0"/>
    <n v="304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3"/>
    <x v="4"/>
    <x v="0"/>
    <x v="0"/>
    <n v="0"/>
    <n v="2E+20"/>
    <n v="0"/>
    <n v="0"/>
    <n v="296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4"/>
    <x v="4"/>
    <x v="0"/>
    <x v="0"/>
    <n v="0"/>
    <n v="0"/>
    <n v="0"/>
    <n v="0"/>
    <n v="339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5"/>
    <x v="4"/>
    <x v="0"/>
    <x v="0"/>
    <n v="0"/>
    <n v="2E+20"/>
    <n v="0"/>
    <n v="0"/>
    <n v="312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6"/>
    <x v="4"/>
    <x v="0"/>
    <x v="0"/>
    <n v="0"/>
    <n v="0"/>
    <n v="0"/>
    <n v="0"/>
    <n v="330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7"/>
    <x v="4"/>
    <x v="0"/>
    <x v="0"/>
    <n v="0"/>
    <n v="2E+20"/>
    <n v="0"/>
    <n v="0"/>
    <n v="282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8"/>
    <x v="4"/>
    <x v="0"/>
    <x v="0"/>
    <n v="0"/>
    <n v="2E+20"/>
    <n v="0"/>
    <n v="0"/>
    <n v="290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9"/>
    <x v="4"/>
    <x v="0"/>
    <x v="0"/>
    <n v="0"/>
    <n v="2E+20"/>
    <n v="0"/>
    <n v="0"/>
    <n v="297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0"/>
    <x v="4"/>
    <x v="0"/>
    <x v="0"/>
    <n v="0"/>
    <n v="2E+20"/>
    <n v="0"/>
    <n v="0"/>
    <n v="277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1"/>
    <x v="4"/>
    <x v="0"/>
    <x v="0"/>
    <n v="0"/>
    <n v="2E+20"/>
    <n v="0"/>
    <n v="0"/>
    <n v="294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2"/>
    <x v="4"/>
    <x v="0"/>
    <x v="0"/>
    <n v="0"/>
    <n v="2E+20"/>
    <n v="0"/>
    <n v="0"/>
    <n v="280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3"/>
    <x v="4"/>
    <x v="0"/>
    <x v="0"/>
    <n v="0"/>
    <n v="2E+20"/>
    <n v="0"/>
    <n v="0"/>
    <n v="306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4"/>
    <x v="4"/>
    <x v="0"/>
    <x v="0"/>
    <n v="0"/>
    <n v="2E+20"/>
    <n v="0"/>
    <n v="0"/>
    <n v="295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5"/>
    <x v="4"/>
    <x v="0"/>
    <x v="0"/>
    <n v="0"/>
    <n v="2E+20"/>
    <n v="0"/>
    <n v="0"/>
    <n v="310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6"/>
    <x v="4"/>
    <x v="0"/>
    <x v="0"/>
    <n v="0"/>
    <n v="2E+20"/>
    <n v="0"/>
    <n v="0"/>
    <n v="293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7"/>
    <x v="4"/>
    <x v="0"/>
    <x v="0"/>
    <n v="0"/>
    <n v="2E+20"/>
    <n v="0"/>
    <n v="0"/>
    <n v="306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8"/>
    <x v="4"/>
    <x v="0"/>
    <x v="0"/>
    <n v="0"/>
    <n v="2E+20"/>
    <n v="0"/>
    <n v="0"/>
    <n v="301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9"/>
    <x v="4"/>
    <x v="0"/>
    <x v="0"/>
    <n v="0"/>
    <n v="2E+20"/>
    <n v="0"/>
    <n v="0"/>
    <n v="315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0"/>
    <x v="4"/>
    <x v="0"/>
    <x v="0"/>
    <n v="0"/>
    <n v="2E+20"/>
    <n v="0"/>
    <n v="0"/>
    <n v="277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1"/>
    <x v="4"/>
    <x v="0"/>
    <x v="0"/>
    <n v="0"/>
    <n v="2E+20"/>
    <n v="0"/>
    <n v="0"/>
    <n v="284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2"/>
    <x v="4"/>
    <x v="0"/>
    <x v="0"/>
    <n v="0"/>
    <n v="2E+20"/>
    <n v="0"/>
    <n v="0"/>
    <n v="280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3"/>
    <x v="4"/>
    <x v="0"/>
    <x v="0"/>
    <n v="0"/>
    <n v="2E+20"/>
    <n v="0"/>
    <n v="0"/>
    <n v="269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4"/>
    <x v="4"/>
    <x v="0"/>
    <x v="0"/>
    <n v="0"/>
    <n v="0"/>
    <n v="0"/>
    <n v="0"/>
    <n v="331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5"/>
    <x v="4"/>
    <x v="0"/>
    <x v="0"/>
    <n v="0"/>
    <n v="2E+20"/>
    <n v="0"/>
    <n v="0"/>
    <n v="311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6"/>
    <x v="4"/>
    <x v="0"/>
    <x v="0"/>
    <n v="0"/>
    <n v="2E+20"/>
    <n v="0"/>
    <n v="0"/>
    <n v="301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7"/>
    <x v="4"/>
    <x v="0"/>
    <x v="0"/>
    <n v="0"/>
    <n v="2E+20"/>
    <n v="0"/>
    <n v="0"/>
    <n v="288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8"/>
    <x v="4"/>
    <x v="0"/>
    <x v="0"/>
    <n v="0"/>
    <n v="2E+20"/>
    <n v="0"/>
    <n v="0"/>
    <n v="270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9"/>
    <x v="4"/>
    <x v="0"/>
    <x v="0"/>
    <n v="0"/>
    <n v="2E+20"/>
    <n v="0"/>
    <n v="0"/>
    <n v="318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30"/>
    <x v="4"/>
    <x v="0"/>
    <x v="0"/>
    <n v="0"/>
    <n v="2E+20"/>
    <n v="0"/>
    <n v="0"/>
    <n v="278"/>
    <s v="Unnamed ProjectInside_Table_Waiting_QueueWaiting TimeQueue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"/>
    <x v="5"/>
    <x v="7"/>
    <x v="2"/>
    <n v="0"/>
    <n v="2E+20"/>
    <n v="0"/>
    <n v="0"/>
    <n v="301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"/>
    <x v="5"/>
    <x v="7"/>
    <x v="2"/>
    <n v="0"/>
    <n v="2E+20"/>
    <n v="0"/>
    <n v="0"/>
    <n v="304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3"/>
    <x v="5"/>
    <x v="7"/>
    <x v="2"/>
    <n v="0"/>
    <n v="2E+20"/>
    <n v="0"/>
    <n v="0"/>
    <n v="296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4"/>
    <x v="5"/>
    <x v="7"/>
    <x v="2"/>
    <n v="0"/>
    <n v="0"/>
    <n v="0"/>
    <n v="0"/>
    <n v="339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5"/>
    <x v="5"/>
    <x v="7"/>
    <x v="2"/>
    <n v="0"/>
    <n v="2E+20"/>
    <n v="0"/>
    <n v="0"/>
    <n v="312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6"/>
    <x v="5"/>
    <x v="7"/>
    <x v="2"/>
    <n v="0"/>
    <n v="0"/>
    <n v="0"/>
    <n v="0"/>
    <n v="330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7"/>
    <x v="5"/>
    <x v="7"/>
    <x v="2"/>
    <n v="0"/>
    <n v="2E+20"/>
    <n v="0"/>
    <n v="0"/>
    <n v="282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8"/>
    <x v="5"/>
    <x v="7"/>
    <x v="2"/>
    <n v="0"/>
    <n v="2E+20"/>
    <n v="0"/>
    <n v="0"/>
    <n v="290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9"/>
    <x v="5"/>
    <x v="7"/>
    <x v="2"/>
    <n v="0"/>
    <n v="2E+20"/>
    <n v="0"/>
    <n v="0"/>
    <n v="297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0"/>
    <x v="5"/>
    <x v="7"/>
    <x v="2"/>
    <n v="0"/>
    <n v="2E+20"/>
    <n v="0"/>
    <n v="0"/>
    <n v="277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1"/>
    <x v="5"/>
    <x v="7"/>
    <x v="2"/>
    <n v="0"/>
    <n v="2E+20"/>
    <n v="0"/>
    <n v="0"/>
    <n v="294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2"/>
    <x v="5"/>
    <x v="7"/>
    <x v="2"/>
    <n v="0"/>
    <n v="2E+20"/>
    <n v="0"/>
    <n v="0"/>
    <n v="280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3"/>
    <x v="5"/>
    <x v="7"/>
    <x v="2"/>
    <n v="0"/>
    <n v="2E+20"/>
    <n v="0"/>
    <n v="0"/>
    <n v="306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4"/>
    <x v="5"/>
    <x v="7"/>
    <x v="2"/>
    <n v="0"/>
    <n v="2E+20"/>
    <n v="0"/>
    <n v="0"/>
    <n v="295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5"/>
    <x v="5"/>
    <x v="7"/>
    <x v="2"/>
    <n v="0"/>
    <n v="2E+20"/>
    <n v="0"/>
    <n v="0"/>
    <n v="310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6"/>
    <x v="5"/>
    <x v="7"/>
    <x v="2"/>
    <n v="0"/>
    <n v="2E+20"/>
    <n v="0"/>
    <n v="0"/>
    <n v="293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7"/>
    <x v="5"/>
    <x v="7"/>
    <x v="2"/>
    <n v="0"/>
    <n v="2E+20"/>
    <n v="0"/>
    <n v="0"/>
    <n v="306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8"/>
    <x v="5"/>
    <x v="7"/>
    <x v="2"/>
    <n v="0"/>
    <n v="2E+20"/>
    <n v="0"/>
    <n v="0"/>
    <n v="301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9"/>
    <x v="5"/>
    <x v="7"/>
    <x v="2"/>
    <n v="0"/>
    <n v="2E+20"/>
    <n v="0"/>
    <n v="0"/>
    <n v="315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0"/>
    <x v="5"/>
    <x v="7"/>
    <x v="2"/>
    <n v="0"/>
    <n v="2E+20"/>
    <n v="0"/>
    <n v="0"/>
    <n v="277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1"/>
    <x v="5"/>
    <x v="7"/>
    <x v="2"/>
    <n v="0"/>
    <n v="2E+20"/>
    <n v="0"/>
    <n v="0"/>
    <n v="284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2"/>
    <x v="5"/>
    <x v="7"/>
    <x v="2"/>
    <n v="0"/>
    <n v="2E+20"/>
    <n v="0"/>
    <n v="0"/>
    <n v="280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3"/>
    <x v="5"/>
    <x v="7"/>
    <x v="2"/>
    <n v="0"/>
    <n v="2E+20"/>
    <n v="0"/>
    <n v="0"/>
    <n v="269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4"/>
    <x v="5"/>
    <x v="7"/>
    <x v="2"/>
    <n v="0"/>
    <n v="0"/>
    <n v="0"/>
    <n v="0"/>
    <n v="331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5"/>
    <x v="5"/>
    <x v="7"/>
    <x v="2"/>
    <n v="0"/>
    <n v="2E+20"/>
    <n v="0"/>
    <n v="0"/>
    <n v="311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6"/>
    <x v="5"/>
    <x v="7"/>
    <x v="2"/>
    <n v="0"/>
    <n v="2E+20"/>
    <n v="0"/>
    <n v="0"/>
    <n v="301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7"/>
    <x v="5"/>
    <x v="7"/>
    <x v="2"/>
    <n v="0"/>
    <n v="2E+20"/>
    <n v="0"/>
    <n v="0"/>
    <n v="288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8"/>
    <x v="5"/>
    <x v="7"/>
    <x v="2"/>
    <n v="0"/>
    <n v="2E+20"/>
    <n v="0"/>
    <n v="0"/>
    <n v="270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29"/>
    <x v="5"/>
    <x v="7"/>
    <x v="2"/>
    <n v="0"/>
    <n v="2E+20"/>
    <n v="0"/>
    <n v="0"/>
    <n v="318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30"/>
    <x v="5"/>
    <x v="7"/>
    <x v="2"/>
    <n v="0"/>
    <n v="2E+20"/>
    <n v="0"/>
    <n v="0"/>
    <n v="278"/>
    <s v="Unnamed ProjectInsideWaitTimeIntervalUser Specified"/>
    <n v="30"/>
    <n v="0"/>
    <n v="0"/>
    <n v="0.95"/>
    <n v="0"/>
    <n v="0"/>
    <n v="0"/>
    <n v="0"/>
    <n v="0"/>
    <n v="297.83333333333331"/>
    <n v="0"/>
    <n v="30"/>
    <n v="1"/>
  </r>
  <r>
    <x v="0"/>
    <s v="2025-05-26 16:22:20"/>
    <n v="1"/>
    <x v="6"/>
    <x v="0"/>
    <x v="0"/>
    <n v="5.9730901863241304"/>
    <n v="0.48802016130708897"/>
    <n v="0"/>
    <n v="41.278008324558002"/>
    <n v="572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2"/>
    <x v="6"/>
    <x v="0"/>
    <x v="0"/>
    <n v="5.92117278516388"/>
    <n v="3E+20"/>
    <n v="0"/>
    <n v="40.974624627196398"/>
    <n v="584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3"/>
    <x v="6"/>
    <x v="0"/>
    <x v="0"/>
    <n v="6.0221754902243099"/>
    <n v="0.61647466902840198"/>
    <n v="0"/>
    <n v="38.883907813045198"/>
    <n v="564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4"/>
    <x v="6"/>
    <x v="0"/>
    <x v="0"/>
    <n v="5.6006007739427002"/>
    <n v="0.438471619184574"/>
    <n v="0"/>
    <n v="34.481000388664398"/>
    <n v="624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5"/>
    <x v="6"/>
    <x v="0"/>
    <x v="0"/>
    <n v="5.6103006645712998"/>
    <n v="0.67202766212777798"/>
    <n v="0"/>
    <n v="31.8825232660183"/>
    <n v="572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6"/>
    <x v="6"/>
    <x v="0"/>
    <x v="0"/>
    <n v="5.62475269299307"/>
    <n v="0.44865445148885802"/>
    <n v="0"/>
    <n v="32.947849814202499"/>
    <n v="640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7"/>
    <x v="6"/>
    <x v="0"/>
    <x v="0"/>
    <n v="6.2503438228282198"/>
    <n v="0.70321346282431896"/>
    <n v="0"/>
    <n v="48.4918065483837"/>
    <n v="528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8"/>
    <x v="6"/>
    <x v="0"/>
    <x v="0"/>
    <n v="6.1834141794963502"/>
    <n v="0.60595187930640404"/>
    <n v="0"/>
    <n v="32.993159262997096"/>
    <n v="568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9"/>
    <x v="6"/>
    <x v="0"/>
    <x v="0"/>
    <n v="6.0793046681262197"/>
    <n v="0.68061584579791201"/>
    <n v="0"/>
    <n v="38.721633966144701"/>
    <n v="576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10"/>
    <x v="6"/>
    <x v="0"/>
    <x v="0"/>
    <n v="6.4702703703378397"/>
    <n v="0.70792172513002505"/>
    <n v="0"/>
    <n v="33.961329456691402"/>
    <n v="552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11"/>
    <x v="6"/>
    <x v="0"/>
    <x v="0"/>
    <n v="5.8494681958954198"/>
    <n v="0.561423498746628"/>
    <n v="0"/>
    <n v="28.601385166632799"/>
    <n v="584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12"/>
    <x v="6"/>
    <x v="0"/>
    <x v="0"/>
    <n v="5.6502053131623597"/>
    <n v="0.72148326805635798"/>
    <n v="0"/>
    <n v="46.632232285569103"/>
    <n v="592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13"/>
    <x v="6"/>
    <x v="0"/>
    <x v="0"/>
    <n v="5.7718012429321002"/>
    <n v="0.67057574672064801"/>
    <n v="0"/>
    <n v="31.2868291278314"/>
    <n v="588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14"/>
    <x v="6"/>
    <x v="0"/>
    <x v="0"/>
    <n v="6.3896141656327403"/>
    <n v="0.72753169098225901"/>
    <n v="0"/>
    <n v="48.283537456393297"/>
    <n v="548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15"/>
    <x v="6"/>
    <x v="0"/>
    <x v="0"/>
    <n v="6.2455877786862297"/>
    <n v="0.671678724820162"/>
    <n v="0"/>
    <n v="27.051852704372401"/>
    <n v="552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16"/>
    <x v="6"/>
    <x v="0"/>
    <x v="0"/>
    <n v="6.5292240865565203"/>
    <n v="0.86271640617664203"/>
    <n v="0"/>
    <n v="63.0529476552218"/>
    <n v="556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17"/>
    <x v="6"/>
    <x v="0"/>
    <x v="0"/>
    <n v="6.1623807195465403"/>
    <n v="0.62610860910255395"/>
    <n v="0"/>
    <n v="35.135806953769404"/>
    <n v="564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18"/>
    <x v="6"/>
    <x v="0"/>
    <x v="0"/>
    <n v="6.1441753977651201"/>
    <n v="0.69893966445823497"/>
    <n v="0"/>
    <n v="40.753627465364403"/>
    <n v="576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19"/>
    <x v="6"/>
    <x v="0"/>
    <x v="0"/>
    <n v="5.8819743905511297"/>
    <n v="0.67102829513464601"/>
    <n v="0"/>
    <n v="36.560427487209402"/>
    <n v="584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20"/>
    <x v="6"/>
    <x v="0"/>
    <x v="0"/>
    <n v="6.2021203407440604"/>
    <n v="3E+20"/>
    <n v="0"/>
    <n v="50.089936854168599"/>
    <n v="544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21"/>
    <x v="6"/>
    <x v="0"/>
    <x v="0"/>
    <n v="5.8239326324649596"/>
    <n v="0.63026778926814497"/>
    <n v="0"/>
    <n v="32.755662933005397"/>
    <n v="564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22"/>
    <x v="6"/>
    <x v="0"/>
    <x v="0"/>
    <n v="5.8904178286673901"/>
    <n v="0.55544285416875405"/>
    <n v="0"/>
    <n v="42.057421133528997"/>
    <n v="568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23"/>
    <x v="6"/>
    <x v="0"/>
    <x v="0"/>
    <n v="6.1057886831871899"/>
    <n v="0.673275510434175"/>
    <n v="0"/>
    <n v="44.307350049778996"/>
    <n v="560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24"/>
    <x v="6"/>
    <x v="0"/>
    <x v="0"/>
    <n v="5.8938721359739201"/>
    <n v="0.72600557430766499"/>
    <n v="0"/>
    <n v="52.184654728854099"/>
    <n v="592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25"/>
    <x v="6"/>
    <x v="0"/>
    <x v="0"/>
    <n v="5.3825028312479199"/>
    <n v="0.55739138691684897"/>
    <n v="0"/>
    <n v="35.622770711496699"/>
    <n v="600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26"/>
    <x v="6"/>
    <x v="0"/>
    <x v="0"/>
    <n v="6.2780865148388498"/>
    <n v="0.455732316892761"/>
    <n v="0"/>
    <n v="30.011977790108599"/>
    <n v="548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27"/>
    <x v="6"/>
    <x v="0"/>
    <x v="0"/>
    <n v="6.2314437864567704"/>
    <n v="0.59453977713147199"/>
    <n v="0"/>
    <n v="31.475219527045699"/>
    <n v="544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28"/>
    <x v="6"/>
    <x v="0"/>
    <x v="0"/>
    <n v="6.2274118123467597"/>
    <n v="0.64383466424080504"/>
    <n v="0"/>
    <n v="37.421370824981899"/>
    <n v="532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29"/>
    <x v="6"/>
    <x v="0"/>
    <x v="0"/>
    <n v="5.4639585653020202"/>
    <n v="0.48547095119629702"/>
    <n v="0"/>
    <n v="36.568091005495397"/>
    <n v="604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30"/>
    <x v="6"/>
    <x v="0"/>
    <x v="0"/>
    <n v="6.28887314501877"/>
    <n v="0.84999156060898196"/>
    <n v="0"/>
    <n v="36.509279667896898"/>
    <n v="540"/>
    <s v="Unnamed ProjectOrder_Group.QueueWaiting TimeQueue"/>
    <n v="30"/>
    <n v="6.0049421733661612"/>
    <n v="0.29792586840636864"/>
    <n v="0.95"/>
    <n v="0.11124734756192418"/>
    <n v="5.3825028312479199"/>
    <n v="6.5292240865565203"/>
    <n v="0"/>
    <n v="63.0529476552218"/>
    <n v="570.66666666666663"/>
    <n v="0.11124734756192418"/>
    <n v="30"/>
    <n v="1"/>
  </r>
  <r>
    <x v="0"/>
    <s v="2025-05-26 16:22:20"/>
    <n v="1"/>
    <x v="7"/>
    <x v="0"/>
    <x v="0"/>
    <n v="0"/>
    <n v="2E+20"/>
    <n v="0"/>
    <n v="0"/>
    <n v="215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2"/>
    <x v="7"/>
    <x v="0"/>
    <x v="0"/>
    <n v="0"/>
    <n v="2E+20"/>
    <n v="0"/>
    <n v="0"/>
    <n v="245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3"/>
    <x v="7"/>
    <x v="0"/>
    <x v="0"/>
    <n v="0"/>
    <n v="2E+20"/>
    <n v="0"/>
    <n v="0"/>
    <n v="211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4"/>
    <x v="7"/>
    <x v="0"/>
    <x v="0"/>
    <n v="0"/>
    <n v="2E+20"/>
    <n v="0"/>
    <n v="0"/>
    <n v="229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5"/>
    <x v="7"/>
    <x v="0"/>
    <x v="0"/>
    <n v="0"/>
    <n v="2E+20"/>
    <n v="0"/>
    <n v="0"/>
    <n v="214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6"/>
    <x v="7"/>
    <x v="0"/>
    <x v="0"/>
    <n v="0"/>
    <n v="2E+20"/>
    <n v="0"/>
    <n v="0"/>
    <n v="245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7"/>
    <x v="7"/>
    <x v="0"/>
    <x v="0"/>
    <n v="0"/>
    <n v="2E+20"/>
    <n v="0"/>
    <n v="0"/>
    <n v="213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8"/>
    <x v="7"/>
    <x v="0"/>
    <x v="0"/>
    <n v="0"/>
    <n v="2E+20"/>
    <n v="0"/>
    <n v="0"/>
    <n v="224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9"/>
    <x v="7"/>
    <x v="0"/>
    <x v="0"/>
    <n v="0"/>
    <n v="2E+20"/>
    <n v="0"/>
    <n v="0"/>
    <n v="233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10"/>
    <x v="7"/>
    <x v="0"/>
    <x v="0"/>
    <n v="0"/>
    <n v="2E+20"/>
    <n v="0"/>
    <n v="0"/>
    <n v="228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11"/>
    <x v="7"/>
    <x v="0"/>
    <x v="0"/>
    <n v="0"/>
    <n v="2E+20"/>
    <n v="0"/>
    <n v="0"/>
    <n v="246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12"/>
    <x v="7"/>
    <x v="0"/>
    <x v="0"/>
    <n v="0"/>
    <n v="2E+20"/>
    <n v="0"/>
    <n v="0"/>
    <n v="253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13"/>
    <x v="7"/>
    <x v="0"/>
    <x v="0"/>
    <n v="0"/>
    <n v="2E+20"/>
    <n v="0"/>
    <n v="0"/>
    <n v="231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14"/>
    <x v="7"/>
    <x v="0"/>
    <x v="0"/>
    <n v="0"/>
    <n v="2E+20"/>
    <n v="0"/>
    <n v="0"/>
    <n v="221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15"/>
    <x v="7"/>
    <x v="0"/>
    <x v="0"/>
    <n v="0"/>
    <n v="2E+20"/>
    <n v="0"/>
    <n v="0"/>
    <n v="208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16"/>
    <x v="7"/>
    <x v="0"/>
    <x v="0"/>
    <n v="0"/>
    <n v="2E+20"/>
    <n v="0"/>
    <n v="0"/>
    <n v="222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17"/>
    <x v="7"/>
    <x v="0"/>
    <x v="0"/>
    <n v="0"/>
    <n v="2E+20"/>
    <n v="0"/>
    <n v="0"/>
    <n v="225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18"/>
    <x v="7"/>
    <x v="0"/>
    <x v="0"/>
    <n v="0"/>
    <n v="2E+20"/>
    <n v="0"/>
    <n v="0"/>
    <n v="237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19"/>
    <x v="7"/>
    <x v="0"/>
    <x v="0"/>
    <n v="0"/>
    <n v="2E+20"/>
    <n v="0"/>
    <n v="0"/>
    <n v="215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20"/>
    <x v="7"/>
    <x v="0"/>
    <x v="0"/>
    <n v="0"/>
    <n v="2E+20"/>
    <n v="0"/>
    <n v="0"/>
    <n v="224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21"/>
    <x v="7"/>
    <x v="0"/>
    <x v="0"/>
    <n v="0"/>
    <n v="2E+20"/>
    <n v="0"/>
    <n v="0"/>
    <n v="226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22"/>
    <x v="7"/>
    <x v="0"/>
    <x v="0"/>
    <n v="0"/>
    <n v="2E+20"/>
    <n v="0"/>
    <n v="0"/>
    <n v="231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23"/>
    <x v="7"/>
    <x v="0"/>
    <x v="0"/>
    <n v="0"/>
    <n v="2E+20"/>
    <n v="0"/>
    <n v="0"/>
    <n v="249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24"/>
    <x v="7"/>
    <x v="0"/>
    <x v="0"/>
    <n v="0"/>
    <n v="2E+20"/>
    <n v="0"/>
    <n v="0"/>
    <n v="222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25"/>
    <x v="7"/>
    <x v="0"/>
    <x v="0"/>
    <n v="0"/>
    <n v="2E+20"/>
    <n v="0"/>
    <n v="0"/>
    <n v="227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26"/>
    <x v="7"/>
    <x v="0"/>
    <x v="0"/>
    <n v="0"/>
    <n v="2E+20"/>
    <n v="0"/>
    <n v="0"/>
    <n v="205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27"/>
    <x v="7"/>
    <x v="0"/>
    <x v="0"/>
    <n v="0"/>
    <n v="2E+20"/>
    <n v="0"/>
    <n v="0"/>
    <n v="220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28"/>
    <x v="7"/>
    <x v="0"/>
    <x v="0"/>
    <n v="0"/>
    <n v="2E+20"/>
    <n v="0"/>
    <n v="0"/>
    <n v="216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29"/>
    <x v="7"/>
    <x v="0"/>
    <x v="0"/>
    <n v="0"/>
    <n v="2E+20"/>
    <n v="0"/>
    <n v="0"/>
    <n v="227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30"/>
    <x v="7"/>
    <x v="0"/>
    <x v="0"/>
    <n v="0"/>
    <n v="2E+20"/>
    <n v="0"/>
    <n v="0"/>
    <n v="216"/>
    <s v="Unnamed ProjectOutside_Table_Standing.QueueWaiting TimeQueue"/>
    <n v="30"/>
    <n v="0"/>
    <n v="0"/>
    <n v="0.95"/>
    <n v="0"/>
    <n v="0"/>
    <n v="0"/>
    <n v="0"/>
    <n v="0"/>
    <n v="225.93333333333334"/>
    <n v="0"/>
    <n v="30"/>
    <n v="1"/>
  </r>
  <r>
    <x v="0"/>
    <s v="2025-05-26 16:22:20"/>
    <n v="1"/>
    <x v="8"/>
    <x v="0"/>
    <x v="0"/>
    <n v="0"/>
    <n v="2E+20"/>
    <n v="0"/>
    <n v="0"/>
    <n v="191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"/>
    <x v="8"/>
    <x v="0"/>
    <x v="0"/>
    <n v="0"/>
    <n v="2E+20"/>
    <n v="0"/>
    <n v="0"/>
    <n v="223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3"/>
    <x v="8"/>
    <x v="0"/>
    <x v="0"/>
    <n v="0"/>
    <n v="2E+20"/>
    <n v="0"/>
    <n v="0"/>
    <n v="187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4"/>
    <x v="8"/>
    <x v="0"/>
    <x v="0"/>
    <n v="0"/>
    <n v="2E+20"/>
    <n v="0"/>
    <n v="0"/>
    <n v="199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5"/>
    <x v="8"/>
    <x v="0"/>
    <x v="0"/>
    <n v="0"/>
    <n v="2E+20"/>
    <n v="0"/>
    <n v="0"/>
    <n v="198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6"/>
    <x v="8"/>
    <x v="0"/>
    <x v="0"/>
    <n v="0"/>
    <n v="2E+20"/>
    <n v="0"/>
    <n v="0"/>
    <n v="225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7"/>
    <x v="8"/>
    <x v="0"/>
    <x v="0"/>
    <n v="0"/>
    <n v="2E+20"/>
    <n v="0"/>
    <n v="0"/>
    <n v="195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8"/>
    <x v="8"/>
    <x v="0"/>
    <x v="0"/>
    <n v="0"/>
    <n v="2E+20"/>
    <n v="0"/>
    <n v="0"/>
    <n v="210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9"/>
    <x v="8"/>
    <x v="0"/>
    <x v="0"/>
    <n v="0"/>
    <n v="2E+20"/>
    <n v="0"/>
    <n v="0"/>
    <n v="216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0"/>
    <x v="8"/>
    <x v="0"/>
    <x v="0"/>
    <n v="0"/>
    <n v="2E+20"/>
    <n v="0"/>
    <n v="0"/>
    <n v="210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1"/>
    <x v="8"/>
    <x v="0"/>
    <x v="0"/>
    <n v="0"/>
    <n v="2E+20"/>
    <n v="0"/>
    <n v="0"/>
    <n v="222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2"/>
    <x v="8"/>
    <x v="0"/>
    <x v="0"/>
    <n v="0"/>
    <n v="2E+20"/>
    <n v="0"/>
    <n v="0"/>
    <n v="231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3"/>
    <x v="8"/>
    <x v="0"/>
    <x v="0"/>
    <n v="0"/>
    <n v="2E+20"/>
    <n v="0"/>
    <n v="0"/>
    <n v="208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4"/>
    <x v="8"/>
    <x v="0"/>
    <x v="0"/>
    <n v="0"/>
    <n v="2E+20"/>
    <n v="0"/>
    <n v="0"/>
    <n v="202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5"/>
    <x v="8"/>
    <x v="0"/>
    <x v="0"/>
    <n v="0"/>
    <n v="2E+20"/>
    <n v="0"/>
    <n v="0"/>
    <n v="194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6"/>
    <x v="8"/>
    <x v="0"/>
    <x v="0"/>
    <n v="0"/>
    <n v="2E+20"/>
    <n v="0"/>
    <n v="0"/>
    <n v="205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7"/>
    <x v="8"/>
    <x v="0"/>
    <x v="0"/>
    <n v="0"/>
    <n v="2E+20"/>
    <n v="0"/>
    <n v="0"/>
    <n v="206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8"/>
    <x v="8"/>
    <x v="0"/>
    <x v="0"/>
    <n v="0"/>
    <n v="2E+20"/>
    <n v="0"/>
    <n v="0"/>
    <n v="213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9"/>
    <x v="8"/>
    <x v="0"/>
    <x v="0"/>
    <n v="0"/>
    <n v="2E+20"/>
    <n v="0"/>
    <n v="0"/>
    <n v="188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0"/>
    <x v="8"/>
    <x v="0"/>
    <x v="0"/>
    <n v="0"/>
    <n v="2E+20"/>
    <n v="0"/>
    <n v="0"/>
    <n v="203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1"/>
    <x v="8"/>
    <x v="0"/>
    <x v="0"/>
    <n v="0"/>
    <n v="2E+20"/>
    <n v="0"/>
    <n v="0"/>
    <n v="199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2"/>
    <x v="8"/>
    <x v="0"/>
    <x v="0"/>
    <n v="0"/>
    <n v="2E+20"/>
    <n v="0"/>
    <n v="0"/>
    <n v="213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3"/>
    <x v="8"/>
    <x v="0"/>
    <x v="0"/>
    <n v="0"/>
    <n v="2E+20"/>
    <n v="0"/>
    <n v="0"/>
    <n v="218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4"/>
    <x v="8"/>
    <x v="0"/>
    <x v="0"/>
    <n v="0"/>
    <n v="2E+20"/>
    <n v="0"/>
    <n v="0"/>
    <n v="210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5"/>
    <x v="8"/>
    <x v="0"/>
    <x v="0"/>
    <n v="0"/>
    <n v="2E+20"/>
    <n v="0"/>
    <n v="0"/>
    <n v="204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6"/>
    <x v="8"/>
    <x v="0"/>
    <x v="0"/>
    <n v="0"/>
    <n v="2E+20"/>
    <n v="0"/>
    <n v="0"/>
    <n v="177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7"/>
    <x v="8"/>
    <x v="0"/>
    <x v="0"/>
    <n v="0"/>
    <n v="2E+20"/>
    <n v="0"/>
    <n v="0"/>
    <n v="203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8"/>
    <x v="8"/>
    <x v="0"/>
    <x v="0"/>
    <n v="0"/>
    <n v="2E+20"/>
    <n v="0"/>
    <n v="0"/>
    <n v="193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9"/>
    <x v="8"/>
    <x v="0"/>
    <x v="0"/>
    <n v="0"/>
    <n v="2E+20"/>
    <n v="0"/>
    <n v="0"/>
    <n v="206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30"/>
    <x v="8"/>
    <x v="0"/>
    <x v="0"/>
    <n v="0"/>
    <n v="2E+20"/>
    <n v="0"/>
    <n v="0"/>
    <n v="196"/>
    <s v="Unnamed ProjectOutside_Table_Waiting_QueueWaiting TimeQueue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"/>
    <x v="9"/>
    <x v="7"/>
    <x v="2"/>
    <n v="0"/>
    <n v="2E+20"/>
    <n v="0"/>
    <n v="0"/>
    <n v="191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"/>
    <x v="9"/>
    <x v="7"/>
    <x v="2"/>
    <n v="0"/>
    <n v="2E+20"/>
    <n v="0"/>
    <n v="0"/>
    <n v="223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3"/>
    <x v="9"/>
    <x v="7"/>
    <x v="2"/>
    <n v="0"/>
    <n v="2E+20"/>
    <n v="0"/>
    <n v="0"/>
    <n v="187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4"/>
    <x v="9"/>
    <x v="7"/>
    <x v="2"/>
    <n v="0"/>
    <n v="2E+20"/>
    <n v="0"/>
    <n v="0"/>
    <n v="199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5"/>
    <x v="9"/>
    <x v="7"/>
    <x v="2"/>
    <n v="0"/>
    <n v="2E+20"/>
    <n v="0"/>
    <n v="0"/>
    <n v="198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6"/>
    <x v="9"/>
    <x v="7"/>
    <x v="2"/>
    <n v="0"/>
    <n v="2E+20"/>
    <n v="0"/>
    <n v="0"/>
    <n v="225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7"/>
    <x v="9"/>
    <x v="7"/>
    <x v="2"/>
    <n v="0"/>
    <n v="2E+20"/>
    <n v="0"/>
    <n v="0"/>
    <n v="195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8"/>
    <x v="9"/>
    <x v="7"/>
    <x v="2"/>
    <n v="0"/>
    <n v="2E+20"/>
    <n v="0"/>
    <n v="0"/>
    <n v="210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9"/>
    <x v="9"/>
    <x v="7"/>
    <x v="2"/>
    <n v="0"/>
    <n v="2E+20"/>
    <n v="0"/>
    <n v="0"/>
    <n v="216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0"/>
    <x v="9"/>
    <x v="7"/>
    <x v="2"/>
    <n v="0"/>
    <n v="2E+20"/>
    <n v="0"/>
    <n v="0"/>
    <n v="210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1"/>
    <x v="9"/>
    <x v="7"/>
    <x v="2"/>
    <n v="0"/>
    <n v="2E+20"/>
    <n v="0"/>
    <n v="0"/>
    <n v="222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2"/>
    <x v="9"/>
    <x v="7"/>
    <x v="2"/>
    <n v="0"/>
    <n v="2E+20"/>
    <n v="0"/>
    <n v="0"/>
    <n v="231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3"/>
    <x v="9"/>
    <x v="7"/>
    <x v="2"/>
    <n v="0"/>
    <n v="2E+20"/>
    <n v="0"/>
    <n v="0"/>
    <n v="208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4"/>
    <x v="9"/>
    <x v="7"/>
    <x v="2"/>
    <n v="0"/>
    <n v="2E+20"/>
    <n v="0"/>
    <n v="0"/>
    <n v="202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5"/>
    <x v="9"/>
    <x v="7"/>
    <x v="2"/>
    <n v="0"/>
    <n v="2E+20"/>
    <n v="0"/>
    <n v="0"/>
    <n v="194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6"/>
    <x v="9"/>
    <x v="7"/>
    <x v="2"/>
    <n v="0"/>
    <n v="2E+20"/>
    <n v="0"/>
    <n v="0"/>
    <n v="205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7"/>
    <x v="9"/>
    <x v="7"/>
    <x v="2"/>
    <n v="0"/>
    <n v="2E+20"/>
    <n v="0"/>
    <n v="0"/>
    <n v="206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8"/>
    <x v="9"/>
    <x v="7"/>
    <x v="2"/>
    <n v="0"/>
    <n v="2E+20"/>
    <n v="0"/>
    <n v="0"/>
    <n v="213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9"/>
    <x v="9"/>
    <x v="7"/>
    <x v="2"/>
    <n v="0"/>
    <n v="2E+20"/>
    <n v="0"/>
    <n v="0"/>
    <n v="188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0"/>
    <x v="9"/>
    <x v="7"/>
    <x v="2"/>
    <n v="0"/>
    <n v="2E+20"/>
    <n v="0"/>
    <n v="0"/>
    <n v="203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1"/>
    <x v="9"/>
    <x v="7"/>
    <x v="2"/>
    <n v="0"/>
    <n v="2E+20"/>
    <n v="0"/>
    <n v="0"/>
    <n v="199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2"/>
    <x v="9"/>
    <x v="7"/>
    <x v="2"/>
    <n v="0"/>
    <n v="2E+20"/>
    <n v="0"/>
    <n v="0"/>
    <n v="213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3"/>
    <x v="9"/>
    <x v="7"/>
    <x v="2"/>
    <n v="0"/>
    <n v="2E+20"/>
    <n v="0"/>
    <n v="0"/>
    <n v="218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4"/>
    <x v="9"/>
    <x v="7"/>
    <x v="2"/>
    <n v="0"/>
    <n v="2E+20"/>
    <n v="0"/>
    <n v="0"/>
    <n v="210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5"/>
    <x v="9"/>
    <x v="7"/>
    <x v="2"/>
    <n v="0"/>
    <n v="2E+20"/>
    <n v="0"/>
    <n v="0"/>
    <n v="204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6"/>
    <x v="9"/>
    <x v="7"/>
    <x v="2"/>
    <n v="0"/>
    <n v="2E+20"/>
    <n v="0"/>
    <n v="0"/>
    <n v="177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7"/>
    <x v="9"/>
    <x v="7"/>
    <x v="2"/>
    <n v="0"/>
    <n v="2E+20"/>
    <n v="0"/>
    <n v="0"/>
    <n v="203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8"/>
    <x v="9"/>
    <x v="7"/>
    <x v="2"/>
    <n v="0"/>
    <n v="2E+20"/>
    <n v="0"/>
    <n v="0"/>
    <n v="193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29"/>
    <x v="9"/>
    <x v="7"/>
    <x v="2"/>
    <n v="0"/>
    <n v="2E+20"/>
    <n v="0"/>
    <n v="0"/>
    <n v="206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30"/>
    <x v="9"/>
    <x v="7"/>
    <x v="2"/>
    <n v="0"/>
    <n v="2E+20"/>
    <n v="0"/>
    <n v="0"/>
    <n v="196"/>
    <s v="Unnamed ProjectOutsideWaitTimeIntervalUser Specified"/>
    <n v="30"/>
    <n v="0"/>
    <n v="0"/>
    <n v="0.95"/>
    <n v="0"/>
    <n v="0"/>
    <n v="0"/>
    <n v="0"/>
    <n v="0"/>
    <n v="204.83333333333334"/>
    <n v="0"/>
    <n v="30"/>
    <n v="1"/>
  </r>
  <r>
    <x v="0"/>
    <s v="2025-05-26 16:22:20"/>
    <n v="1"/>
    <x v="10"/>
    <x v="0"/>
    <x v="0"/>
    <n v="0"/>
    <n v="2E+20"/>
    <n v="0"/>
    <n v="0"/>
    <n v="143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2"/>
    <x v="10"/>
    <x v="0"/>
    <x v="0"/>
    <n v="0"/>
    <n v="2E+20"/>
    <n v="0"/>
    <n v="0"/>
    <n v="146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3"/>
    <x v="10"/>
    <x v="0"/>
    <x v="0"/>
    <n v="0"/>
    <n v="2E+20"/>
    <n v="0"/>
    <n v="0"/>
    <n v="141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4"/>
    <x v="10"/>
    <x v="0"/>
    <x v="0"/>
    <n v="0"/>
    <n v="2E+20"/>
    <n v="0"/>
    <n v="0"/>
    <n v="156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5"/>
    <x v="10"/>
    <x v="0"/>
    <x v="0"/>
    <n v="0"/>
    <n v="2E+20"/>
    <n v="0"/>
    <n v="0"/>
    <n v="143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6"/>
    <x v="10"/>
    <x v="0"/>
    <x v="0"/>
    <n v="0"/>
    <n v="2E+20"/>
    <n v="0"/>
    <n v="0"/>
    <n v="160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7"/>
    <x v="10"/>
    <x v="0"/>
    <x v="0"/>
    <n v="0"/>
    <n v="2E+20"/>
    <n v="0"/>
    <n v="0"/>
    <n v="132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8"/>
    <x v="10"/>
    <x v="0"/>
    <x v="0"/>
    <n v="0"/>
    <n v="2E+20"/>
    <n v="0"/>
    <n v="0"/>
    <n v="142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9"/>
    <x v="10"/>
    <x v="0"/>
    <x v="0"/>
    <n v="0"/>
    <n v="2E+20"/>
    <n v="0"/>
    <n v="0"/>
    <n v="144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10"/>
    <x v="10"/>
    <x v="0"/>
    <x v="0"/>
    <n v="0"/>
    <n v="2E+20"/>
    <n v="0"/>
    <n v="0"/>
    <n v="138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11"/>
    <x v="10"/>
    <x v="0"/>
    <x v="0"/>
    <n v="0"/>
    <n v="2E+20"/>
    <n v="0"/>
    <n v="0"/>
    <n v="146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12"/>
    <x v="10"/>
    <x v="0"/>
    <x v="0"/>
    <n v="0"/>
    <n v="2E+20"/>
    <n v="0"/>
    <n v="0"/>
    <n v="148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13"/>
    <x v="10"/>
    <x v="0"/>
    <x v="0"/>
    <n v="0"/>
    <n v="2E+20"/>
    <n v="0"/>
    <n v="0"/>
    <n v="147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14"/>
    <x v="10"/>
    <x v="0"/>
    <x v="0"/>
    <n v="0"/>
    <n v="2E+20"/>
    <n v="0"/>
    <n v="0"/>
    <n v="137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15"/>
    <x v="10"/>
    <x v="0"/>
    <x v="0"/>
    <n v="0"/>
    <n v="2E+20"/>
    <n v="0"/>
    <n v="0"/>
    <n v="138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16"/>
    <x v="10"/>
    <x v="0"/>
    <x v="0"/>
    <n v="0"/>
    <n v="2E+20"/>
    <n v="0"/>
    <n v="0"/>
    <n v="139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17"/>
    <x v="10"/>
    <x v="0"/>
    <x v="0"/>
    <n v="0"/>
    <n v="2E+20"/>
    <n v="0"/>
    <n v="0"/>
    <n v="141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18"/>
    <x v="10"/>
    <x v="0"/>
    <x v="0"/>
    <n v="0"/>
    <n v="2E+20"/>
    <n v="0"/>
    <n v="0"/>
    <n v="144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19"/>
    <x v="10"/>
    <x v="0"/>
    <x v="0"/>
    <n v="0"/>
    <n v="2E+20"/>
    <n v="0"/>
    <n v="0"/>
    <n v="146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20"/>
    <x v="10"/>
    <x v="0"/>
    <x v="0"/>
    <n v="0"/>
    <n v="2E+20"/>
    <n v="0"/>
    <n v="0"/>
    <n v="136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21"/>
    <x v="10"/>
    <x v="0"/>
    <x v="0"/>
    <n v="0"/>
    <n v="2E+20"/>
    <n v="0"/>
    <n v="0"/>
    <n v="141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22"/>
    <x v="10"/>
    <x v="0"/>
    <x v="0"/>
    <n v="0"/>
    <n v="2E+20"/>
    <n v="0"/>
    <n v="0"/>
    <n v="142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23"/>
    <x v="10"/>
    <x v="0"/>
    <x v="0"/>
    <n v="0"/>
    <n v="2E+20"/>
    <n v="0"/>
    <n v="0"/>
    <n v="140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24"/>
    <x v="10"/>
    <x v="0"/>
    <x v="0"/>
    <n v="0"/>
    <n v="2E+20"/>
    <n v="0"/>
    <n v="0"/>
    <n v="148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25"/>
    <x v="10"/>
    <x v="0"/>
    <x v="0"/>
    <n v="0"/>
    <n v="2E+20"/>
    <n v="0"/>
    <n v="0"/>
    <n v="150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26"/>
    <x v="10"/>
    <x v="0"/>
    <x v="0"/>
    <n v="0"/>
    <n v="2E+20"/>
    <n v="0"/>
    <n v="0"/>
    <n v="137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27"/>
    <x v="10"/>
    <x v="0"/>
    <x v="0"/>
    <n v="0"/>
    <n v="2E+20"/>
    <n v="0"/>
    <n v="0"/>
    <n v="136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28"/>
    <x v="10"/>
    <x v="0"/>
    <x v="0"/>
    <n v="0"/>
    <n v="2E+20"/>
    <n v="0"/>
    <n v="0"/>
    <n v="133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29"/>
    <x v="10"/>
    <x v="0"/>
    <x v="0"/>
    <n v="0"/>
    <n v="2E+20"/>
    <n v="0"/>
    <n v="0"/>
    <n v="151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  <r>
    <x v="0"/>
    <s v="2025-05-26 16:22:20"/>
    <n v="30"/>
    <x v="10"/>
    <x v="0"/>
    <x v="0"/>
    <n v="0"/>
    <n v="2E+20"/>
    <n v="0"/>
    <n v="0"/>
    <n v="135"/>
    <s v="Unnamed ProjectTaking_Order.QueueWaiting TimeQueue"/>
    <n v="30"/>
    <n v="0"/>
    <n v="0"/>
    <n v="0.95"/>
    <n v="0"/>
    <n v="0"/>
    <n v="0"/>
    <n v="0"/>
    <n v="0"/>
    <n v="142.66666666666666"/>
    <n v="0"/>
    <n v="30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0">
  <r>
    <x v="0"/>
    <s v="2025-05-26 16:22:20"/>
    <n v="1"/>
    <x v="0"/>
    <x v="0"/>
    <x v="0"/>
    <n v="285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1"/>
    <x v="1"/>
    <x v="1"/>
    <x v="0"/>
    <n v="0.24992438174105699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1"/>
    <x v="2"/>
    <x v="0"/>
    <x v="0"/>
    <n v="286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1"/>
    <x v="3"/>
    <x v="1"/>
    <x v="0"/>
    <n v="0.63371258005858999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1"/>
    <x v="4"/>
    <x v="2"/>
    <x v="1"/>
    <n v="856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1"/>
    <x v="5"/>
    <x v="3"/>
    <x v="1"/>
    <n v="857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1"/>
    <x v="6"/>
    <x v="0"/>
    <x v="0"/>
    <n v="355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1"/>
    <x v="7"/>
    <x v="1"/>
    <x v="0"/>
    <n v="1.9462719298245601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1"/>
    <x v="8"/>
    <x v="0"/>
    <x v="0"/>
    <n v="215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1"/>
    <x v="9"/>
    <x v="1"/>
    <x v="0"/>
    <n v="4.7149122807017604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1"/>
    <x v="10"/>
    <x v="3"/>
    <x v="2"/>
    <n v="285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1"/>
    <x v="11"/>
    <x v="0"/>
    <x v="0"/>
    <n v="143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1"/>
    <x v="12"/>
    <x v="1"/>
    <x v="0"/>
    <n v="8.3000031811691299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2"/>
    <x v="0"/>
    <x v="0"/>
    <x v="0"/>
    <n v="292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2"/>
    <x v="1"/>
    <x v="1"/>
    <x v="0"/>
    <n v="0.25535692401649401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2"/>
    <x v="2"/>
    <x v="0"/>
    <x v="0"/>
    <n v="292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2"/>
    <x v="3"/>
    <x v="1"/>
    <x v="0"/>
    <n v="0.63596717797976898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2"/>
    <x v="4"/>
    <x v="2"/>
    <x v="1"/>
    <n v="874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2"/>
    <x v="5"/>
    <x v="3"/>
    <x v="1"/>
    <n v="871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2"/>
    <x v="6"/>
    <x v="0"/>
    <x v="0"/>
    <n v="337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2"/>
    <x v="7"/>
    <x v="1"/>
    <x v="0"/>
    <n v="1.85028430171782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2"/>
    <x v="8"/>
    <x v="0"/>
    <x v="0"/>
    <n v="245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2"/>
    <x v="9"/>
    <x v="1"/>
    <x v="0"/>
    <n v="5.3728070175438599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2"/>
    <x v="10"/>
    <x v="3"/>
    <x v="2"/>
    <n v="291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2"/>
    <x v="11"/>
    <x v="0"/>
    <x v="0"/>
    <n v="146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2"/>
    <x v="12"/>
    <x v="1"/>
    <x v="0"/>
    <n v="8.61721786576886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3"/>
    <x v="0"/>
    <x v="0"/>
    <x v="0"/>
    <n v="280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3"/>
    <x v="1"/>
    <x v="1"/>
    <x v="0"/>
    <n v="0.24561403508771901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3"/>
    <x v="2"/>
    <x v="0"/>
    <x v="0"/>
    <n v="282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3"/>
    <x v="3"/>
    <x v="1"/>
    <x v="0"/>
    <n v="0.62199892977198901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3"/>
    <x v="4"/>
    <x v="2"/>
    <x v="1"/>
    <n v="846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3"/>
    <x v="5"/>
    <x v="3"/>
    <x v="1"/>
    <n v="840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3"/>
    <x v="6"/>
    <x v="0"/>
    <x v="0"/>
    <n v="353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3"/>
    <x v="7"/>
    <x v="1"/>
    <x v="0"/>
    <n v="1.93275207382834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3"/>
    <x v="8"/>
    <x v="0"/>
    <x v="0"/>
    <n v="211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3"/>
    <x v="9"/>
    <x v="1"/>
    <x v="0"/>
    <n v="4.6271929824561403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3"/>
    <x v="10"/>
    <x v="3"/>
    <x v="2"/>
    <n v="280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3"/>
    <x v="11"/>
    <x v="0"/>
    <x v="0"/>
    <n v="141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3"/>
    <x v="12"/>
    <x v="1"/>
    <x v="0"/>
    <n v="8.35315698203834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4"/>
    <x v="0"/>
    <x v="0"/>
    <x v="0"/>
    <n v="310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4"/>
    <x v="1"/>
    <x v="1"/>
    <x v="0"/>
    <n v="0.27192982456140302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4"/>
    <x v="2"/>
    <x v="0"/>
    <x v="0"/>
    <n v="312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4"/>
    <x v="3"/>
    <x v="1"/>
    <x v="0"/>
    <n v="0.68643238055161704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4"/>
    <x v="4"/>
    <x v="2"/>
    <x v="1"/>
    <n v="937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4"/>
    <x v="5"/>
    <x v="3"/>
    <x v="1"/>
    <n v="930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4"/>
    <x v="6"/>
    <x v="0"/>
    <x v="0"/>
    <n v="396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4"/>
    <x v="7"/>
    <x v="1"/>
    <x v="0"/>
    <n v="2.17031677925951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4"/>
    <x v="8"/>
    <x v="0"/>
    <x v="0"/>
    <n v="229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4"/>
    <x v="9"/>
    <x v="1"/>
    <x v="0"/>
    <n v="5.0219298245613997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4"/>
    <x v="10"/>
    <x v="3"/>
    <x v="2"/>
    <n v="310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4"/>
    <x v="11"/>
    <x v="0"/>
    <x v="0"/>
    <n v="156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4"/>
    <x v="12"/>
    <x v="1"/>
    <x v="0"/>
    <n v="8.7594820116079705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5"/>
    <x v="0"/>
    <x v="0"/>
    <x v="0"/>
    <n v="285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5"/>
    <x v="1"/>
    <x v="1"/>
    <x v="0"/>
    <n v="0.25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5"/>
    <x v="2"/>
    <x v="0"/>
    <x v="0"/>
    <n v="287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5"/>
    <x v="3"/>
    <x v="1"/>
    <x v="0"/>
    <n v="0.62099308409866405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5"/>
    <x v="4"/>
    <x v="2"/>
    <x v="1"/>
    <n v="853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5"/>
    <x v="5"/>
    <x v="3"/>
    <x v="1"/>
    <n v="849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5"/>
    <x v="6"/>
    <x v="0"/>
    <x v="0"/>
    <n v="353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5"/>
    <x v="7"/>
    <x v="1"/>
    <x v="0"/>
    <n v="1.9441180007558601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5"/>
    <x v="8"/>
    <x v="0"/>
    <x v="0"/>
    <n v="214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5"/>
    <x v="9"/>
    <x v="1"/>
    <x v="0"/>
    <n v="4.7128271015709003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5"/>
    <x v="10"/>
    <x v="3"/>
    <x v="2"/>
    <n v="285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5"/>
    <x v="11"/>
    <x v="0"/>
    <x v="0"/>
    <n v="143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5"/>
    <x v="12"/>
    <x v="1"/>
    <x v="0"/>
    <n v="8.2255271148324496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6"/>
    <x v="0"/>
    <x v="0"/>
    <x v="0"/>
    <n v="318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6"/>
    <x v="1"/>
    <x v="1"/>
    <x v="0"/>
    <n v="0.27905535859326402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6"/>
    <x v="2"/>
    <x v="0"/>
    <x v="0"/>
    <n v="320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6"/>
    <x v="3"/>
    <x v="1"/>
    <x v="0"/>
    <n v="0.68450730949604099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6"/>
    <x v="4"/>
    <x v="2"/>
    <x v="1"/>
    <n v="958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6"/>
    <x v="5"/>
    <x v="3"/>
    <x v="1"/>
    <n v="954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6"/>
    <x v="6"/>
    <x v="0"/>
    <x v="0"/>
    <n v="393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6"/>
    <x v="7"/>
    <x v="1"/>
    <x v="0"/>
    <n v="2.1546052631579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6"/>
    <x v="8"/>
    <x v="0"/>
    <x v="0"/>
    <n v="245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6"/>
    <x v="9"/>
    <x v="1"/>
    <x v="0"/>
    <n v="5.3660199612322402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6"/>
    <x v="10"/>
    <x v="3"/>
    <x v="2"/>
    <n v="318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6"/>
    <x v="11"/>
    <x v="0"/>
    <x v="0"/>
    <n v="160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6"/>
    <x v="12"/>
    <x v="1"/>
    <x v="0"/>
    <n v="9.2534326714405798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7"/>
    <x v="0"/>
    <x v="0"/>
    <x v="0"/>
    <n v="266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7"/>
    <x v="1"/>
    <x v="1"/>
    <x v="0"/>
    <n v="0.233333333333333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7"/>
    <x v="2"/>
    <x v="0"/>
    <x v="0"/>
    <n v="264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7"/>
    <x v="3"/>
    <x v="1"/>
    <x v="0"/>
    <n v="0.58256422876290004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7"/>
    <x v="4"/>
    <x v="2"/>
    <x v="1"/>
    <n v="792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7"/>
    <x v="5"/>
    <x v="3"/>
    <x v="1"/>
    <n v="798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7"/>
    <x v="6"/>
    <x v="0"/>
    <x v="0"/>
    <n v="315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7"/>
    <x v="7"/>
    <x v="1"/>
    <x v="0"/>
    <n v="1.7269736842105299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7"/>
    <x v="8"/>
    <x v="0"/>
    <x v="0"/>
    <n v="213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7"/>
    <x v="9"/>
    <x v="1"/>
    <x v="0"/>
    <n v="4.6710526315789499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7"/>
    <x v="10"/>
    <x v="3"/>
    <x v="2"/>
    <n v="266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7"/>
    <x v="11"/>
    <x v="0"/>
    <x v="0"/>
    <n v="132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7"/>
    <x v="12"/>
    <x v="1"/>
    <x v="0"/>
    <n v="7.7629714253625401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8"/>
    <x v="0"/>
    <x v="0"/>
    <x v="0"/>
    <n v="283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8"/>
    <x v="1"/>
    <x v="1"/>
    <x v="0"/>
    <n v="0.24824561403508799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8"/>
    <x v="2"/>
    <x v="0"/>
    <x v="0"/>
    <n v="284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8"/>
    <x v="3"/>
    <x v="1"/>
    <x v="0"/>
    <n v="0.62569627948534701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8"/>
    <x v="4"/>
    <x v="2"/>
    <x v="1"/>
    <n v="852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8"/>
    <x v="5"/>
    <x v="3"/>
    <x v="1"/>
    <n v="851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8"/>
    <x v="6"/>
    <x v="0"/>
    <x v="0"/>
    <n v="344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8"/>
    <x v="7"/>
    <x v="1"/>
    <x v="0"/>
    <n v="1.8859649122806999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8"/>
    <x v="8"/>
    <x v="0"/>
    <x v="0"/>
    <n v="224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8"/>
    <x v="9"/>
    <x v="1"/>
    <x v="0"/>
    <n v="4.9122807017543896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8"/>
    <x v="10"/>
    <x v="3"/>
    <x v="2"/>
    <n v="283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8"/>
    <x v="11"/>
    <x v="0"/>
    <x v="0"/>
    <n v="142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8"/>
    <x v="12"/>
    <x v="1"/>
    <x v="0"/>
    <n v="8.4390036877900795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9"/>
    <x v="0"/>
    <x v="0"/>
    <x v="0"/>
    <n v="289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9"/>
    <x v="1"/>
    <x v="1"/>
    <x v="0"/>
    <n v="0.25337380435043599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9"/>
    <x v="2"/>
    <x v="0"/>
    <x v="0"/>
    <n v="288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9"/>
    <x v="3"/>
    <x v="1"/>
    <x v="0"/>
    <n v="0.62295007048234596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9"/>
    <x v="4"/>
    <x v="2"/>
    <x v="1"/>
    <n v="863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9"/>
    <x v="5"/>
    <x v="3"/>
    <x v="1"/>
    <n v="864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9"/>
    <x v="6"/>
    <x v="0"/>
    <x v="0"/>
    <n v="342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9"/>
    <x v="7"/>
    <x v="1"/>
    <x v="0"/>
    <n v="1.8749999999999999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9"/>
    <x v="8"/>
    <x v="0"/>
    <x v="0"/>
    <n v="233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9"/>
    <x v="9"/>
    <x v="1"/>
    <x v="0"/>
    <n v="5.1323542008876498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9"/>
    <x v="10"/>
    <x v="3"/>
    <x v="2"/>
    <n v="288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9"/>
    <x v="11"/>
    <x v="0"/>
    <x v="0"/>
    <n v="144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9"/>
    <x v="12"/>
    <x v="1"/>
    <x v="0"/>
    <n v="8.3764622734738101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10"/>
    <x v="0"/>
    <x v="0"/>
    <x v="0"/>
    <n v="278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10"/>
    <x v="1"/>
    <x v="1"/>
    <x v="0"/>
    <n v="0.243859649122807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10"/>
    <x v="2"/>
    <x v="0"/>
    <x v="0"/>
    <n v="276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10"/>
    <x v="3"/>
    <x v="1"/>
    <x v="0"/>
    <n v="0.60191002682407202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10"/>
    <x v="4"/>
    <x v="2"/>
    <x v="1"/>
    <n v="827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10"/>
    <x v="5"/>
    <x v="3"/>
    <x v="1"/>
    <n v="830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10"/>
    <x v="6"/>
    <x v="0"/>
    <x v="0"/>
    <n v="323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10"/>
    <x v="7"/>
    <x v="1"/>
    <x v="0"/>
    <n v="1.77083333333334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10"/>
    <x v="8"/>
    <x v="0"/>
    <x v="0"/>
    <n v="228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10"/>
    <x v="9"/>
    <x v="1"/>
    <x v="0"/>
    <n v="5.0000000000000001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10"/>
    <x v="10"/>
    <x v="3"/>
    <x v="2"/>
    <n v="278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10"/>
    <x v="11"/>
    <x v="0"/>
    <x v="0"/>
    <n v="138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10"/>
    <x v="12"/>
    <x v="1"/>
    <x v="0"/>
    <n v="8.1003493031140503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11"/>
    <x v="0"/>
    <x v="0"/>
    <x v="0"/>
    <n v="296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11"/>
    <x v="1"/>
    <x v="1"/>
    <x v="0"/>
    <n v="0.25964912280701702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11"/>
    <x v="2"/>
    <x v="0"/>
    <x v="0"/>
    <n v="294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11"/>
    <x v="3"/>
    <x v="1"/>
    <x v="0"/>
    <n v="0.64453744943541502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11"/>
    <x v="4"/>
    <x v="2"/>
    <x v="1"/>
    <n v="880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11"/>
    <x v="5"/>
    <x v="3"/>
    <x v="1"/>
    <n v="888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11"/>
    <x v="6"/>
    <x v="0"/>
    <x v="0"/>
    <n v="341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11"/>
    <x v="7"/>
    <x v="1"/>
    <x v="0"/>
    <n v="1.86951754385965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11"/>
    <x v="8"/>
    <x v="0"/>
    <x v="0"/>
    <n v="246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11"/>
    <x v="9"/>
    <x v="1"/>
    <x v="0"/>
    <n v="5.3947368421052603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11"/>
    <x v="10"/>
    <x v="3"/>
    <x v="2"/>
    <n v="296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11"/>
    <x v="11"/>
    <x v="0"/>
    <x v="0"/>
    <n v="146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11"/>
    <x v="12"/>
    <x v="1"/>
    <x v="0"/>
    <n v="8.6936295587702203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12"/>
    <x v="0"/>
    <x v="0"/>
    <x v="0"/>
    <n v="299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12"/>
    <x v="1"/>
    <x v="1"/>
    <x v="0"/>
    <n v="0.262280701754386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12"/>
    <x v="2"/>
    <x v="0"/>
    <x v="0"/>
    <n v="298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12"/>
    <x v="3"/>
    <x v="1"/>
    <x v="0"/>
    <n v="0.64543431332300205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12"/>
    <x v="4"/>
    <x v="2"/>
    <x v="1"/>
    <n v="889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12"/>
    <x v="5"/>
    <x v="3"/>
    <x v="1"/>
    <n v="899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12"/>
    <x v="6"/>
    <x v="0"/>
    <x v="0"/>
    <n v="339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12"/>
    <x v="7"/>
    <x v="1"/>
    <x v="0"/>
    <n v="1.85855263157895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12"/>
    <x v="8"/>
    <x v="0"/>
    <x v="0"/>
    <n v="253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12"/>
    <x v="9"/>
    <x v="1"/>
    <x v="0"/>
    <n v="5.5482456140350904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12"/>
    <x v="10"/>
    <x v="3"/>
    <x v="2"/>
    <n v="299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12"/>
    <x v="11"/>
    <x v="0"/>
    <x v="0"/>
    <n v="148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12"/>
    <x v="12"/>
    <x v="1"/>
    <x v="0"/>
    <n v="8.7155605256225399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13"/>
    <x v="0"/>
    <x v="0"/>
    <x v="0"/>
    <n v="297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13"/>
    <x v="1"/>
    <x v="1"/>
    <x v="0"/>
    <n v="0.26026130163086397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13"/>
    <x v="2"/>
    <x v="0"/>
    <x v="0"/>
    <n v="296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13"/>
    <x v="3"/>
    <x v="1"/>
    <x v="0"/>
    <n v="0.65057958120381199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13"/>
    <x v="4"/>
    <x v="2"/>
    <x v="1"/>
    <n v="884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13"/>
    <x v="5"/>
    <x v="3"/>
    <x v="1"/>
    <n v="888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13"/>
    <x v="6"/>
    <x v="0"/>
    <x v="0"/>
    <n v="358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13"/>
    <x v="7"/>
    <x v="1"/>
    <x v="0"/>
    <n v="1.96271929824561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13"/>
    <x v="8"/>
    <x v="0"/>
    <x v="0"/>
    <n v="231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13"/>
    <x v="9"/>
    <x v="1"/>
    <x v="0"/>
    <n v="5.0657894736842101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13"/>
    <x v="10"/>
    <x v="3"/>
    <x v="2"/>
    <n v="296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13"/>
    <x v="11"/>
    <x v="0"/>
    <x v="0"/>
    <n v="147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13"/>
    <x v="12"/>
    <x v="1"/>
    <x v="0"/>
    <n v="8.6082941460922505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14"/>
    <x v="0"/>
    <x v="0"/>
    <x v="0"/>
    <n v="275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14"/>
    <x v="1"/>
    <x v="1"/>
    <x v="0"/>
    <n v="0.24122807017543901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14"/>
    <x v="2"/>
    <x v="0"/>
    <x v="0"/>
    <n v="276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14"/>
    <x v="3"/>
    <x v="1"/>
    <x v="0"/>
    <n v="0.61523141287821304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14"/>
    <x v="4"/>
    <x v="2"/>
    <x v="1"/>
    <n v="822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14"/>
    <x v="5"/>
    <x v="3"/>
    <x v="1"/>
    <n v="823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14"/>
    <x v="6"/>
    <x v="0"/>
    <x v="0"/>
    <n v="327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14"/>
    <x v="7"/>
    <x v="1"/>
    <x v="0"/>
    <n v="1.7939910121356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14"/>
    <x v="8"/>
    <x v="0"/>
    <x v="0"/>
    <n v="221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14"/>
    <x v="9"/>
    <x v="1"/>
    <x v="0"/>
    <n v="4.8464912280701796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14"/>
    <x v="10"/>
    <x v="3"/>
    <x v="2"/>
    <n v="275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14"/>
    <x v="11"/>
    <x v="0"/>
    <x v="0"/>
    <n v="137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14"/>
    <x v="12"/>
    <x v="1"/>
    <x v="0"/>
    <n v="8.16627497191552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15"/>
    <x v="0"/>
    <x v="0"/>
    <x v="0"/>
    <n v="277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15"/>
    <x v="1"/>
    <x v="1"/>
    <x v="0"/>
    <n v="0.24298245614035099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15"/>
    <x v="2"/>
    <x v="0"/>
    <x v="0"/>
    <n v="276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15"/>
    <x v="3"/>
    <x v="1"/>
    <x v="0"/>
    <n v="0.60538881518458598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15"/>
    <x v="4"/>
    <x v="2"/>
    <x v="1"/>
    <n v="828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15"/>
    <x v="5"/>
    <x v="3"/>
    <x v="1"/>
    <n v="829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15"/>
    <x v="6"/>
    <x v="0"/>
    <x v="0"/>
    <n v="344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15"/>
    <x v="7"/>
    <x v="1"/>
    <x v="0"/>
    <n v="1.8859649122806999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15"/>
    <x v="8"/>
    <x v="0"/>
    <x v="0"/>
    <n v="208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15"/>
    <x v="9"/>
    <x v="1"/>
    <x v="0"/>
    <n v="4.5614035087719303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15"/>
    <x v="10"/>
    <x v="3"/>
    <x v="2"/>
    <n v="277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15"/>
    <x v="11"/>
    <x v="0"/>
    <x v="0"/>
    <n v="138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15"/>
    <x v="12"/>
    <x v="1"/>
    <x v="0"/>
    <n v="8.1513731417820007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16"/>
    <x v="0"/>
    <x v="0"/>
    <x v="0"/>
    <n v="279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16"/>
    <x v="1"/>
    <x v="1"/>
    <x v="0"/>
    <n v="0.24518979190839399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16"/>
    <x v="2"/>
    <x v="0"/>
    <x v="0"/>
    <n v="278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16"/>
    <x v="3"/>
    <x v="1"/>
    <x v="0"/>
    <n v="0.62025742082706403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16"/>
    <x v="4"/>
    <x v="2"/>
    <x v="1"/>
    <n v="833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16"/>
    <x v="5"/>
    <x v="3"/>
    <x v="1"/>
    <n v="840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16"/>
    <x v="6"/>
    <x v="0"/>
    <x v="0"/>
    <n v="333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16"/>
    <x v="7"/>
    <x v="1"/>
    <x v="0"/>
    <n v="1.8201838973989899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16"/>
    <x v="8"/>
    <x v="0"/>
    <x v="0"/>
    <n v="222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16"/>
    <x v="9"/>
    <x v="1"/>
    <x v="0"/>
    <n v="4.86842105263158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16"/>
    <x v="10"/>
    <x v="3"/>
    <x v="2"/>
    <n v="280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16"/>
    <x v="11"/>
    <x v="0"/>
    <x v="0"/>
    <n v="139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16"/>
    <x v="12"/>
    <x v="1"/>
    <x v="0"/>
    <n v="8.0650049738792307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17"/>
    <x v="0"/>
    <x v="0"/>
    <x v="0"/>
    <n v="280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17"/>
    <x v="1"/>
    <x v="1"/>
    <x v="0"/>
    <n v="0.24561403508771901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17"/>
    <x v="2"/>
    <x v="0"/>
    <x v="0"/>
    <n v="282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17"/>
    <x v="3"/>
    <x v="1"/>
    <x v="0"/>
    <n v="0.62040482220339699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17"/>
    <x v="4"/>
    <x v="2"/>
    <x v="1"/>
    <n v="845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17"/>
    <x v="5"/>
    <x v="3"/>
    <x v="1"/>
    <n v="840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17"/>
    <x v="6"/>
    <x v="0"/>
    <x v="0"/>
    <n v="338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17"/>
    <x v="7"/>
    <x v="1"/>
    <x v="0"/>
    <n v="1.8530701754385999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17"/>
    <x v="8"/>
    <x v="0"/>
    <x v="0"/>
    <n v="225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17"/>
    <x v="9"/>
    <x v="1"/>
    <x v="0"/>
    <n v="4.9342105263157901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17"/>
    <x v="10"/>
    <x v="3"/>
    <x v="2"/>
    <n v="280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17"/>
    <x v="11"/>
    <x v="0"/>
    <x v="0"/>
    <n v="141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17"/>
    <x v="12"/>
    <x v="1"/>
    <x v="0"/>
    <n v="8.3676530020434306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18"/>
    <x v="0"/>
    <x v="0"/>
    <x v="0"/>
    <n v="286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18"/>
    <x v="1"/>
    <x v="1"/>
    <x v="0"/>
    <n v="0.25087719298245598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18"/>
    <x v="2"/>
    <x v="0"/>
    <x v="0"/>
    <n v="288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18"/>
    <x v="3"/>
    <x v="1"/>
    <x v="0"/>
    <n v="0.63207337880649594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18"/>
    <x v="4"/>
    <x v="2"/>
    <x v="1"/>
    <n v="865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18"/>
    <x v="5"/>
    <x v="3"/>
    <x v="1"/>
    <n v="854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18"/>
    <x v="6"/>
    <x v="0"/>
    <x v="0"/>
    <n v="340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18"/>
    <x v="7"/>
    <x v="1"/>
    <x v="0"/>
    <n v="1.8640350877192999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18"/>
    <x v="8"/>
    <x v="0"/>
    <x v="0"/>
    <n v="237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18"/>
    <x v="9"/>
    <x v="1"/>
    <x v="0"/>
    <n v="5.1973684210526302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18"/>
    <x v="10"/>
    <x v="3"/>
    <x v="2"/>
    <n v="286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18"/>
    <x v="11"/>
    <x v="0"/>
    <x v="0"/>
    <n v="144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18"/>
    <x v="12"/>
    <x v="1"/>
    <x v="0"/>
    <n v="8.4742067700140797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19"/>
    <x v="0"/>
    <x v="0"/>
    <x v="0"/>
    <n v="290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19"/>
    <x v="1"/>
    <x v="1"/>
    <x v="0"/>
    <n v="0.25402141444504001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19"/>
    <x v="2"/>
    <x v="0"/>
    <x v="0"/>
    <n v="292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19"/>
    <x v="3"/>
    <x v="1"/>
    <x v="0"/>
    <n v="0.645018420018168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19"/>
    <x v="4"/>
    <x v="2"/>
    <x v="1"/>
    <n v="874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19"/>
    <x v="5"/>
    <x v="3"/>
    <x v="1"/>
    <n v="861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19"/>
    <x v="6"/>
    <x v="0"/>
    <x v="0"/>
    <n v="367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19"/>
    <x v="7"/>
    <x v="1"/>
    <x v="0"/>
    <n v="2.0120614035087701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19"/>
    <x v="8"/>
    <x v="0"/>
    <x v="0"/>
    <n v="215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19"/>
    <x v="9"/>
    <x v="1"/>
    <x v="0"/>
    <n v="4.7183340482242504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19"/>
    <x v="10"/>
    <x v="3"/>
    <x v="2"/>
    <n v="289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19"/>
    <x v="11"/>
    <x v="0"/>
    <x v="0"/>
    <n v="146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19"/>
    <x v="12"/>
    <x v="1"/>
    <x v="0"/>
    <n v="8.6210835187452498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20"/>
    <x v="0"/>
    <x v="0"/>
    <x v="0"/>
    <n v="273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20"/>
    <x v="1"/>
    <x v="1"/>
    <x v="0"/>
    <n v="0.23947368421052601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20"/>
    <x v="2"/>
    <x v="0"/>
    <x v="0"/>
    <n v="272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20"/>
    <x v="3"/>
    <x v="1"/>
    <x v="0"/>
    <n v="0.599562468862744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20"/>
    <x v="4"/>
    <x v="2"/>
    <x v="1"/>
    <n v="819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20"/>
    <x v="5"/>
    <x v="3"/>
    <x v="1"/>
    <n v="821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20"/>
    <x v="6"/>
    <x v="0"/>
    <x v="0"/>
    <n v="323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20"/>
    <x v="7"/>
    <x v="1"/>
    <x v="0"/>
    <n v="1.77083333333333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20"/>
    <x v="8"/>
    <x v="0"/>
    <x v="0"/>
    <n v="224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20"/>
    <x v="9"/>
    <x v="1"/>
    <x v="0"/>
    <n v="4.9122807017543801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20"/>
    <x v="10"/>
    <x v="3"/>
    <x v="2"/>
    <n v="273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20"/>
    <x v="11"/>
    <x v="0"/>
    <x v="0"/>
    <n v="136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20"/>
    <x v="12"/>
    <x v="1"/>
    <x v="0"/>
    <n v="7.9670120799933797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21"/>
    <x v="0"/>
    <x v="0"/>
    <x v="0"/>
    <n v="284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21"/>
    <x v="1"/>
    <x v="1"/>
    <x v="0"/>
    <n v="0.249122807017544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21"/>
    <x v="2"/>
    <x v="0"/>
    <x v="0"/>
    <n v="284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21"/>
    <x v="3"/>
    <x v="1"/>
    <x v="0"/>
    <n v="0.62292363405547502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21"/>
    <x v="4"/>
    <x v="2"/>
    <x v="1"/>
    <n v="846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21"/>
    <x v="5"/>
    <x v="3"/>
    <x v="1"/>
    <n v="852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21"/>
    <x v="6"/>
    <x v="0"/>
    <x v="0"/>
    <n v="338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21"/>
    <x v="7"/>
    <x v="1"/>
    <x v="0"/>
    <n v="1.8530701754385999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21"/>
    <x v="8"/>
    <x v="0"/>
    <x v="0"/>
    <n v="226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21"/>
    <x v="9"/>
    <x v="1"/>
    <x v="0"/>
    <n v="4.9561403508772001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21"/>
    <x v="10"/>
    <x v="3"/>
    <x v="2"/>
    <n v="284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21"/>
    <x v="11"/>
    <x v="0"/>
    <x v="0"/>
    <n v="141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21"/>
    <x v="12"/>
    <x v="1"/>
    <x v="0"/>
    <n v="8.3367628800741805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22"/>
    <x v="0"/>
    <x v="0"/>
    <x v="0"/>
    <n v="282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22"/>
    <x v="1"/>
    <x v="1"/>
    <x v="0"/>
    <n v="0.24775984932317899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22"/>
    <x v="2"/>
    <x v="0"/>
    <x v="0"/>
    <n v="282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22"/>
    <x v="3"/>
    <x v="1"/>
    <x v="0"/>
    <n v="0.63586510528108597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22"/>
    <x v="4"/>
    <x v="2"/>
    <x v="1"/>
    <n v="848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22"/>
    <x v="5"/>
    <x v="3"/>
    <x v="1"/>
    <n v="847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22"/>
    <x v="6"/>
    <x v="0"/>
    <x v="0"/>
    <n v="334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22"/>
    <x v="7"/>
    <x v="1"/>
    <x v="0"/>
    <n v="1.8311403508771899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22"/>
    <x v="8"/>
    <x v="0"/>
    <x v="0"/>
    <n v="231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22"/>
    <x v="9"/>
    <x v="1"/>
    <x v="0"/>
    <n v="5.0841691108724904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22"/>
    <x v="10"/>
    <x v="3"/>
    <x v="2"/>
    <n v="283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22"/>
    <x v="11"/>
    <x v="0"/>
    <x v="0"/>
    <n v="142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22"/>
    <x v="12"/>
    <x v="1"/>
    <x v="0"/>
    <n v="8.2125276488639404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23"/>
    <x v="0"/>
    <x v="0"/>
    <x v="0"/>
    <n v="280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23"/>
    <x v="1"/>
    <x v="1"/>
    <x v="0"/>
    <n v="0.24561403508771901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23"/>
    <x v="2"/>
    <x v="0"/>
    <x v="0"/>
    <n v="280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23"/>
    <x v="3"/>
    <x v="1"/>
    <x v="0"/>
    <n v="0.61555961733891895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23"/>
    <x v="4"/>
    <x v="2"/>
    <x v="1"/>
    <n v="840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23"/>
    <x v="5"/>
    <x v="3"/>
    <x v="1"/>
    <n v="840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23"/>
    <x v="6"/>
    <x v="0"/>
    <x v="0"/>
    <n v="311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23"/>
    <x v="7"/>
    <x v="1"/>
    <x v="0"/>
    <n v="1.70504385964912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23"/>
    <x v="8"/>
    <x v="0"/>
    <x v="0"/>
    <n v="249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23"/>
    <x v="9"/>
    <x v="1"/>
    <x v="0"/>
    <n v="5.4605263157894704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23"/>
    <x v="10"/>
    <x v="3"/>
    <x v="2"/>
    <n v="280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23"/>
    <x v="11"/>
    <x v="0"/>
    <x v="0"/>
    <n v="140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23"/>
    <x v="12"/>
    <x v="1"/>
    <x v="0"/>
    <n v="8.2013617748435103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24"/>
    <x v="0"/>
    <x v="0"/>
    <x v="0"/>
    <n v="291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24"/>
    <x v="1"/>
    <x v="1"/>
    <x v="0"/>
    <n v="0.25526315789473702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24"/>
    <x v="2"/>
    <x v="0"/>
    <x v="0"/>
    <n v="296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24"/>
    <x v="3"/>
    <x v="1"/>
    <x v="0"/>
    <n v="0.66437615485295698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24"/>
    <x v="4"/>
    <x v="2"/>
    <x v="1"/>
    <n v="889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24"/>
    <x v="5"/>
    <x v="3"/>
    <x v="1"/>
    <n v="871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24"/>
    <x v="6"/>
    <x v="0"/>
    <x v="0"/>
    <n v="371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24"/>
    <x v="7"/>
    <x v="1"/>
    <x v="0"/>
    <n v="2.0339912280701801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24"/>
    <x v="8"/>
    <x v="0"/>
    <x v="0"/>
    <n v="222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24"/>
    <x v="9"/>
    <x v="1"/>
    <x v="0"/>
    <n v="4.86842105263158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24"/>
    <x v="10"/>
    <x v="3"/>
    <x v="2"/>
    <n v="291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24"/>
    <x v="11"/>
    <x v="0"/>
    <x v="0"/>
    <n v="148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24"/>
    <x v="12"/>
    <x v="1"/>
    <x v="0"/>
    <n v="8.8212885028186694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25"/>
    <x v="0"/>
    <x v="0"/>
    <x v="0"/>
    <n v="302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25"/>
    <x v="1"/>
    <x v="1"/>
    <x v="0"/>
    <n v="0.26491228070175399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25"/>
    <x v="2"/>
    <x v="0"/>
    <x v="0"/>
    <n v="300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25"/>
    <x v="3"/>
    <x v="1"/>
    <x v="0"/>
    <n v="0.64931189821143598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25"/>
    <x v="4"/>
    <x v="2"/>
    <x v="1"/>
    <n v="901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25"/>
    <x v="5"/>
    <x v="3"/>
    <x v="1"/>
    <n v="910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25"/>
    <x v="6"/>
    <x v="0"/>
    <x v="0"/>
    <n v="374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25"/>
    <x v="7"/>
    <x v="1"/>
    <x v="0"/>
    <n v="2.05043859649123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25"/>
    <x v="8"/>
    <x v="0"/>
    <x v="0"/>
    <n v="227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25"/>
    <x v="9"/>
    <x v="1"/>
    <x v="0"/>
    <n v="4.9780701754385996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25"/>
    <x v="10"/>
    <x v="3"/>
    <x v="2"/>
    <n v="302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25"/>
    <x v="11"/>
    <x v="0"/>
    <x v="0"/>
    <n v="150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25"/>
    <x v="12"/>
    <x v="1"/>
    <x v="0"/>
    <n v="8.4245022667115005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26"/>
    <x v="0"/>
    <x v="0"/>
    <x v="0"/>
    <n v="272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26"/>
    <x v="1"/>
    <x v="1"/>
    <x v="0"/>
    <n v="0.23859649122807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26"/>
    <x v="2"/>
    <x v="0"/>
    <x v="0"/>
    <n v="274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26"/>
    <x v="3"/>
    <x v="1"/>
    <x v="0"/>
    <n v="0.59867913678398399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26"/>
    <x v="4"/>
    <x v="2"/>
    <x v="1"/>
    <n v="823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26"/>
    <x v="5"/>
    <x v="3"/>
    <x v="1"/>
    <n v="816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26"/>
    <x v="6"/>
    <x v="0"/>
    <x v="0"/>
    <n v="344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26"/>
    <x v="7"/>
    <x v="1"/>
    <x v="0"/>
    <n v="1.8857889340883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26"/>
    <x v="8"/>
    <x v="0"/>
    <x v="0"/>
    <n v="205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26"/>
    <x v="9"/>
    <x v="1"/>
    <x v="0"/>
    <n v="4.4956140350877203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26"/>
    <x v="10"/>
    <x v="3"/>
    <x v="2"/>
    <n v="272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26"/>
    <x v="11"/>
    <x v="0"/>
    <x v="0"/>
    <n v="137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26"/>
    <x v="12"/>
    <x v="1"/>
    <x v="0"/>
    <n v="8.0732437048469302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27"/>
    <x v="0"/>
    <x v="0"/>
    <x v="0"/>
    <n v="270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27"/>
    <x v="1"/>
    <x v="1"/>
    <x v="0"/>
    <n v="0.23684210526315799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27"/>
    <x v="2"/>
    <x v="0"/>
    <x v="0"/>
    <n v="272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27"/>
    <x v="3"/>
    <x v="1"/>
    <x v="0"/>
    <n v="0.59159702273548298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27"/>
    <x v="4"/>
    <x v="2"/>
    <x v="1"/>
    <n v="819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27"/>
    <x v="5"/>
    <x v="3"/>
    <x v="1"/>
    <n v="810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27"/>
    <x v="6"/>
    <x v="0"/>
    <x v="0"/>
    <n v="327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27"/>
    <x v="7"/>
    <x v="1"/>
    <x v="0"/>
    <n v="1.79054729773366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27"/>
    <x v="8"/>
    <x v="0"/>
    <x v="0"/>
    <n v="220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27"/>
    <x v="9"/>
    <x v="1"/>
    <x v="0"/>
    <n v="4.8245614035087696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27"/>
    <x v="10"/>
    <x v="3"/>
    <x v="2"/>
    <n v="270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27"/>
    <x v="11"/>
    <x v="0"/>
    <x v="0"/>
    <n v="136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27"/>
    <x v="12"/>
    <x v="1"/>
    <x v="0"/>
    <n v="7.9005982237244504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28"/>
    <x v="0"/>
    <x v="0"/>
    <x v="0"/>
    <n v="267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28"/>
    <x v="1"/>
    <x v="1"/>
    <x v="0"/>
    <n v="0.23421052631578901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28"/>
    <x v="2"/>
    <x v="0"/>
    <x v="0"/>
    <n v="267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28"/>
    <x v="3"/>
    <x v="1"/>
    <x v="0"/>
    <n v="0.58467229634543605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28"/>
    <x v="4"/>
    <x v="2"/>
    <x v="1"/>
    <n v="796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28"/>
    <x v="5"/>
    <x v="3"/>
    <x v="1"/>
    <n v="803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28"/>
    <x v="6"/>
    <x v="0"/>
    <x v="0"/>
    <n v="314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28"/>
    <x v="7"/>
    <x v="1"/>
    <x v="0"/>
    <n v="1.7214912280701801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28"/>
    <x v="8"/>
    <x v="0"/>
    <x v="0"/>
    <n v="216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28"/>
    <x v="9"/>
    <x v="1"/>
    <x v="0"/>
    <n v="4.7368421052631504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28"/>
    <x v="10"/>
    <x v="3"/>
    <x v="2"/>
    <n v="267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28"/>
    <x v="11"/>
    <x v="0"/>
    <x v="0"/>
    <n v="133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28"/>
    <x v="12"/>
    <x v="1"/>
    <x v="0"/>
    <n v="7.7176470357847096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29"/>
    <x v="0"/>
    <x v="0"/>
    <x v="0"/>
    <n v="306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29"/>
    <x v="1"/>
    <x v="1"/>
    <x v="0"/>
    <n v="0.26810717240818899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29"/>
    <x v="2"/>
    <x v="0"/>
    <x v="0"/>
    <n v="302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29"/>
    <x v="3"/>
    <x v="1"/>
    <x v="0"/>
    <n v="0.65703368629840297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29"/>
    <x v="4"/>
    <x v="2"/>
    <x v="1"/>
    <n v="907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29"/>
    <x v="5"/>
    <x v="3"/>
    <x v="1"/>
    <n v="913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29"/>
    <x v="6"/>
    <x v="0"/>
    <x v="0"/>
    <n v="378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29"/>
    <x v="7"/>
    <x v="1"/>
    <x v="0"/>
    <n v="2.07236842105263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29"/>
    <x v="8"/>
    <x v="0"/>
    <x v="0"/>
    <n v="227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29"/>
    <x v="9"/>
    <x v="1"/>
    <x v="0"/>
    <n v="4.9780701754385996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29"/>
    <x v="10"/>
    <x v="3"/>
    <x v="2"/>
    <n v="305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29"/>
    <x v="11"/>
    <x v="0"/>
    <x v="0"/>
    <n v="151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29"/>
    <x v="12"/>
    <x v="1"/>
    <x v="0"/>
    <n v="8.9076989614609706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  <r>
    <x v="0"/>
    <s v="2025-05-26 16:22:20"/>
    <n v="30"/>
    <x v="0"/>
    <x v="0"/>
    <x v="0"/>
    <n v="270"/>
    <n v="0"/>
    <s v="Unnamed ProjectCleaner.NumberSeizedTotal Number SeizedResource"/>
    <n v="30"/>
    <n v="285.39999999999998"/>
    <n v="12.88302812979555"/>
    <n v="0.95"/>
    <n v="4.8106017636928868"/>
    <n v="266"/>
    <n v="318"/>
  </r>
  <r>
    <x v="0"/>
    <s v="2025-05-26 16:22:20"/>
    <n v="30"/>
    <x v="1"/>
    <x v="1"/>
    <x v="0"/>
    <n v="0.23684210526315799"/>
    <n v="0"/>
    <s v="Unnamed ProjectCleaner.ScheduledUtilizationScheduled UtilizationResource"/>
    <n v="30"/>
    <n v="0.25031804088290305"/>
    <n v="1.1255778929137084E-2"/>
    <n v="0.95"/>
    <n v="4.2029769261323026E-3"/>
    <n v="0.233333333333333"/>
    <n v="0.27905535859326402"/>
  </r>
  <r>
    <x v="0"/>
    <s v="2025-05-26 16:22:20"/>
    <n v="30"/>
    <x v="2"/>
    <x v="0"/>
    <x v="0"/>
    <n v="270"/>
    <n v="0"/>
    <s v="Unnamed ProjectCooker.NumberSeizedTotal Number SeizedResource"/>
    <n v="30"/>
    <n v="285.66666666666669"/>
    <n v="12.949060233064802"/>
    <n v="0.95"/>
    <n v="4.8352585562766697"/>
    <n v="264"/>
    <n v="320"/>
  </r>
  <r>
    <x v="0"/>
    <s v="2025-05-26 16:22:20"/>
    <n v="30"/>
    <x v="3"/>
    <x v="1"/>
    <x v="0"/>
    <n v="0.60135583611811805"/>
    <n v="0"/>
    <s v="Unnamed ProjectCooker.ScheduledUtilizationScheduled UtilizationResource"/>
    <n v="30"/>
    <n v="0.62721981794251769"/>
    <n v="2.6376107220918699E-2"/>
    <n v="0.95"/>
    <n v="9.8490003000806757E-3"/>
    <n v="0.58256422876290004"/>
    <n v="0.68643238055161704"/>
  </r>
  <r>
    <x v="0"/>
    <s v="2025-05-26 16:22:20"/>
    <n v="30"/>
    <x v="4"/>
    <x v="2"/>
    <x v="1"/>
    <n v="812"/>
    <n v="0"/>
    <s v="Unnamed ProjectCustomer.NumberInNumber InEntity"/>
    <n v="30"/>
    <n v="855.93333333333328"/>
    <n v="38.659373073509371"/>
    <n v="0.95"/>
    <n v="14.435647148869247"/>
    <n v="792"/>
    <n v="958"/>
  </r>
  <r>
    <x v="0"/>
    <s v="2025-05-26 16:22:20"/>
    <n v="30"/>
    <x v="5"/>
    <x v="3"/>
    <x v="1"/>
    <n v="810"/>
    <n v="0"/>
    <s v="Unnamed ProjectCustomer.NumberOutNumber OutEntity"/>
    <n v="30"/>
    <n v="855.3"/>
    <n v="38.322722169527033"/>
    <n v="0.95"/>
    <n v="14.309939635377081"/>
    <n v="798"/>
    <n v="954"/>
  </r>
  <r>
    <x v="0"/>
    <s v="2025-05-26 16:22:20"/>
    <n v="30"/>
    <x v="6"/>
    <x v="0"/>
    <x v="0"/>
    <n v="326"/>
    <n v="0"/>
    <s v="Unnamed ProjectInside_Table.NumberSeizedTotal Number SeizedResource"/>
    <n v="30"/>
    <n v="344.6"/>
    <n v="21.890952311479008"/>
    <n v="0.95"/>
    <n v="8.1742159325851755"/>
    <n v="311"/>
    <n v="396"/>
  </r>
  <r>
    <x v="0"/>
    <s v="2025-05-26 16:22:20"/>
    <n v="30"/>
    <x v="7"/>
    <x v="1"/>
    <x v="0"/>
    <n v="1.7872807017543799E-3"/>
    <n v="0"/>
    <s v="Unnamed ProjectInside_Table.ScheduledUtilizationScheduled UtilizationResource"/>
    <n v="30"/>
    <n v="1.889307012236451E-3"/>
    <n v="1.2015303758165521E-4"/>
    <n v="0.95"/>
    <n v="4.4865881583116673E-5"/>
    <n v="1.70504385964912E-3"/>
    <n v="2.17031677925951E-3"/>
  </r>
  <r>
    <x v="0"/>
    <s v="2025-05-26 16:22:20"/>
    <n v="30"/>
    <x v="8"/>
    <x v="0"/>
    <x v="0"/>
    <n v="216"/>
    <n v="0"/>
    <s v="Unnamed ProjectOutside_Table.NumberSeizedTotal Number SeizedResource"/>
    <n v="30"/>
    <n v="225.93333333333334"/>
    <n v="12.403929670244338"/>
    <n v="0.95"/>
    <n v="4.6317034587851111"/>
    <n v="205"/>
    <n v="253"/>
  </r>
  <r>
    <x v="0"/>
    <s v="2025-05-26 16:22:20"/>
    <n v="30"/>
    <x v="9"/>
    <x v="1"/>
    <x v="0"/>
    <n v="4.73684210526316E-3"/>
    <n v="0"/>
    <s v="Unnamed ProjectOutside_Table.ScheduledUtilizationScheduled UtilizationResource"/>
    <n v="30"/>
    <n v="4.9565971649701106E-3"/>
    <n v="2.7167433725199517E-4"/>
    <n v="0.95"/>
    <n v="1.0144486472958469E-4"/>
    <n v="4.4956140350877203E-3"/>
    <n v="5.5482456140350904E-3"/>
  </r>
  <r>
    <x v="0"/>
    <s v="2025-05-26 16:22:20"/>
    <n v="30"/>
    <x v="10"/>
    <x v="3"/>
    <x v="2"/>
    <n v="270"/>
    <n v="0"/>
    <s v="Unnamed ProjectSystem.NumberOutNumber OutSystem"/>
    <n v="30"/>
    <n v="285.3"/>
    <n v="12.739160368585981"/>
    <n v="0.95"/>
    <n v="4.7568806587755841"/>
    <n v="266"/>
    <n v="318"/>
  </r>
  <r>
    <x v="0"/>
    <s v="2025-05-26 16:22:20"/>
    <n v="30"/>
    <x v="11"/>
    <x v="0"/>
    <x v="0"/>
    <n v="135"/>
    <n v="0"/>
    <s v="Unnamed ProjectWaiter.NumberSeizedTotal Number SeizedResource"/>
    <n v="30"/>
    <n v="142.66666666666666"/>
    <n v="6.4505190025531167"/>
    <n v="0.95"/>
    <n v="2.408663380828072"/>
    <n v="132"/>
    <n v="160"/>
  </r>
  <r>
    <x v="0"/>
    <s v="2025-05-26 16:22:20"/>
    <n v="30"/>
    <x v="12"/>
    <x v="1"/>
    <x v="0"/>
    <n v="7.9150486146479002E-2"/>
    <n v="0"/>
    <s v="Unnamed ProjectWaiter.ScheduledUtilizationScheduled UtilizationResource"/>
    <n v="30"/>
    <n v="8.3509459606410805E-2"/>
    <n v="3.5452891325333867E-3"/>
    <n v="0.95"/>
    <n v="1.3238327186697674E-3"/>
    <n v="7.7176470357847096E-2"/>
    <n v="9.2534326714405798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0">
  <r>
    <x v="0"/>
    <s v="2025-05-26 16:22:20"/>
    <n v="1"/>
    <x v="0"/>
    <x v="0"/>
    <x v="0"/>
    <n v="0.24992438174105699"/>
    <n v="2.0972107384124701E-2"/>
    <n v="0"/>
    <n v="1"/>
    <n v="1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"/>
    <x v="0"/>
    <x v="1"/>
    <x v="0"/>
    <n v="0.24992438174105699"/>
    <n v="2.0972107384124701E-2"/>
    <n v="0"/>
    <n v="1"/>
    <n v="1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1"/>
    <x v="1"/>
    <x v="3"/>
    <x v="1"/>
    <n v="2.7383830865045099E-2"/>
    <n v="2E+20"/>
    <n v="0"/>
    <n v="2"/>
    <n v="1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1"/>
    <x v="2"/>
    <x v="0"/>
    <x v="0"/>
    <n v="0.63371258005858999"/>
    <n v="2E+20"/>
    <n v="0"/>
    <n v="1"/>
    <n v="0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1"/>
    <x v="2"/>
    <x v="1"/>
    <x v="0"/>
    <n v="1.26742516011718"/>
    <n v="2E+20"/>
    <n v="0"/>
    <n v="2"/>
    <n v="0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1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1"/>
    <x v="3"/>
    <x v="4"/>
    <x v="2"/>
    <n v="15.6116149179656"/>
    <n v="1.1908460742990099"/>
    <n v="3"/>
    <n v="35"/>
    <n v="14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1"/>
    <x v="4"/>
    <x v="3"/>
    <x v="1"/>
    <n v="0.20847875113051101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1"/>
    <x v="5"/>
    <x v="0"/>
    <x v="0"/>
    <n v="1.9462719298245601E-3"/>
    <n v="1.8781943168344299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1"/>
    <x v="5"/>
    <x v="1"/>
    <x v="0"/>
    <n v="0.15570175438596501"/>
    <n v="1.50255545346755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1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1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1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1"/>
    <x v="8"/>
    <x v="3"/>
    <x v="1"/>
    <n v="1.4867033749702101"/>
    <n v="3E+20"/>
    <n v="0"/>
    <n v="4"/>
    <n v="1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1"/>
    <x v="9"/>
    <x v="0"/>
    <x v="0"/>
    <n v="4.7149122807017604E-3"/>
    <n v="7.7916759099776797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1"/>
    <x v="9"/>
    <x v="1"/>
    <x v="0"/>
    <n v="9.4298245614035103E-2"/>
    <n v="1.5583351819955399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1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1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1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1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1"/>
    <x v="13"/>
    <x v="0"/>
    <x v="0"/>
    <n v="8.3000031811691202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1"/>
    <x v="13"/>
    <x v="1"/>
    <x v="0"/>
    <n v="0.24900009543507401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1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2"/>
    <x v="0"/>
    <x v="0"/>
    <x v="0"/>
    <n v="0.25535692401649401"/>
    <n v="2.4063283700201998E-2"/>
    <n v="0"/>
    <n v="1"/>
    <n v="1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"/>
    <x v="0"/>
    <x v="1"/>
    <x v="0"/>
    <n v="0.25535692401649401"/>
    <n v="2.4063283700201998E-2"/>
    <n v="0"/>
    <n v="1"/>
    <n v="1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2"/>
    <x v="1"/>
    <x v="3"/>
    <x v="1"/>
    <n v="3.1934225509355298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2"/>
    <x v="2"/>
    <x v="0"/>
    <x v="0"/>
    <n v="0.63596717797976898"/>
    <n v="2E+20"/>
    <n v="0"/>
    <n v="1"/>
    <n v="0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2"/>
    <x v="2"/>
    <x v="1"/>
    <x v="0"/>
    <n v="1.27193435595954"/>
    <n v="2E+20"/>
    <n v="0"/>
    <n v="2"/>
    <n v="0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2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2"/>
    <x v="3"/>
    <x v="4"/>
    <x v="2"/>
    <n v="15.7079283200289"/>
    <n v="1.16843016585085"/>
    <n v="3"/>
    <n v="32"/>
    <n v="20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2"/>
    <x v="4"/>
    <x v="3"/>
    <x v="1"/>
    <n v="0.13695304083771001"/>
    <n v="2E+20"/>
    <n v="0"/>
    <n v="3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2"/>
    <x v="5"/>
    <x v="0"/>
    <x v="0"/>
    <n v="1.85028430171782E-3"/>
    <n v="1.9927568741426701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2"/>
    <x v="5"/>
    <x v="1"/>
    <x v="0"/>
    <n v="0.148022744137426"/>
    <n v="1.5942054993141299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2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2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2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2"/>
    <x v="8"/>
    <x v="3"/>
    <x v="1"/>
    <n v="1.5145275098162401"/>
    <n v="9.4002061517540203E-2"/>
    <n v="0"/>
    <n v="4"/>
    <n v="2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2"/>
    <x v="9"/>
    <x v="0"/>
    <x v="0"/>
    <n v="5.3728070175438599E-3"/>
    <n v="6.6719733117871901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2"/>
    <x v="9"/>
    <x v="1"/>
    <x v="0"/>
    <n v="0.107456140350877"/>
    <n v="1.3343946623574399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2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2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2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2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2"/>
    <x v="13"/>
    <x v="0"/>
    <x v="0"/>
    <n v="8.61721786576886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2"/>
    <x v="13"/>
    <x v="1"/>
    <x v="0"/>
    <n v="0.25851653597306601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2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3"/>
    <x v="0"/>
    <x v="0"/>
    <x v="0"/>
    <n v="0.24561403508771901"/>
    <n v="1.9884065535705299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3"/>
    <x v="0"/>
    <x v="1"/>
    <x v="0"/>
    <n v="0.24561403508771901"/>
    <n v="1.9884065535705299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3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3"/>
    <x v="1"/>
    <x v="3"/>
    <x v="1"/>
    <n v="2.86287694338218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3"/>
    <x v="2"/>
    <x v="0"/>
    <x v="0"/>
    <n v="0.62199892977198901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3"/>
    <x v="2"/>
    <x v="1"/>
    <x v="0"/>
    <n v="1.24399785954398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3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3"/>
    <x v="3"/>
    <x v="4"/>
    <x v="2"/>
    <n v="15.1907261691422"/>
    <n v="1.1847295901143899"/>
    <n v="3"/>
    <n v="31"/>
    <n v="20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3"/>
    <x v="4"/>
    <x v="3"/>
    <x v="1"/>
    <n v="0.17570448141535699"/>
    <n v="2E+20"/>
    <n v="0"/>
    <n v="3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3"/>
    <x v="5"/>
    <x v="0"/>
    <x v="0"/>
    <n v="1.93275207382834E-3"/>
    <n v="2.0762865633844701E-4"/>
    <n v="0"/>
    <n v="3.7499999999999999E-2"/>
    <n v="1.2500000000000001E-2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3"/>
    <x v="5"/>
    <x v="1"/>
    <x v="0"/>
    <n v="0.15462016590626701"/>
    <n v="1.66102925070758E-2"/>
    <n v="0"/>
    <n v="3"/>
    <n v="1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3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3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3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3"/>
    <x v="8"/>
    <x v="3"/>
    <x v="1"/>
    <n v="1.4894161390115299"/>
    <n v="0.114303878123901"/>
    <n v="0"/>
    <n v="4"/>
    <n v="1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3"/>
    <x v="9"/>
    <x v="0"/>
    <x v="0"/>
    <n v="4.6271929824561403E-3"/>
    <n v="3E+20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3"/>
    <x v="9"/>
    <x v="1"/>
    <x v="0"/>
    <n v="9.2543859649122803E-2"/>
    <n v="3E+20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3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3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3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3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3"/>
    <x v="13"/>
    <x v="0"/>
    <x v="0"/>
    <n v="8.3531569820383497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3"/>
    <x v="13"/>
    <x v="1"/>
    <x v="0"/>
    <n v="0.25059470946114998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3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4"/>
    <x v="0"/>
    <x v="0"/>
    <x v="0"/>
    <n v="0.27192982456140302"/>
    <n v="1.81523432421354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4"/>
    <x v="0"/>
    <x v="1"/>
    <x v="0"/>
    <n v="0.27192982456140302"/>
    <n v="1.81523432421354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4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4"/>
    <x v="1"/>
    <x v="3"/>
    <x v="1"/>
    <n v="3.6133235658555599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4"/>
    <x v="2"/>
    <x v="0"/>
    <x v="0"/>
    <n v="0.68643238055161704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4"/>
    <x v="2"/>
    <x v="1"/>
    <x v="0"/>
    <n v="1.3728647611032301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4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4"/>
    <x v="3"/>
    <x v="4"/>
    <x v="2"/>
    <n v="16.787853024655298"/>
    <n v="1.10209392966092"/>
    <n v="6"/>
    <n v="31"/>
    <n v="24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4"/>
    <x v="4"/>
    <x v="3"/>
    <x v="1"/>
    <n v="0.230431069808293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4"/>
    <x v="5"/>
    <x v="0"/>
    <x v="0"/>
    <n v="2.17031677925951E-3"/>
    <n v="2.05945646202929E-4"/>
    <n v="0"/>
    <n v="3.7499999999999999E-2"/>
    <n v="1.2500000000000001E-2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4"/>
    <x v="5"/>
    <x v="1"/>
    <x v="0"/>
    <n v="0.17362534234076099"/>
    <n v="1.64756516962343E-2"/>
    <n v="0"/>
    <n v="3"/>
    <n v="1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4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4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4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4"/>
    <x v="8"/>
    <x v="3"/>
    <x v="1"/>
    <n v="1.53279600128958"/>
    <n v="7.8200034759240797E-2"/>
    <n v="0"/>
    <n v="4"/>
    <n v="0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4"/>
    <x v="9"/>
    <x v="0"/>
    <x v="0"/>
    <n v="5.0219298245613997E-3"/>
    <n v="5.70044363518909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4"/>
    <x v="9"/>
    <x v="1"/>
    <x v="0"/>
    <n v="0.10043859649122799"/>
    <n v="1.1400887270378199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4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4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4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4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4"/>
    <x v="13"/>
    <x v="0"/>
    <x v="0"/>
    <n v="8.7594820116079594E-2"/>
    <n v="2E+20"/>
    <n v="0"/>
    <n v="0.66666666666666696"/>
    <n v="0.33333333333333298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4"/>
    <x v="13"/>
    <x v="1"/>
    <x v="0"/>
    <n v="0.26278446034823899"/>
    <n v="2E+20"/>
    <n v="0"/>
    <n v="2"/>
    <n v="1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4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5"/>
    <x v="0"/>
    <x v="0"/>
    <x v="0"/>
    <n v="0.25"/>
    <n v="2.58888304602032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5"/>
    <x v="0"/>
    <x v="1"/>
    <x v="0"/>
    <n v="0.25"/>
    <n v="2.58888304602032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5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5"/>
    <x v="1"/>
    <x v="3"/>
    <x v="1"/>
    <n v="3.1051864806197801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5"/>
    <x v="2"/>
    <x v="0"/>
    <x v="0"/>
    <n v="0.62099308409866405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5"/>
    <x v="2"/>
    <x v="1"/>
    <x v="0"/>
    <n v="1.2419861681973301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5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5"/>
    <x v="3"/>
    <x v="4"/>
    <x v="2"/>
    <n v="16.048925666082202"/>
    <n v="3E+20"/>
    <n v="1"/>
    <n v="40"/>
    <n v="24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5"/>
    <x v="4"/>
    <x v="3"/>
    <x v="1"/>
    <n v="0.26592230388304999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5"/>
    <x v="5"/>
    <x v="0"/>
    <x v="0"/>
    <n v="1.9441180007558499E-3"/>
    <n v="2.3434599003798601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5"/>
    <x v="5"/>
    <x v="1"/>
    <x v="0"/>
    <n v="0.15552944006046801"/>
    <n v="1.8747679203038901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5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5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5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5"/>
    <x v="8"/>
    <x v="3"/>
    <x v="1"/>
    <n v="1.4062336911317099"/>
    <n v="9.1609522636242294E-2"/>
    <n v="0"/>
    <n v="4"/>
    <n v="1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5"/>
    <x v="9"/>
    <x v="0"/>
    <x v="0"/>
    <n v="4.7128271015709003E-3"/>
    <n v="7.5418009268807501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5"/>
    <x v="9"/>
    <x v="1"/>
    <x v="0"/>
    <n v="9.4256542031418006E-2"/>
    <n v="1.5083601853761499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5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5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5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5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5"/>
    <x v="13"/>
    <x v="0"/>
    <x v="0"/>
    <n v="8.2255271148324496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5"/>
    <x v="13"/>
    <x v="1"/>
    <x v="0"/>
    <n v="0.246765813444973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5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6"/>
    <x v="0"/>
    <x v="0"/>
    <x v="0"/>
    <n v="0.27905535859326402"/>
    <n v="2.0157208187539799E-2"/>
    <n v="0"/>
    <n v="1"/>
    <n v="1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6"/>
    <x v="0"/>
    <x v="1"/>
    <x v="0"/>
    <n v="0.27905535859326402"/>
    <n v="2.0157208187539799E-2"/>
    <n v="0"/>
    <n v="1"/>
    <n v="1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6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6"/>
    <x v="1"/>
    <x v="3"/>
    <x v="1"/>
    <n v="3.0759921575549E-2"/>
    <n v="2E+20"/>
    <n v="0"/>
    <n v="1"/>
    <n v="1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6"/>
    <x v="2"/>
    <x v="0"/>
    <x v="0"/>
    <n v="0.68450730949604099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6"/>
    <x v="2"/>
    <x v="1"/>
    <x v="0"/>
    <n v="1.36901461899208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6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6"/>
    <x v="3"/>
    <x v="4"/>
    <x v="2"/>
    <n v="16.972707717517899"/>
    <n v="1.1040887770260801"/>
    <n v="5"/>
    <n v="33"/>
    <n v="20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6"/>
    <x v="4"/>
    <x v="3"/>
    <x v="1"/>
    <n v="0.29874320707386398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6"/>
    <x v="5"/>
    <x v="0"/>
    <x v="0"/>
    <n v="2.1546052631579E-3"/>
    <n v="1.79826170586253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6"/>
    <x v="5"/>
    <x v="1"/>
    <x v="0"/>
    <n v="0.172368421052632"/>
    <n v="1.43860936469003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6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6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6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6"/>
    <x v="8"/>
    <x v="3"/>
    <x v="1"/>
    <n v="1.56588572422381"/>
    <n v="9.8056822775687794E-2"/>
    <n v="0"/>
    <n v="4"/>
    <n v="1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6"/>
    <x v="9"/>
    <x v="0"/>
    <x v="0"/>
    <n v="5.3660199612322402E-3"/>
    <n v="3E+20"/>
    <n v="0"/>
    <n v="0.15"/>
    <n v="0.05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6"/>
    <x v="9"/>
    <x v="1"/>
    <x v="0"/>
    <n v="0.10732039922464499"/>
    <n v="3E+20"/>
    <n v="0"/>
    <n v="3"/>
    <n v="1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6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6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6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6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6"/>
    <x v="13"/>
    <x v="0"/>
    <x v="0"/>
    <n v="9.2534326714405896E-2"/>
    <n v="7.9280788439188895E-3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6"/>
    <x v="13"/>
    <x v="1"/>
    <x v="0"/>
    <n v="0.27760298014321699"/>
    <n v="2.3784236531756701E-2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6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7"/>
    <x v="0"/>
    <x v="0"/>
    <x v="0"/>
    <n v="0.233333333333333"/>
    <n v="2.2138599824267899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7"/>
    <x v="0"/>
    <x v="1"/>
    <x v="0"/>
    <n v="0.233333333333333"/>
    <n v="2.2138599824267899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7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7"/>
    <x v="1"/>
    <x v="3"/>
    <x v="1"/>
    <n v="2.2946863419875702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7"/>
    <x v="2"/>
    <x v="0"/>
    <x v="0"/>
    <n v="0.58256422876290004"/>
    <n v="2E+20"/>
    <n v="0"/>
    <n v="1"/>
    <n v="0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7"/>
    <x v="2"/>
    <x v="1"/>
    <x v="0"/>
    <n v="1.1651284575258001"/>
    <n v="2E+20"/>
    <n v="0"/>
    <n v="2"/>
    <n v="0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7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7"/>
    <x v="3"/>
    <x v="4"/>
    <x v="2"/>
    <n v="14.4112589759764"/>
    <n v="1.07014177419594"/>
    <n v="2"/>
    <n v="31"/>
    <n v="9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7"/>
    <x v="4"/>
    <x v="3"/>
    <x v="1"/>
    <n v="0.11705037425227"/>
    <n v="2E+20"/>
    <n v="0"/>
    <n v="3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7"/>
    <x v="5"/>
    <x v="0"/>
    <x v="0"/>
    <n v="1.7269736842105299E-3"/>
    <n v="1.9020543178071799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7"/>
    <x v="5"/>
    <x v="1"/>
    <x v="0"/>
    <n v="0.13815789473684201"/>
    <n v="1.5216434542457399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7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7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7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7"/>
    <x v="8"/>
    <x v="3"/>
    <x v="1"/>
    <n v="1.44845781424575"/>
    <n v="9.2998419160508605E-2"/>
    <n v="0"/>
    <n v="4"/>
    <n v="3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7"/>
    <x v="9"/>
    <x v="0"/>
    <x v="0"/>
    <n v="4.6710526315789404E-3"/>
    <n v="7.38440559105464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7"/>
    <x v="9"/>
    <x v="1"/>
    <x v="0"/>
    <n v="9.3421052631578905E-2"/>
    <n v="1.47688111821093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7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7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7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7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7"/>
    <x v="13"/>
    <x v="0"/>
    <x v="0"/>
    <n v="7.7629714253625498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7"/>
    <x v="13"/>
    <x v="1"/>
    <x v="0"/>
    <n v="0.23288914276087599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7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8"/>
    <x v="0"/>
    <x v="0"/>
    <x v="0"/>
    <n v="0.24824561403508799"/>
    <n v="2.0535339518293502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8"/>
    <x v="0"/>
    <x v="1"/>
    <x v="0"/>
    <n v="0.24824561403508799"/>
    <n v="2.0535339518293502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8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8"/>
    <x v="1"/>
    <x v="3"/>
    <x v="1"/>
    <n v="2.24482084785299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8"/>
    <x v="2"/>
    <x v="0"/>
    <x v="0"/>
    <n v="0.62569627948534701"/>
    <n v="4.1257766468264803E-2"/>
    <n v="0"/>
    <n v="1"/>
    <n v="0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8"/>
    <x v="2"/>
    <x v="1"/>
    <x v="0"/>
    <n v="1.25139255897069"/>
    <n v="8.2515532936529495E-2"/>
    <n v="0"/>
    <n v="2"/>
    <n v="0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8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8"/>
    <x v="3"/>
    <x v="4"/>
    <x v="2"/>
    <n v="15.4060297582273"/>
    <n v="0.91956276555627303"/>
    <n v="3"/>
    <n v="29"/>
    <n v="9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8"/>
    <x v="4"/>
    <x v="3"/>
    <x v="1"/>
    <n v="0.14334206701518101"/>
    <n v="2E+20"/>
    <n v="0"/>
    <n v="3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8"/>
    <x v="5"/>
    <x v="0"/>
    <x v="0"/>
    <n v="1.8859649122806999E-3"/>
    <n v="1.60884730183073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8"/>
    <x v="5"/>
    <x v="1"/>
    <x v="0"/>
    <n v="0.150877192982456"/>
    <n v="1.28707784146458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8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8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8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8"/>
    <x v="8"/>
    <x v="3"/>
    <x v="1"/>
    <n v="1.5408860728299101"/>
    <n v="9.5994367064968694E-2"/>
    <n v="0"/>
    <n v="4"/>
    <n v="2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8"/>
    <x v="9"/>
    <x v="0"/>
    <x v="0"/>
    <n v="4.9122807017543801E-3"/>
    <n v="6.5150196229443996E-4"/>
    <n v="0"/>
    <n v="0.1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8"/>
    <x v="9"/>
    <x v="1"/>
    <x v="0"/>
    <n v="9.8245614035087803E-2"/>
    <n v="1.3030039245888801E-2"/>
    <n v="0"/>
    <n v="2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8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8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8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8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8"/>
    <x v="13"/>
    <x v="0"/>
    <x v="0"/>
    <n v="8.4390036877900698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8"/>
    <x v="13"/>
    <x v="1"/>
    <x v="0"/>
    <n v="0.25317011063370198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8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9"/>
    <x v="0"/>
    <x v="0"/>
    <x v="0"/>
    <n v="0.25337380435043599"/>
    <n v="2.48266207229293E-2"/>
    <n v="0"/>
    <n v="1"/>
    <n v="1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9"/>
    <x v="0"/>
    <x v="1"/>
    <x v="0"/>
    <n v="0.25337380435043599"/>
    <n v="2.48266207229293E-2"/>
    <n v="0"/>
    <n v="1"/>
    <n v="1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9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9"/>
    <x v="1"/>
    <x v="3"/>
    <x v="1"/>
    <n v="2.6246048508609E-2"/>
    <n v="2E+20"/>
    <n v="0"/>
    <n v="1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9"/>
    <x v="2"/>
    <x v="0"/>
    <x v="0"/>
    <n v="0.62295007048234596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9"/>
    <x v="2"/>
    <x v="1"/>
    <x v="0"/>
    <n v="1.2459001409646899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9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9"/>
    <x v="3"/>
    <x v="4"/>
    <x v="2"/>
    <n v="15.621224446412"/>
    <n v="1.31995158838993"/>
    <n v="1"/>
    <n v="38"/>
    <n v="14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9"/>
    <x v="4"/>
    <x v="3"/>
    <x v="1"/>
    <n v="0.160721074241782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9"/>
    <x v="5"/>
    <x v="0"/>
    <x v="0"/>
    <n v="1.8749999999999999E-3"/>
    <n v="2.42306331986152E-4"/>
    <n v="0"/>
    <n v="0.05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9"/>
    <x v="5"/>
    <x v="1"/>
    <x v="0"/>
    <n v="0.15"/>
    <n v="1.9384506558892199E-2"/>
    <n v="0"/>
    <n v="4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9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9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9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9"/>
    <x v="8"/>
    <x v="3"/>
    <x v="1"/>
    <n v="1.54079131376195"/>
    <n v="3E+20"/>
    <n v="0"/>
    <n v="4"/>
    <n v="2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9"/>
    <x v="9"/>
    <x v="0"/>
    <x v="0"/>
    <n v="5.1323542008876403E-3"/>
    <n v="6.5876649111171897E-4"/>
    <n v="0"/>
    <n v="0.1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9"/>
    <x v="9"/>
    <x v="1"/>
    <x v="0"/>
    <n v="0.10264708401775299"/>
    <n v="1.31753298222344E-2"/>
    <n v="0"/>
    <n v="2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9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9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9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9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9"/>
    <x v="13"/>
    <x v="0"/>
    <x v="0"/>
    <n v="8.3764622734738101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9"/>
    <x v="13"/>
    <x v="1"/>
    <x v="0"/>
    <n v="0.25129386820421401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9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10"/>
    <x v="0"/>
    <x v="0"/>
    <x v="0"/>
    <n v="0.243859649122807"/>
    <n v="2.13063643995972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0"/>
    <x v="0"/>
    <x v="1"/>
    <x v="0"/>
    <n v="0.243859649122807"/>
    <n v="2.13063643995972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0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10"/>
    <x v="1"/>
    <x v="3"/>
    <x v="1"/>
    <n v="2.5893240930824301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10"/>
    <x v="2"/>
    <x v="0"/>
    <x v="0"/>
    <n v="0.60191002682407202"/>
    <n v="2E+20"/>
    <n v="0"/>
    <n v="1"/>
    <n v="0.5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10"/>
    <x v="2"/>
    <x v="1"/>
    <x v="0"/>
    <n v="1.20382005364814"/>
    <n v="2E+20"/>
    <n v="0"/>
    <n v="2"/>
    <n v="1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10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10"/>
    <x v="3"/>
    <x v="4"/>
    <x v="2"/>
    <n v="14.829880076063199"/>
    <n v="3E+20"/>
    <n v="3"/>
    <n v="31"/>
    <n v="12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10"/>
    <x v="4"/>
    <x v="3"/>
    <x v="1"/>
    <n v="0.10651859553458901"/>
    <n v="2E+20"/>
    <n v="0"/>
    <n v="3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10"/>
    <x v="5"/>
    <x v="0"/>
    <x v="0"/>
    <n v="1.77083333333333E-3"/>
    <n v="2.0244500801846501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10"/>
    <x v="5"/>
    <x v="1"/>
    <x v="0"/>
    <n v="0.141666666666667"/>
    <n v="1.6195600641477199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10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10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10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10"/>
    <x v="8"/>
    <x v="3"/>
    <x v="1"/>
    <n v="1.5672683507844101"/>
    <n v="9.9095601207648307E-2"/>
    <n v="0"/>
    <n v="4"/>
    <n v="1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10"/>
    <x v="9"/>
    <x v="0"/>
    <x v="0"/>
    <n v="5.0000000000000001E-3"/>
    <n v="6.0846358624708598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10"/>
    <x v="9"/>
    <x v="1"/>
    <x v="0"/>
    <n v="0.1"/>
    <n v="1.2169271724941699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10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10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10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10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10"/>
    <x v="13"/>
    <x v="0"/>
    <x v="0"/>
    <n v="8.10034930311406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10"/>
    <x v="13"/>
    <x v="1"/>
    <x v="0"/>
    <n v="0.24301047909342199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10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11"/>
    <x v="0"/>
    <x v="0"/>
    <x v="0"/>
    <n v="0.25964912280701702"/>
    <n v="1.7283413802748299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1"/>
    <x v="0"/>
    <x v="1"/>
    <x v="0"/>
    <n v="0.25964912280701702"/>
    <n v="1.7283413802748299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1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11"/>
    <x v="1"/>
    <x v="3"/>
    <x v="1"/>
    <n v="2.7557303278707201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11"/>
    <x v="2"/>
    <x v="0"/>
    <x v="0"/>
    <n v="0.64453744943541502"/>
    <n v="5.7474498419981403E-2"/>
    <n v="0"/>
    <n v="1"/>
    <n v="0.5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11"/>
    <x v="2"/>
    <x v="1"/>
    <x v="0"/>
    <n v="1.28907489887083"/>
    <n v="0.114948996839963"/>
    <n v="0"/>
    <n v="2"/>
    <n v="1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11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11"/>
    <x v="3"/>
    <x v="4"/>
    <x v="2"/>
    <n v="15.920877113457699"/>
    <n v="1.15122234857964"/>
    <n v="3"/>
    <n v="34"/>
    <n v="9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11"/>
    <x v="4"/>
    <x v="3"/>
    <x v="1"/>
    <n v="0.17409151039624299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11"/>
    <x v="5"/>
    <x v="0"/>
    <x v="0"/>
    <n v="1.86951754385965E-3"/>
    <n v="2.21718442738106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11"/>
    <x v="5"/>
    <x v="1"/>
    <x v="0"/>
    <n v="0.14956140350877201"/>
    <n v="1.77374754190485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11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11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11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11"/>
    <x v="8"/>
    <x v="3"/>
    <x v="1"/>
    <n v="1.5109806998200099"/>
    <n v="7.2631265955431804E-2"/>
    <n v="0"/>
    <n v="4"/>
    <n v="3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11"/>
    <x v="9"/>
    <x v="0"/>
    <x v="0"/>
    <n v="5.3947368421052603E-3"/>
    <n v="6.6799570802777996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11"/>
    <x v="9"/>
    <x v="1"/>
    <x v="0"/>
    <n v="0.107894736842105"/>
    <n v="1.3359914160555601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11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11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11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11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11"/>
    <x v="13"/>
    <x v="0"/>
    <x v="0"/>
    <n v="8.6936295587702203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11"/>
    <x v="13"/>
    <x v="1"/>
    <x v="0"/>
    <n v="0.26080888676310698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11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12"/>
    <x v="0"/>
    <x v="0"/>
    <x v="0"/>
    <n v="0.262280701754386"/>
    <n v="2.49128103046076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2"/>
    <x v="0"/>
    <x v="1"/>
    <x v="0"/>
    <n v="0.262280701754386"/>
    <n v="2.49128103046076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2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12"/>
    <x v="1"/>
    <x v="3"/>
    <x v="1"/>
    <n v="3.9738966906982302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12"/>
    <x v="2"/>
    <x v="0"/>
    <x v="0"/>
    <n v="0.64543431332300205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12"/>
    <x v="2"/>
    <x v="1"/>
    <x v="0"/>
    <n v="1.2908686266460001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12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12"/>
    <x v="3"/>
    <x v="4"/>
    <x v="2"/>
    <n v="16.273555365026201"/>
    <n v="1.6082733395895401"/>
    <n v="2"/>
    <n v="38"/>
    <n v="7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12"/>
    <x v="4"/>
    <x v="3"/>
    <x v="1"/>
    <n v="0.29707451798048601"/>
    <n v="2E+20"/>
    <n v="0"/>
    <n v="6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12"/>
    <x v="5"/>
    <x v="0"/>
    <x v="0"/>
    <n v="1.85855263157895E-3"/>
    <n v="2.0449969415686301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12"/>
    <x v="5"/>
    <x v="1"/>
    <x v="0"/>
    <n v="0.148684210526316"/>
    <n v="1.6359975532549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12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12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12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12"/>
    <x v="8"/>
    <x v="3"/>
    <x v="1"/>
    <n v="1.4670708532421599"/>
    <n v="0.114097190859504"/>
    <n v="0"/>
    <n v="4"/>
    <n v="0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12"/>
    <x v="9"/>
    <x v="0"/>
    <x v="0"/>
    <n v="5.5482456140350904E-3"/>
    <n v="9.5887378570681705E-4"/>
    <n v="0"/>
    <n v="0.1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12"/>
    <x v="9"/>
    <x v="1"/>
    <x v="0"/>
    <n v="0.110964912280702"/>
    <n v="1.9177475714136302E-2"/>
    <n v="0"/>
    <n v="2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12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12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12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12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12"/>
    <x v="13"/>
    <x v="0"/>
    <x v="0"/>
    <n v="8.7155605256225496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12"/>
    <x v="13"/>
    <x v="1"/>
    <x v="0"/>
    <n v="0.26146681576867598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12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13"/>
    <x v="0"/>
    <x v="0"/>
    <x v="0"/>
    <n v="0.26026130163086397"/>
    <n v="2.3287149119436901E-2"/>
    <n v="0"/>
    <n v="1"/>
    <n v="1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3"/>
    <x v="0"/>
    <x v="1"/>
    <x v="0"/>
    <n v="0.26026130163086397"/>
    <n v="2.3287149119436901E-2"/>
    <n v="0"/>
    <n v="1"/>
    <n v="1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3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13"/>
    <x v="1"/>
    <x v="3"/>
    <x v="1"/>
    <n v="2.7322327391525798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13"/>
    <x v="2"/>
    <x v="0"/>
    <x v="0"/>
    <n v="0.65057958120381199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13"/>
    <x v="2"/>
    <x v="1"/>
    <x v="0"/>
    <n v="1.30115916240762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13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13"/>
    <x v="3"/>
    <x v="4"/>
    <x v="2"/>
    <n v="16.367874469329902"/>
    <n v="1.19842484998098"/>
    <n v="4"/>
    <n v="32"/>
    <n v="14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13"/>
    <x v="4"/>
    <x v="3"/>
    <x v="1"/>
    <n v="0.19769377828847101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13"/>
    <x v="5"/>
    <x v="0"/>
    <x v="0"/>
    <n v="1.96271929824562E-3"/>
    <n v="2.25639760773707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13"/>
    <x v="5"/>
    <x v="1"/>
    <x v="0"/>
    <n v="0.157017543859649"/>
    <n v="1.8051180861896499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13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13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13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13"/>
    <x v="8"/>
    <x v="3"/>
    <x v="1"/>
    <n v="1.4930965341664999"/>
    <n v="9.3466548920361603E-2"/>
    <n v="0"/>
    <n v="4"/>
    <n v="2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13"/>
    <x v="9"/>
    <x v="0"/>
    <x v="0"/>
    <n v="5.0657894736842101E-3"/>
    <n v="7.8025706905962902E-4"/>
    <n v="0"/>
    <n v="0.1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13"/>
    <x v="9"/>
    <x v="1"/>
    <x v="0"/>
    <n v="0.101315789473684"/>
    <n v="1.56051413811926E-2"/>
    <n v="0"/>
    <n v="2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13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13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13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13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13"/>
    <x v="13"/>
    <x v="0"/>
    <x v="0"/>
    <n v="8.6082941460922394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13"/>
    <x v="13"/>
    <x v="1"/>
    <x v="0"/>
    <n v="0.25824882438276803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13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14"/>
    <x v="0"/>
    <x v="0"/>
    <x v="0"/>
    <n v="0.24122807017543901"/>
    <n v="2.4294423721278099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4"/>
    <x v="0"/>
    <x v="1"/>
    <x v="0"/>
    <n v="0.24122807017543901"/>
    <n v="2.4294423721278099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4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14"/>
    <x v="1"/>
    <x v="3"/>
    <x v="1"/>
    <n v="2.5160805535998899E-2"/>
    <n v="2E+20"/>
    <n v="0"/>
    <n v="1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14"/>
    <x v="2"/>
    <x v="0"/>
    <x v="0"/>
    <n v="0.61523141287821304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14"/>
    <x v="2"/>
    <x v="1"/>
    <x v="0"/>
    <n v="1.2304628257564301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14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14"/>
    <x v="3"/>
    <x v="4"/>
    <x v="2"/>
    <n v="15.2670739038411"/>
    <n v="1.1994883246952199"/>
    <n v="2"/>
    <n v="29"/>
    <n v="19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14"/>
    <x v="4"/>
    <x v="3"/>
    <x v="1"/>
    <n v="0.17339824129662801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14"/>
    <x v="5"/>
    <x v="0"/>
    <x v="0"/>
    <n v="1.79399101213561E-3"/>
    <n v="1.9872286399801601E-4"/>
    <n v="0"/>
    <n v="3.7499999999999999E-2"/>
    <n v="1.2500000000000001E-2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14"/>
    <x v="5"/>
    <x v="1"/>
    <x v="0"/>
    <n v="0.14351928097084801"/>
    <n v="1.5897829119841202E-2"/>
    <n v="0"/>
    <n v="3"/>
    <n v="1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14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14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14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14"/>
    <x v="8"/>
    <x v="3"/>
    <x v="1"/>
    <n v="1.5352830465081999"/>
    <n v="9.9988330726398206E-2"/>
    <n v="0"/>
    <n v="4"/>
    <n v="1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14"/>
    <x v="9"/>
    <x v="0"/>
    <x v="0"/>
    <n v="4.8464912280701796E-3"/>
    <n v="8.2576738020740596E-4"/>
    <n v="0"/>
    <n v="0.1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14"/>
    <x v="9"/>
    <x v="1"/>
    <x v="0"/>
    <n v="9.6929824561403505E-2"/>
    <n v="1.6515347604148099E-2"/>
    <n v="0"/>
    <n v="2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14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14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14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14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14"/>
    <x v="13"/>
    <x v="0"/>
    <x v="0"/>
    <n v="8.16627497191552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14"/>
    <x v="13"/>
    <x v="1"/>
    <x v="0"/>
    <n v="0.244988249157466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14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15"/>
    <x v="0"/>
    <x v="0"/>
    <x v="0"/>
    <n v="0.24298245614035099"/>
    <n v="1.95150417872074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5"/>
    <x v="0"/>
    <x v="1"/>
    <x v="0"/>
    <n v="0.24298245614035099"/>
    <n v="1.95150417872074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5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15"/>
    <x v="1"/>
    <x v="3"/>
    <x v="1"/>
    <n v="2.5332086318189902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15"/>
    <x v="2"/>
    <x v="0"/>
    <x v="0"/>
    <n v="0.60538881518458598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15"/>
    <x v="2"/>
    <x v="1"/>
    <x v="0"/>
    <n v="1.21077763036917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15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15"/>
    <x v="3"/>
    <x v="4"/>
    <x v="2"/>
    <n v="15.065722086148901"/>
    <n v="1.0198434863760499"/>
    <n v="3"/>
    <n v="30"/>
    <n v="11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15"/>
    <x v="4"/>
    <x v="3"/>
    <x v="1"/>
    <n v="0.12964212713397999"/>
    <n v="2E+20"/>
    <n v="0"/>
    <n v="2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15"/>
    <x v="5"/>
    <x v="0"/>
    <x v="0"/>
    <n v="1.8859649122806999E-3"/>
    <n v="3E+20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15"/>
    <x v="5"/>
    <x v="1"/>
    <x v="0"/>
    <n v="0.150877192982456"/>
    <n v="3E+20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15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15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15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15"/>
    <x v="8"/>
    <x v="3"/>
    <x v="1"/>
    <n v="1.5120896727345601"/>
    <n v="8.6746635972502803E-2"/>
    <n v="0"/>
    <n v="4"/>
    <n v="0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15"/>
    <x v="9"/>
    <x v="0"/>
    <x v="0"/>
    <n v="4.5614035087719303E-3"/>
    <n v="3E+20"/>
    <n v="0"/>
    <n v="0.1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15"/>
    <x v="9"/>
    <x v="1"/>
    <x v="0"/>
    <n v="9.1228070175438505E-2"/>
    <n v="3E+20"/>
    <n v="0"/>
    <n v="2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15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15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15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15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15"/>
    <x v="13"/>
    <x v="0"/>
    <x v="0"/>
    <n v="8.1513731417820007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15"/>
    <x v="13"/>
    <x v="1"/>
    <x v="0"/>
    <n v="0.24454119425345999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15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16"/>
    <x v="0"/>
    <x v="0"/>
    <x v="0"/>
    <n v="0.24518979190839399"/>
    <n v="2.2880382306738199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6"/>
    <x v="0"/>
    <x v="1"/>
    <x v="0"/>
    <n v="0.24518979190839399"/>
    <n v="2.2880382306738199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6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16"/>
    <x v="1"/>
    <x v="3"/>
    <x v="1"/>
    <n v="2.4452523360118199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16"/>
    <x v="2"/>
    <x v="0"/>
    <x v="0"/>
    <n v="0.62025742082706403"/>
    <n v="4.2186149667423199E-2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16"/>
    <x v="2"/>
    <x v="1"/>
    <x v="0"/>
    <n v="1.2405148416541301"/>
    <n v="8.4372299334846398E-2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16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16"/>
    <x v="3"/>
    <x v="4"/>
    <x v="2"/>
    <n v="15.1415986067004"/>
    <n v="0.91213977747224895"/>
    <n v="3"/>
    <n v="32"/>
    <n v="13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16"/>
    <x v="4"/>
    <x v="3"/>
    <x v="1"/>
    <n v="0.126885644993014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16"/>
    <x v="5"/>
    <x v="0"/>
    <x v="0"/>
    <n v="1.8201838973989899E-3"/>
    <n v="1.9956094204802999E-4"/>
    <n v="0"/>
    <n v="3.7499999999999999E-2"/>
    <n v="1.2500000000000001E-2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16"/>
    <x v="5"/>
    <x v="1"/>
    <x v="0"/>
    <n v="0.14561471179191901"/>
    <n v="1.5964875363842401E-2"/>
    <n v="0"/>
    <n v="3"/>
    <n v="1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16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16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16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16"/>
    <x v="8"/>
    <x v="3"/>
    <x v="1"/>
    <n v="1.5889769030929"/>
    <n v="9.60091725974659E-2"/>
    <n v="0"/>
    <n v="4"/>
    <n v="0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16"/>
    <x v="9"/>
    <x v="0"/>
    <x v="0"/>
    <n v="4.86842105263158E-3"/>
    <n v="6.4789762389947997E-4"/>
    <n v="0"/>
    <n v="0.1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16"/>
    <x v="9"/>
    <x v="1"/>
    <x v="0"/>
    <n v="9.7368421052631604E-2"/>
    <n v="1.2957952477989599E-2"/>
    <n v="0"/>
    <n v="2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16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16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16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16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16"/>
    <x v="13"/>
    <x v="0"/>
    <x v="0"/>
    <n v="8.0650049738792307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16"/>
    <x v="13"/>
    <x v="1"/>
    <x v="0"/>
    <n v="0.241950149216377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16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17"/>
    <x v="0"/>
    <x v="0"/>
    <x v="0"/>
    <n v="0.24561403508771901"/>
    <n v="2.25531222823975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7"/>
    <x v="0"/>
    <x v="1"/>
    <x v="0"/>
    <n v="0.24561403508771901"/>
    <n v="2.25531222823975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7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17"/>
    <x v="1"/>
    <x v="3"/>
    <x v="1"/>
    <n v="3.2723358219486298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17"/>
    <x v="2"/>
    <x v="0"/>
    <x v="0"/>
    <n v="0.62040482220339699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17"/>
    <x v="2"/>
    <x v="1"/>
    <x v="0"/>
    <n v="1.24080964440679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17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17"/>
    <x v="3"/>
    <x v="4"/>
    <x v="2"/>
    <n v="15.1109737029582"/>
    <n v="3E+20"/>
    <n v="4"/>
    <n v="31"/>
    <n v="14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17"/>
    <x v="4"/>
    <x v="3"/>
    <x v="1"/>
    <n v="0.14671381198290701"/>
    <n v="2E+20"/>
    <n v="0"/>
    <n v="3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17"/>
    <x v="5"/>
    <x v="0"/>
    <x v="0"/>
    <n v="1.8530701754385999E-3"/>
    <n v="1.5945118044989501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17"/>
    <x v="5"/>
    <x v="1"/>
    <x v="0"/>
    <n v="0.14824561403508801"/>
    <n v="1.27560944359916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17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17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17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17"/>
    <x v="8"/>
    <x v="3"/>
    <x v="1"/>
    <n v="1.50568356470464"/>
    <n v="0.108964958900094"/>
    <n v="0"/>
    <n v="4"/>
    <n v="2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17"/>
    <x v="9"/>
    <x v="0"/>
    <x v="0"/>
    <n v="4.9342105263157901E-3"/>
    <n v="7.5249828675073697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17"/>
    <x v="9"/>
    <x v="1"/>
    <x v="0"/>
    <n v="9.8684210526315805E-2"/>
    <n v="1.50499657350147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17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17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17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17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17"/>
    <x v="13"/>
    <x v="0"/>
    <x v="0"/>
    <n v="8.3676530020434306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17"/>
    <x v="13"/>
    <x v="1"/>
    <x v="0"/>
    <n v="0.25102959006130299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17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18"/>
    <x v="0"/>
    <x v="0"/>
    <x v="0"/>
    <n v="0.25087719298245598"/>
    <n v="2.01534397904348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8"/>
    <x v="0"/>
    <x v="1"/>
    <x v="0"/>
    <n v="0.25087719298245598"/>
    <n v="2.01534397904348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8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18"/>
    <x v="1"/>
    <x v="3"/>
    <x v="1"/>
    <n v="3.5659886936882899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18"/>
    <x v="2"/>
    <x v="0"/>
    <x v="0"/>
    <n v="0.63207337880649594"/>
    <n v="4.9499668576251397E-2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18"/>
    <x v="2"/>
    <x v="1"/>
    <x v="0"/>
    <n v="1.2641467576129899"/>
    <n v="9.8999337152502906E-2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18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18"/>
    <x v="3"/>
    <x v="4"/>
    <x v="2"/>
    <n v="15.7396927127743"/>
    <n v="0.93079470889399296"/>
    <n v="3"/>
    <n v="34"/>
    <n v="20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18"/>
    <x v="4"/>
    <x v="3"/>
    <x v="1"/>
    <n v="0.14437771094806001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18"/>
    <x v="5"/>
    <x v="0"/>
    <x v="0"/>
    <n v="1.8640350877192999E-3"/>
    <n v="1.99699813771578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18"/>
    <x v="5"/>
    <x v="1"/>
    <x v="0"/>
    <n v="0.14912280701754399"/>
    <n v="1.5975985101726299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18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18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18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18"/>
    <x v="8"/>
    <x v="3"/>
    <x v="1"/>
    <n v="1.5510668781138399"/>
    <n v="9.9066370503211196E-2"/>
    <n v="0"/>
    <n v="4"/>
    <n v="3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18"/>
    <x v="9"/>
    <x v="0"/>
    <x v="0"/>
    <n v="5.1973684210526302E-3"/>
    <n v="5.5457797580179896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18"/>
    <x v="9"/>
    <x v="1"/>
    <x v="0"/>
    <n v="0.103947368421053"/>
    <n v="1.1091559516035999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18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18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18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18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18"/>
    <x v="13"/>
    <x v="0"/>
    <x v="0"/>
    <n v="8.47420677001407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18"/>
    <x v="13"/>
    <x v="1"/>
    <x v="0"/>
    <n v="0.25422620310042199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18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19"/>
    <x v="0"/>
    <x v="0"/>
    <x v="0"/>
    <n v="0.25402141444504001"/>
    <n v="1.9102684583891201E-2"/>
    <n v="0"/>
    <n v="1"/>
    <n v="1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9"/>
    <x v="0"/>
    <x v="1"/>
    <x v="0"/>
    <n v="0.25402141444504001"/>
    <n v="1.9102684583891201E-2"/>
    <n v="0"/>
    <n v="1"/>
    <n v="1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19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19"/>
    <x v="1"/>
    <x v="3"/>
    <x v="1"/>
    <n v="2.7510302922142699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19"/>
    <x v="2"/>
    <x v="0"/>
    <x v="0"/>
    <n v="0.645018420018168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19"/>
    <x v="2"/>
    <x v="1"/>
    <x v="0"/>
    <n v="1.29003684003634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19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19"/>
    <x v="3"/>
    <x v="4"/>
    <x v="2"/>
    <n v="15.8800046675589"/>
    <n v="1.3229269759665401"/>
    <n v="2"/>
    <n v="32"/>
    <n v="24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19"/>
    <x v="4"/>
    <x v="3"/>
    <x v="1"/>
    <n v="0.169543958388709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19"/>
    <x v="5"/>
    <x v="0"/>
    <x v="0"/>
    <n v="2.0120614035087701E-3"/>
    <n v="2.14002219613267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19"/>
    <x v="5"/>
    <x v="1"/>
    <x v="0"/>
    <n v="0.160964912280702"/>
    <n v="1.7120177569061399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19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19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19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19"/>
    <x v="8"/>
    <x v="3"/>
    <x v="1"/>
    <n v="1.5030441936563399"/>
    <n v="9.1541259164784006E-2"/>
    <n v="0"/>
    <n v="4"/>
    <n v="2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19"/>
    <x v="9"/>
    <x v="0"/>
    <x v="0"/>
    <n v="4.7183340482242504E-3"/>
    <n v="7.6934798868823196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19"/>
    <x v="9"/>
    <x v="1"/>
    <x v="0"/>
    <n v="9.4366680964485097E-2"/>
    <n v="1.53869597737646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19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19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19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19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19"/>
    <x v="13"/>
    <x v="0"/>
    <x v="0"/>
    <n v="8.62108351874524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19"/>
    <x v="13"/>
    <x v="1"/>
    <x v="0"/>
    <n v="0.25863250556235801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19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20"/>
    <x v="0"/>
    <x v="0"/>
    <x v="0"/>
    <n v="0.23947368421052601"/>
    <n v="2.1072640087552701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0"/>
    <x v="0"/>
    <x v="1"/>
    <x v="0"/>
    <n v="0.23947368421052601"/>
    <n v="2.1072640087552701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0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20"/>
    <x v="1"/>
    <x v="3"/>
    <x v="1"/>
    <n v="2.8544240549392599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20"/>
    <x v="2"/>
    <x v="0"/>
    <x v="0"/>
    <n v="0.599562468862744"/>
    <n v="2E+20"/>
    <n v="0"/>
    <n v="1"/>
    <n v="0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20"/>
    <x v="2"/>
    <x v="1"/>
    <x v="0"/>
    <n v="1.19912493772549"/>
    <n v="2E+20"/>
    <n v="0"/>
    <n v="2"/>
    <n v="0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20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20"/>
    <x v="3"/>
    <x v="4"/>
    <x v="2"/>
    <n v="14.823773930822"/>
    <n v="1.3048554427196499"/>
    <n v="2"/>
    <n v="34"/>
    <n v="14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20"/>
    <x v="4"/>
    <x v="3"/>
    <x v="1"/>
    <n v="0.18306163410878301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20"/>
    <x v="5"/>
    <x v="0"/>
    <x v="0"/>
    <n v="1.77083333333333E-3"/>
    <n v="1.95543152798983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20"/>
    <x v="5"/>
    <x v="1"/>
    <x v="0"/>
    <n v="0.141666666666667"/>
    <n v="1.5643452223918702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20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20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20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20"/>
    <x v="8"/>
    <x v="3"/>
    <x v="1"/>
    <n v="1.4814449228392399"/>
    <n v="0.10101674677613"/>
    <n v="0"/>
    <n v="4"/>
    <n v="3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20"/>
    <x v="9"/>
    <x v="0"/>
    <x v="0"/>
    <n v="4.9122807017543896E-3"/>
    <n v="6.17999528107184E-4"/>
    <n v="0"/>
    <n v="0.1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20"/>
    <x v="9"/>
    <x v="1"/>
    <x v="0"/>
    <n v="9.8245614035087706E-2"/>
    <n v="1.2359990562143699E-2"/>
    <n v="0"/>
    <n v="2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20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20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20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20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20"/>
    <x v="13"/>
    <x v="0"/>
    <x v="0"/>
    <n v="7.9670120799933797E-2"/>
    <n v="2E+20"/>
    <n v="0"/>
    <n v="0.66666666666666696"/>
    <n v="0.33333333333333298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20"/>
    <x v="13"/>
    <x v="1"/>
    <x v="0"/>
    <n v="0.239010362399801"/>
    <n v="2E+20"/>
    <n v="0"/>
    <n v="2"/>
    <n v="1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20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21"/>
    <x v="0"/>
    <x v="0"/>
    <x v="0"/>
    <n v="0.249122807017544"/>
    <n v="2.09662178853855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1"/>
    <x v="0"/>
    <x v="1"/>
    <x v="0"/>
    <n v="0.249122807017544"/>
    <n v="2.09662178853855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1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21"/>
    <x v="1"/>
    <x v="3"/>
    <x v="1"/>
    <n v="2.67612427676008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21"/>
    <x v="2"/>
    <x v="0"/>
    <x v="0"/>
    <n v="0.62292363405547502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21"/>
    <x v="2"/>
    <x v="1"/>
    <x v="0"/>
    <n v="1.24584726811095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21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21"/>
    <x v="3"/>
    <x v="4"/>
    <x v="2"/>
    <n v="15.5450520353827"/>
    <n v="1.3371569867672399"/>
    <n v="3"/>
    <n v="30"/>
    <n v="13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21"/>
    <x v="4"/>
    <x v="3"/>
    <x v="1"/>
    <n v="0.19975744367364401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21"/>
    <x v="5"/>
    <x v="0"/>
    <x v="0"/>
    <n v="1.8530701754385999E-3"/>
    <n v="2.2241142488380901E-4"/>
    <n v="0"/>
    <n v="0.05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21"/>
    <x v="5"/>
    <x v="1"/>
    <x v="0"/>
    <n v="0.14824561403508801"/>
    <n v="1.7792913990704699E-2"/>
    <n v="0"/>
    <n v="4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21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21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21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21"/>
    <x v="8"/>
    <x v="3"/>
    <x v="1"/>
    <n v="1.4406570196097499"/>
    <n v="8.6822706509774306E-2"/>
    <n v="0"/>
    <n v="4"/>
    <n v="0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21"/>
    <x v="9"/>
    <x v="0"/>
    <x v="0"/>
    <n v="4.9561403508771897E-3"/>
    <n v="6.9337218151033697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21"/>
    <x v="9"/>
    <x v="1"/>
    <x v="0"/>
    <n v="9.9122807017543904E-2"/>
    <n v="1.3867443630206699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21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21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21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21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21"/>
    <x v="13"/>
    <x v="0"/>
    <x v="0"/>
    <n v="8.3367628800741805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21"/>
    <x v="13"/>
    <x v="1"/>
    <x v="0"/>
    <n v="0.250102886402225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21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22"/>
    <x v="0"/>
    <x v="0"/>
    <x v="0"/>
    <n v="0.24775984932317899"/>
    <n v="2.2606379284075599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2"/>
    <x v="0"/>
    <x v="1"/>
    <x v="0"/>
    <n v="0.24775984932317899"/>
    <n v="2.2606379284075599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2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22"/>
    <x v="1"/>
    <x v="3"/>
    <x v="1"/>
    <n v="2.2770923801111401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22"/>
    <x v="2"/>
    <x v="0"/>
    <x v="0"/>
    <n v="0.63586510528108597"/>
    <n v="2E+20"/>
    <n v="0"/>
    <n v="1"/>
    <n v="0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22"/>
    <x v="2"/>
    <x v="1"/>
    <x v="0"/>
    <n v="1.2717302105621699"/>
    <n v="2E+20"/>
    <n v="0"/>
    <n v="2"/>
    <n v="0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22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22"/>
    <x v="3"/>
    <x v="4"/>
    <x v="2"/>
    <n v="15.382181132709499"/>
    <n v="1.0323183105324101"/>
    <n v="1"/>
    <n v="32"/>
    <n v="11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22"/>
    <x v="4"/>
    <x v="3"/>
    <x v="1"/>
    <n v="0.194018414751364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22"/>
    <x v="5"/>
    <x v="0"/>
    <x v="0"/>
    <n v="1.8311403508771899E-3"/>
    <n v="2.34411740341384E-4"/>
    <n v="0"/>
    <n v="0.05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22"/>
    <x v="5"/>
    <x v="1"/>
    <x v="0"/>
    <n v="0.14649122807017501"/>
    <n v="1.8752939227310701E-2"/>
    <n v="0"/>
    <n v="4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22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22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22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22"/>
    <x v="8"/>
    <x v="3"/>
    <x v="1"/>
    <n v="1.46047566888532"/>
    <n v="8.7040499193603196E-2"/>
    <n v="0"/>
    <n v="4"/>
    <n v="0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22"/>
    <x v="9"/>
    <x v="0"/>
    <x v="0"/>
    <n v="5.0841691108724904E-3"/>
    <n v="7.3995672701494103E-4"/>
    <n v="0"/>
    <n v="0.1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22"/>
    <x v="9"/>
    <x v="1"/>
    <x v="0"/>
    <n v="0.10168338221745001"/>
    <n v="1.4799134540298801E-2"/>
    <n v="0"/>
    <n v="2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22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22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22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22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22"/>
    <x v="13"/>
    <x v="0"/>
    <x v="0"/>
    <n v="8.2125276488639307E-2"/>
    <n v="2E+20"/>
    <n v="0"/>
    <n v="0.66666666666666696"/>
    <n v="0.33333333333333298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22"/>
    <x v="13"/>
    <x v="1"/>
    <x v="0"/>
    <n v="0.24637582946591799"/>
    <n v="2E+20"/>
    <n v="0"/>
    <n v="2"/>
    <n v="1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22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23"/>
    <x v="0"/>
    <x v="0"/>
    <x v="0"/>
    <n v="0.24561403508771901"/>
    <n v="2.01761023701847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3"/>
    <x v="0"/>
    <x v="1"/>
    <x v="0"/>
    <n v="0.24561403508771901"/>
    <n v="2.01761023701847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3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23"/>
    <x v="1"/>
    <x v="3"/>
    <x v="1"/>
    <n v="2.32260247147008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23"/>
    <x v="2"/>
    <x v="0"/>
    <x v="0"/>
    <n v="0.61555961733891895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23"/>
    <x v="2"/>
    <x v="1"/>
    <x v="0"/>
    <n v="1.2311192346778399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23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23"/>
    <x v="3"/>
    <x v="4"/>
    <x v="2"/>
    <n v="15.084189026271901"/>
    <n v="1.16829013567827"/>
    <n v="2"/>
    <n v="32"/>
    <n v="15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23"/>
    <x v="4"/>
    <x v="3"/>
    <x v="1"/>
    <n v="0.170106520949003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23"/>
    <x v="5"/>
    <x v="0"/>
    <x v="0"/>
    <n v="1.70504385964912E-3"/>
    <n v="1.8730897532995999E-4"/>
    <n v="0"/>
    <n v="0.05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23"/>
    <x v="5"/>
    <x v="1"/>
    <x v="0"/>
    <n v="0.13640350877193"/>
    <n v="1.4984718026396801E-2"/>
    <n v="0"/>
    <n v="4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23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23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23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23"/>
    <x v="8"/>
    <x v="3"/>
    <x v="1"/>
    <n v="1.48958373865543"/>
    <n v="0.115472999331849"/>
    <n v="0"/>
    <n v="4"/>
    <n v="3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23"/>
    <x v="9"/>
    <x v="0"/>
    <x v="0"/>
    <n v="5.4605263157894704E-3"/>
    <n v="6.7742868008714599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23"/>
    <x v="9"/>
    <x v="1"/>
    <x v="0"/>
    <n v="0.10921052631578899"/>
    <n v="1.35485736017429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23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23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23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23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23"/>
    <x v="13"/>
    <x v="0"/>
    <x v="0"/>
    <n v="8.2013617748435103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23"/>
    <x v="13"/>
    <x v="1"/>
    <x v="0"/>
    <n v="0.246040853245305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23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24"/>
    <x v="0"/>
    <x v="0"/>
    <x v="0"/>
    <n v="0.25526315789473702"/>
    <n v="2.59134890972198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4"/>
    <x v="0"/>
    <x v="1"/>
    <x v="0"/>
    <n v="0.25526315789473702"/>
    <n v="2.59134890972198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4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24"/>
    <x v="1"/>
    <x v="3"/>
    <x v="1"/>
    <n v="3.2742279140577202E-2"/>
    <n v="2E+20"/>
    <n v="0"/>
    <n v="3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24"/>
    <x v="2"/>
    <x v="0"/>
    <x v="0"/>
    <n v="0.66437615485295698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24"/>
    <x v="2"/>
    <x v="1"/>
    <x v="0"/>
    <n v="1.32875230970591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24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24"/>
    <x v="3"/>
    <x v="4"/>
    <x v="2"/>
    <n v="16.2374559567882"/>
    <n v="1.45238362540225"/>
    <n v="2"/>
    <n v="32"/>
    <n v="21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24"/>
    <x v="4"/>
    <x v="3"/>
    <x v="1"/>
    <n v="0.24121512835733999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24"/>
    <x v="5"/>
    <x v="0"/>
    <x v="0"/>
    <n v="2.0339912280701801E-3"/>
    <n v="2.5597688596151801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24"/>
    <x v="5"/>
    <x v="1"/>
    <x v="0"/>
    <n v="0.16271929824561401"/>
    <n v="2.0478150876921401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24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24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24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24"/>
    <x v="8"/>
    <x v="3"/>
    <x v="1"/>
    <n v="1.51292539827522"/>
    <n v="9.66830505107968E-2"/>
    <n v="0"/>
    <n v="4"/>
    <n v="3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24"/>
    <x v="9"/>
    <x v="0"/>
    <x v="0"/>
    <n v="4.86842105263158E-3"/>
    <n v="5.4975348943072603E-4"/>
    <n v="0"/>
    <n v="0.1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24"/>
    <x v="9"/>
    <x v="1"/>
    <x v="0"/>
    <n v="9.7368421052631604E-2"/>
    <n v="1.09950697886145E-2"/>
    <n v="0"/>
    <n v="2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24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24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24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24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24"/>
    <x v="13"/>
    <x v="0"/>
    <x v="0"/>
    <n v="8.8212885028186597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24"/>
    <x v="13"/>
    <x v="1"/>
    <x v="0"/>
    <n v="0.26463865508456003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24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25"/>
    <x v="0"/>
    <x v="0"/>
    <x v="0"/>
    <n v="0.26491228070175399"/>
    <n v="2.1570039275284902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5"/>
    <x v="0"/>
    <x v="1"/>
    <x v="0"/>
    <n v="0.26491228070175399"/>
    <n v="2.1570039275284902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5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25"/>
    <x v="1"/>
    <x v="3"/>
    <x v="1"/>
    <n v="3.2587626572766697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25"/>
    <x v="2"/>
    <x v="0"/>
    <x v="0"/>
    <n v="0.64931189821143598"/>
    <n v="5.4002131155758498E-2"/>
    <n v="0"/>
    <n v="1"/>
    <n v="0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25"/>
    <x v="2"/>
    <x v="1"/>
    <x v="0"/>
    <n v="1.29862379642287"/>
    <n v="0.108004262311517"/>
    <n v="0"/>
    <n v="2"/>
    <n v="0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25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25"/>
    <x v="3"/>
    <x v="4"/>
    <x v="2"/>
    <n v="15.9925089885575"/>
    <n v="1.26564170775184"/>
    <n v="0"/>
    <n v="32"/>
    <n v="8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25"/>
    <x v="4"/>
    <x v="3"/>
    <x v="1"/>
    <n v="0.19801322029419299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25"/>
    <x v="5"/>
    <x v="0"/>
    <x v="0"/>
    <n v="2.05043859649123E-3"/>
    <n v="2.03922587966642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25"/>
    <x v="5"/>
    <x v="1"/>
    <x v="0"/>
    <n v="0.16403508771929801"/>
    <n v="1.6313807037331401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25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25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25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25"/>
    <x v="8"/>
    <x v="3"/>
    <x v="1"/>
    <n v="1.4257652224751201"/>
    <n v="0.105763051249747"/>
    <n v="0"/>
    <n v="4"/>
    <n v="1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25"/>
    <x v="9"/>
    <x v="0"/>
    <x v="0"/>
    <n v="4.9780701754385901E-3"/>
    <n v="6.7740439036212505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25"/>
    <x v="9"/>
    <x v="1"/>
    <x v="0"/>
    <n v="9.9561403508771906E-2"/>
    <n v="1.3548087807242501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25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25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25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25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25"/>
    <x v="13"/>
    <x v="0"/>
    <x v="0"/>
    <n v="8.4245022667114894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25"/>
    <x v="13"/>
    <x v="1"/>
    <x v="0"/>
    <n v="0.25273506800134499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25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26"/>
    <x v="0"/>
    <x v="0"/>
    <x v="0"/>
    <n v="0.23859649122807"/>
    <n v="1.8791529969830498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6"/>
    <x v="0"/>
    <x v="1"/>
    <x v="0"/>
    <n v="0.23859649122807"/>
    <n v="1.8791529969830498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6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26"/>
    <x v="1"/>
    <x v="3"/>
    <x v="1"/>
    <n v="2.79125311816537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26"/>
    <x v="2"/>
    <x v="0"/>
    <x v="0"/>
    <n v="0.59867913678398399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26"/>
    <x v="2"/>
    <x v="1"/>
    <x v="0"/>
    <n v="1.19735827356797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26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26"/>
    <x v="3"/>
    <x v="4"/>
    <x v="2"/>
    <n v="14.8241928181828"/>
    <n v="3E+20"/>
    <n v="2"/>
    <n v="29"/>
    <n v="19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26"/>
    <x v="4"/>
    <x v="3"/>
    <x v="1"/>
    <n v="0.10504003837506"/>
    <n v="2E+20"/>
    <n v="0"/>
    <n v="2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26"/>
    <x v="5"/>
    <x v="0"/>
    <x v="0"/>
    <n v="1.8857889340883E-3"/>
    <n v="1.89612009826013E-4"/>
    <n v="0"/>
    <n v="3.7499999999999999E-2"/>
    <n v="1.2500000000000001E-2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26"/>
    <x v="5"/>
    <x v="1"/>
    <x v="0"/>
    <n v="0.15086311472706401"/>
    <n v="1.51689607860811E-2"/>
    <n v="0"/>
    <n v="3"/>
    <n v="1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26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26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26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26"/>
    <x v="8"/>
    <x v="3"/>
    <x v="1"/>
    <n v="1.5089436009349499"/>
    <n v="9.1869067621657099E-2"/>
    <n v="0"/>
    <n v="4"/>
    <n v="0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26"/>
    <x v="9"/>
    <x v="0"/>
    <x v="0"/>
    <n v="4.4956140350877203E-3"/>
    <n v="5.5198167680819705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26"/>
    <x v="9"/>
    <x v="1"/>
    <x v="0"/>
    <n v="8.9912280701754305E-2"/>
    <n v="1.10396335361639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26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26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26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26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26"/>
    <x v="13"/>
    <x v="0"/>
    <x v="0"/>
    <n v="8.0732437048469302E-2"/>
    <n v="2E+20"/>
    <n v="0"/>
    <n v="0.66666666666666696"/>
    <n v="0.33333333333333298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26"/>
    <x v="13"/>
    <x v="1"/>
    <x v="0"/>
    <n v="0.24219731114540799"/>
    <n v="2E+20"/>
    <n v="0"/>
    <n v="2"/>
    <n v="1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26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27"/>
    <x v="0"/>
    <x v="0"/>
    <x v="0"/>
    <n v="0.23684210526315799"/>
    <n v="3E+20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7"/>
    <x v="0"/>
    <x v="1"/>
    <x v="0"/>
    <n v="0.23684210526315799"/>
    <n v="3E+20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7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27"/>
    <x v="1"/>
    <x v="3"/>
    <x v="1"/>
    <n v="2.87087885232363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27"/>
    <x v="2"/>
    <x v="0"/>
    <x v="0"/>
    <n v="0.59159702273548298"/>
    <n v="3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27"/>
    <x v="2"/>
    <x v="1"/>
    <x v="0"/>
    <n v="1.18319404547097"/>
    <n v="3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27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27"/>
    <x v="3"/>
    <x v="4"/>
    <x v="2"/>
    <n v="14.4666334429506"/>
    <n v="3E+20"/>
    <n v="3"/>
    <n v="27"/>
    <n v="16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27"/>
    <x v="4"/>
    <x v="3"/>
    <x v="1"/>
    <n v="7.4406608295854798E-2"/>
    <n v="2E+20"/>
    <n v="0"/>
    <n v="2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27"/>
    <x v="5"/>
    <x v="0"/>
    <x v="0"/>
    <n v="1.79054729773366E-3"/>
    <n v="1.5910684621005201E-4"/>
    <n v="0"/>
    <n v="3.7499999999999999E-2"/>
    <n v="1.2500000000000001E-2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27"/>
    <x v="5"/>
    <x v="1"/>
    <x v="0"/>
    <n v="0.14324378381869299"/>
    <n v="1.2728547696804199E-2"/>
    <n v="0"/>
    <n v="3"/>
    <n v="1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27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27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27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27"/>
    <x v="8"/>
    <x v="3"/>
    <x v="1"/>
    <n v="1.49037035496805"/>
    <n v="8.7025772712607793E-2"/>
    <n v="0"/>
    <n v="4"/>
    <n v="3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27"/>
    <x v="9"/>
    <x v="0"/>
    <x v="0"/>
    <n v="4.8245614035087696E-3"/>
    <n v="5.8198768857449404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27"/>
    <x v="9"/>
    <x v="1"/>
    <x v="0"/>
    <n v="9.6491228070175503E-2"/>
    <n v="1.1639753771489901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27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27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27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27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27"/>
    <x v="13"/>
    <x v="0"/>
    <x v="0"/>
    <n v="7.9005982237244601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27"/>
    <x v="13"/>
    <x v="1"/>
    <x v="0"/>
    <n v="0.23701794671173401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27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28"/>
    <x v="0"/>
    <x v="0"/>
    <x v="0"/>
    <n v="0.23421052631578901"/>
    <n v="2.45850799335945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8"/>
    <x v="0"/>
    <x v="1"/>
    <x v="0"/>
    <n v="0.23421052631578901"/>
    <n v="2.45850799335945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8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28"/>
    <x v="1"/>
    <x v="3"/>
    <x v="1"/>
    <n v="2.9080442346932401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28"/>
    <x v="2"/>
    <x v="0"/>
    <x v="0"/>
    <n v="0.58467229634543605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28"/>
    <x v="2"/>
    <x v="1"/>
    <x v="0"/>
    <n v="1.1693445926908701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28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28"/>
    <x v="3"/>
    <x v="4"/>
    <x v="2"/>
    <n v="14.691213581114599"/>
    <n v="1.07135972216078"/>
    <n v="2"/>
    <n v="35"/>
    <n v="14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28"/>
    <x v="4"/>
    <x v="3"/>
    <x v="1"/>
    <n v="0.14951431917649499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28"/>
    <x v="5"/>
    <x v="0"/>
    <x v="0"/>
    <n v="1.7214912280701801E-3"/>
    <n v="2.02369818332668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28"/>
    <x v="5"/>
    <x v="1"/>
    <x v="0"/>
    <n v="0.13771929824561399"/>
    <n v="1.61895854666134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28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28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28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28"/>
    <x v="8"/>
    <x v="3"/>
    <x v="1"/>
    <n v="1.4501743455860101"/>
    <n v="0.11443421793733"/>
    <n v="0"/>
    <n v="4"/>
    <n v="1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28"/>
    <x v="9"/>
    <x v="0"/>
    <x v="0"/>
    <n v="4.73684210526316E-3"/>
    <n v="6.0403322058209395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28"/>
    <x v="9"/>
    <x v="1"/>
    <x v="0"/>
    <n v="9.4736842105262994E-2"/>
    <n v="1.2080664411641901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28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28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28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28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28"/>
    <x v="13"/>
    <x v="0"/>
    <x v="0"/>
    <n v="7.7176470357846902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28"/>
    <x v="13"/>
    <x v="1"/>
    <x v="0"/>
    <n v="0.231529411073541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28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29"/>
    <x v="0"/>
    <x v="0"/>
    <x v="0"/>
    <n v="0.26810717240818899"/>
    <n v="2.0585696422711301E-2"/>
    <n v="0"/>
    <n v="1"/>
    <n v="1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9"/>
    <x v="0"/>
    <x v="1"/>
    <x v="0"/>
    <n v="0.26810717240818899"/>
    <n v="2.0585696422711301E-2"/>
    <n v="0"/>
    <n v="1"/>
    <n v="1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29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29"/>
    <x v="1"/>
    <x v="3"/>
    <x v="1"/>
    <n v="2.8968081787420601E-2"/>
    <n v="2E+20"/>
    <n v="0"/>
    <n v="2"/>
    <n v="1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29"/>
    <x v="2"/>
    <x v="0"/>
    <x v="0"/>
    <n v="0.65703368629840297"/>
    <n v="2E+20"/>
    <n v="0"/>
    <n v="1"/>
    <n v="0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29"/>
    <x v="2"/>
    <x v="1"/>
    <x v="0"/>
    <n v="1.3140673725968099"/>
    <n v="2E+20"/>
    <n v="0"/>
    <n v="2"/>
    <n v="0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29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29"/>
    <x v="3"/>
    <x v="4"/>
    <x v="2"/>
    <n v="16.633690158776101"/>
    <n v="1.4710683323927001"/>
    <n v="1"/>
    <n v="37"/>
    <n v="14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29"/>
    <x v="4"/>
    <x v="3"/>
    <x v="1"/>
    <n v="0.21476430765103699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29"/>
    <x v="5"/>
    <x v="0"/>
    <x v="0"/>
    <n v="2.07236842105263E-3"/>
    <n v="2.6046621211136601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29"/>
    <x v="5"/>
    <x v="1"/>
    <x v="0"/>
    <n v="0.16578947368420999"/>
    <n v="2.0837296968909302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29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29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29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29"/>
    <x v="8"/>
    <x v="3"/>
    <x v="1"/>
    <n v="1.4666527467210799"/>
    <n v="0.11082573442022101"/>
    <n v="0"/>
    <n v="4"/>
    <n v="3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29"/>
    <x v="9"/>
    <x v="0"/>
    <x v="0"/>
    <n v="4.9780701754385901E-3"/>
    <n v="6.4985456340619198E-4"/>
    <n v="0"/>
    <n v="0.15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29"/>
    <x v="9"/>
    <x v="1"/>
    <x v="0"/>
    <n v="9.9561403508772003E-2"/>
    <n v="1.29970912681238E-2"/>
    <n v="0"/>
    <n v="3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29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29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29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29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29"/>
    <x v="13"/>
    <x v="0"/>
    <x v="0"/>
    <n v="8.9076989614609706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29"/>
    <x v="13"/>
    <x v="1"/>
    <x v="0"/>
    <n v="0.26723096884382902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29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  <r>
    <x v="0"/>
    <s v="2025-05-26 16:22:20"/>
    <n v="30"/>
    <x v="0"/>
    <x v="0"/>
    <x v="0"/>
    <n v="0.23684210526315799"/>
    <n v="2.2019444276864999E-2"/>
    <n v="0"/>
    <n v="1"/>
    <n v="0"/>
    <n v="0"/>
    <s v="Unnamed ProjectCleanerInstantaneous Utilization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30"/>
    <x v="0"/>
    <x v="1"/>
    <x v="0"/>
    <n v="0.23684210526315799"/>
    <n v="2.2019444276864999E-2"/>
    <n v="0"/>
    <n v="1"/>
    <n v="0"/>
    <n v="0"/>
    <s v="Unnamed ProjectCleanerNumber BusyResource"/>
    <n v="30"/>
    <n v="0.25031804088290305"/>
    <n v="1.1255778929137084E-2"/>
    <n v="0.95"/>
    <n v="4.2029769261323026E-3"/>
    <n v="0.233333333333333"/>
    <n v="0.27905535859326402"/>
    <n v="4.2029769261323026E-3"/>
  </r>
  <r>
    <x v="0"/>
    <s v="2025-05-26 16:22:20"/>
    <n v="30"/>
    <x v="0"/>
    <x v="2"/>
    <x v="0"/>
    <n v="1"/>
    <n v="2E+20"/>
    <n v="1"/>
    <n v="1"/>
    <n v="1"/>
    <n v="0"/>
    <s v="Unnamed ProjectCleanerNumber ScheduledResource"/>
    <n v="30"/>
    <n v="1"/>
    <n v="0"/>
    <n v="0.95"/>
    <n v="0"/>
    <n v="1"/>
    <n v="1"/>
    <n v="0"/>
  </r>
  <r>
    <x v="0"/>
    <s v="2025-05-26 16:22:20"/>
    <n v="30"/>
    <x v="1"/>
    <x v="3"/>
    <x v="1"/>
    <n v="1.9664517785186901E-2"/>
    <n v="2E+20"/>
    <n v="0"/>
    <n v="2"/>
    <n v="0"/>
    <n v="0"/>
    <s v="Unnamed ProjectCleaning_Table.QueueNumber WaitingQueue"/>
    <n v="30"/>
    <n v="2.8328348974232576E-2"/>
    <n v="4.4528625667289773E-3"/>
    <n v="0.95"/>
    <n v="1.6627262085570247E-3"/>
    <n v="1.9664517785186901E-2"/>
    <n v="3.9738966906982302E-2"/>
    <n v="1.6627262085570247E-3"/>
  </r>
  <r>
    <x v="0"/>
    <s v="2025-05-26 16:22:20"/>
    <n v="30"/>
    <x v="2"/>
    <x v="0"/>
    <x v="0"/>
    <n v="0.60135583611811805"/>
    <n v="2E+20"/>
    <n v="0"/>
    <n v="1"/>
    <n v="1"/>
    <n v="0"/>
    <s v="Unnamed ProjectCookerInstantaneous UtilizationResource"/>
    <n v="30"/>
    <n v="0.62721981794251769"/>
    <n v="2.6376107220918699E-2"/>
    <n v="0.95"/>
    <n v="9.8490003000806757E-3"/>
    <n v="0.58256422876290004"/>
    <n v="0.68643238055161704"/>
    <n v="9.8490003000806757E-3"/>
  </r>
  <r>
    <x v="0"/>
    <s v="2025-05-26 16:22:20"/>
    <n v="30"/>
    <x v="2"/>
    <x v="1"/>
    <x v="0"/>
    <n v="1.2027116722362401"/>
    <n v="2E+20"/>
    <n v="0"/>
    <n v="2"/>
    <n v="2"/>
    <n v="0"/>
    <s v="Unnamed ProjectCookerNumber BusyResource"/>
    <n v="30"/>
    <n v="1.2544396358850349"/>
    <n v="5.2752214441836441E-2"/>
    <n v="0.95"/>
    <n v="1.9698000600160998E-2"/>
    <n v="1.1651284575258001"/>
    <n v="1.3728647611032301"/>
    <n v="1.9698000600160998E-2"/>
  </r>
  <r>
    <x v="0"/>
    <s v="2025-05-26 16:22:20"/>
    <n v="30"/>
    <x v="2"/>
    <x v="2"/>
    <x v="0"/>
    <n v="2"/>
    <n v="2E+20"/>
    <n v="2"/>
    <n v="2"/>
    <n v="2"/>
    <n v="0"/>
    <s v="Unnamed ProjectCookerNumber ScheduledResource"/>
    <n v="30"/>
    <n v="2"/>
    <n v="0"/>
    <n v="0.95"/>
    <n v="0"/>
    <n v="2"/>
    <n v="2"/>
    <n v="0"/>
  </r>
  <r>
    <x v="0"/>
    <s v="2025-05-26 16:22:20"/>
    <n v="30"/>
    <x v="3"/>
    <x v="4"/>
    <x v="2"/>
    <n v="14.5808616536104"/>
    <n v="1.2580810506590101"/>
    <n v="1"/>
    <n v="31"/>
    <n v="21"/>
    <n v="0"/>
    <s v="Unnamed ProjectCustomerWIPEntity"/>
    <n v="30"/>
    <n v="15.52057581416776"/>
    <n v="0.69281619488833879"/>
    <n v="0.95"/>
    <n v="0.25870181881670146"/>
    <n v="14.4112589759764"/>
    <n v="16.972707717517899"/>
    <n v="0.25870181881670146"/>
  </r>
  <r>
    <x v="0"/>
    <s v="2025-05-26 16:22:20"/>
    <n v="30"/>
    <x v="4"/>
    <x v="3"/>
    <x v="1"/>
    <n v="0.15338739467860599"/>
    <n v="2E+20"/>
    <n v="0"/>
    <n v="4"/>
    <n v="0"/>
    <n v="0"/>
    <s v="Unnamed ProjectFood_Preparation.QueueNumber WaitingQueue"/>
    <n v="30"/>
    <n v="0.17621904323041618"/>
    <n v="5.3716857482027515E-2"/>
    <n v="0.95"/>
    <n v="2.0058204231149332E-2"/>
    <n v="7.4406608295854798E-2"/>
    <n v="0.29874320707386398"/>
    <n v="2.0058204231149332E-2"/>
  </r>
  <r>
    <x v="0"/>
    <s v="2025-05-26 16:22:20"/>
    <n v="30"/>
    <x v="5"/>
    <x v="0"/>
    <x v="0"/>
    <n v="1.7872807017543901E-3"/>
    <n v="2.3172041467825201E-4"/>
    <n v="0"/>
    <n v="3.7499999999999999E-2"/>
    <n v="0"/>
    <n v="0"/>
    <s v="Unnamed ProjectInside_TableInstantaneous UtilizationResource"/>
    <n v="30"/>
    <n v="1.8893070122364514E-3"/>
    <n v="1.2015303758165503E-4"/>
    <n v="0.95"/>
    <n v="4.4865881583116605E-5"/>
    <n v="1.70504385964912E-3"/>
    <n v="2.17031677925951E-3"/>
    <n v="4.4865881583116605E-5"/>
  </r>
  <r>
    <x v="0"/>
    <s v="2025-05-26 16:22:20"/>
    <n v="30"/>
    <x v="5"/>
    <x v="1"/>
    <x v="0"/>
    <n v="0.14298245614035099"/>
    <n v="1.8537633174260101E-2"/>
    <n v="0"/>
    <n v="3"/>
    <n v="0"/>
    <n v="0"/>
    <s v="Unnamed ProjectInside_TableNumber BusyResource"/>
    <n v="30"/>
    <n v="0.15114456097891607"/>
    <n v="9.6122430065323644E-3"/>
    <n v="0.95"/>
    <n v="3.5892705266493139E-3"/>
    <n v="0.13640350877193"/>
    <n v="0.17362534234076099"/>
    <n v="3.5892705266493139E-3"/>
  </r>
  <r>
    <x v="0"/>
    <s v="2025-05-26 16:22:20"/>
    <n v="30"/>
    <x v="5"/>
    <x v="2"/>
    <x v="0"/>
    <n v="80"/>
    <n v="2E+20"/>
    <n v="80"/>
    <n v="80"/>
    <n v="80"/>
    <n v="0"/>
    <s v="Unnamed ProjectInside_TableNumber ScheduledResource"/>
    <n v="30"/>
    <n v="80"/>
    <n v="0"/>
    <n v="0.95"/>
    <n v="0"/>
    <n v="80"/>
    <n v="80"/>
    <n v="0"/>
  </r>
  <r>
    <x v="0"/>
    <s v="2025-05-26 16:22:20"/>
    <n v="30"/>
    <x v="6"/>
    <x v="3"/>
    <x v="1"/>
    <n v="0"/>
    <n v="2E+20"/>
    <n v="0"/>
    <n v="0"/>
    <n v="0"/>
    <n v="0"/>
    <s v="Unnamed ProjectInside_Table_Standing.QueueNumber WaitingQueue"/>
    <n v="30"/>
    <n v="0"/>
    <n v="0"/>
    <n v="0.95"/>
    <n v="0"/>
    <n v="0"/>
    <n v="0"/>
    <n v="0"/>
  </r>
  <r>
    <x v="0"/>
    <s v="2025-05-26 16:22:20"/>
    <n v="30"/>
    <x v="7"/>
    <x v="3"/>
    <x v="1"/>
    <n v="0"/>
    <n v="2E+20"/>
    <n v="0"/>
    <n v="0"/>
    <n v="0"/>
    <n v="0"/>
    <s v="Unnamed ProjectInside_Table_Waiting_QueueNumber WaitingQueue"/>
    <n v="30"/>
    <n v="0"/>
    <n v="0"/>
    <n v="0.95"/>
    <n v="0"/>
    <n v="0"/>
    <n v="0"/>
    <n v="0"/>
  </r>
  <r>
    <x v="0"/>
    <s v="2025-05-26 16:22:20"/>
    <n v="30"/>
    <x v="8"/>
    <x v="3"/>
    <x v="1"/>
    <n v="1.49460586735111"/>
    <n v="9.41909149844114E-2"/>
    <n v="0"/>
    <n v="4"/>
    <n v="3"/>
    <n v="0"/>
    <s v="Unnamed ProjectOrder_Group.QueueNumber WaitingQueue"/>
    <n v="30"/>
    <n v="1.4993952408135176"/>
    <n v="4.292556618615595E-2"/>
    <n v="0.95"/>
    <n v="1.602866983772662E-2"/>
    <n v="1.4062336911317099"/>
    <n v="1.5889769030929"/>
    <n v="1.602866983772662E-2"/>
  </r>
  <r>
    <x v="0"/>
    <s v="2025-05-26 16:22:20"/>
    <n v="30"/>
    <x v="9"/>
    <x v="0"/>
    <x v="0"/>
    <n v="4.7368421052631504E-3"/>
    <n v="6.7382675876437802E-4"/>
    <n v="0"/>
    <n v="0.1"/>
    <n v="0"/>
    <n v="0"/>
    <s v="Unnamed ProjectOutside_TableInstantaneous UtilizationResource"/>
    <n v="30"/>
    <n v="4.9565971649701088E-3"/>
    <n v="2.7167433725199523E-4"/>
    <n v="0.95"/>
    <n v="1.0144486472958472E-4"/>
    <n v="4.4956140350877203E-3"/>
    <n v="5.5482456140350904E-3"/>
    <n v="1.0144486472958472E-4"/>
  </r>
  <r>
    <x v="0"/>
    <s v="2025-05-26 16:22:20"/>
    <n v="30"/>
    <x v="9"/>
    <x v="1"/>
    <x v="0"/>
    <n v="9.4736842105263105E-2"/>
    <n v="1.34765351752876E-2"/>
    <n v="0"/>
    <n v="2"/>
    <n v="0"/>
    <n v="0"/>
    <s v="Unnamed ProjectOutside_TableNumber BusyResource"/>
    <n v="30"/>
    <n v="9.9131943299402212E-2"/>
    <n v="5.4334867450399086E-3"/>
    <n v="0.95"/>
    <n v="2.0288972945916956E-3"/>
    <n v="8.9912280701754305E-2"/>
    <n v="0.110964912280702"/>
    <n v="2.0288972945916956E-3"/>
  </r>
  <r>
    <x v="0"/>
    <s v="2025-05-26 16:22:20"/>
    <n v="30"/>
    <x v="9"/>
    <x v="2"/>
    <x v="0"/>
    <n v="20"/>
    <n v="2E+20"/>
    <n v="20"/>
    <n v="20"/>
    <n v="20"/>
    <n v="0"/>
    <s v="Unnamed ProjectOutside_TableNumber ScheduledResource"/>
    <n v="30"/>
    <n v="20"/>
    <n v="0"/>
    <n v="0.95"/>
    <n v="0"/>
    <n v="20"/>
    <n v="20"/>
    <n v="0"/>
  </r>
  <r>
    <x v="0"/>
    <s v="2025-05-26 16:22:20"/>
    <n v="30"/>
    <x v="10"/>
    <x v="3"/>
    <x v="1"/>
    <n v="0"/>
    <n v="2E+20"/>
    <n v="0"/>
    <n v="0"/>
    <n v="0"/>
    <n v="0"/>
    <s v="Unnamed ProjectOutside_Table_Standing.QueueNumber WaitingQueue"/>
    <n v="30"/>
    <n v="0"/>
    <n v="0"/>
    <n v="0.95"/>
    <n v="0"/>
    <n v="0"/>
    <n v="0"/>
    <n v="0"/>
  </r>
  <r>
    <x v="0"/>
    <s v="2025-05-26 16:22:20"/>
    <n v="30"/>
    <x v="11"/>
    <x v="3"/>
    <x v="1"/>
    <n v="0"/>
    <n v="2E+20"/>
    <n v="0"/>
    <n v="0"/>
    <n v="0"/>
    <n v="0"/>
    <s v="Unnamed ProjectOutside_Table_Waiting_QueueNumber WaitingQueue"/>
    <n v="30"/>
    <n v="0"/>
    <n v="0"/>
    <n v="0.95"/>
    <n v="0"/>
    <n v="0"/>
    <n v="0"/>
    <n v="0"/>
  </r>
  <r>
    <x v="0"/>
    <s v="2025-05-26 16:22:20"/>
    <n v="30"/>
    <x v="12"/>
    <x v="3"/>
    <x v="1"/>
    <n v="0"/>
    <n v="2E+20"/>
    <n v="0"/>
    <n v="0"/>
    <n v="0"/>
    <n v="0"/>
    <s v="Unnamed ProjectTaking_Order.QueueNumber WaitingQueue"/>
    <n v="30"/>
    <n v="0"/>
    <n v="0"/>
    <n v="0.95"/>
    <n v="0"/>
    <n v="0"/>
    <n v="0"/>
    <n v="0"/>
  </r>
  <r>
    <x v="0"/>
    <s v="2025-05-26 16:22:20"/>
    <n v="30"/>
    <x v="13"/>
    <x v="0"/>
    <x v="0"/>
    <n v="7.9150486146479002E-2"/>
    <n v="2E+20"/>
    <n v="0"/>
    <n v="0.66666666666666696"/>
    <n v="0"/>
    <n v="0"/>
    <s v="Unnamed ProjectWaiterInstantaneous UtilizationResource"/>
    <n v="30"/>
    <n v="8.3509459606410805E-2"/>
    <n v="3.5452891325333828E-3"/>
    <n v="0.95"/>
    <n v="1.3238327186697659E-3"/>
    <n v="7.7176470357846902E-2"/>
    <n v="9.2534326714405896E-2"/>
    <n v="1.3238327186697659E-3"/>
  </r>
  <r>
    <x v="0"/>
    <s v="2025-05-26 16:22:20"/>
    <n v="30"/>
    <x v="13"/>
    <x v="1"/>
    <x v="0"/>
    <n v="0.23745145843943699"/>
    <n v="2E+20"/>
    <n v="0"/>
    <n v="2"/>
    <n v="0"/>
    <n v="0"/>
    <s v="Unnamed ProjectWaiterNumber BusyResource"/>
    <n v="30"/>
    <n v="0.2505283788192324"/>
    <n v="1.0635867397600153E-2"/>
    <n v="0.95"/>
    <n v="3.9714981560092996E-3"/>
    <n v="0.231529411073541"/>
    <n v="0.27760298014321699"/>
    <n v="3.9714981560092996E-3"/>
  </r>
  <r>
    <x v="0"/>
    <s v="2025-05-26 16:22:20"/>
    <n v="30"/>
    <x v="13"/>
    <x v="2"/>
    <x v="0"/>
    <n v="3"/>
    <n v="2E+20"/>
    <n v="3"/>
    <n v="3"/>
    <n v="3"/>
    <n v="0"/>
    <s v="Unnamed ProjectWaiterNumber ScheduledResource"/>
    <n v="30"/>
    <n v="3"/>
    <n v="0"/>
    <n v="0.95"/>
    <n v="0"/>
    <n v="3"/>
    <n v="3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8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0">
        <item m="1" x="21"/>
        <item m="1" x="44"/>
        <item m="1" x="16"/>
        <item m="1" x="96"/>
        <item m="1" x="79"/>
        <item m="1" x="49"/>
        <item m="1" x="105"/>
        <item m="1" x="37"/>
        <item m="1" x="41"/>
        <item m="1" x="108"/>
        <item m="1" x="74"/>
        <item m="1" x="86"/>
        <item m="1" x="91"/>
        <item m="1" x="15"/>
        <item m="1" x="43"/>
        <item m="1" x="33"/>
        <item m="1" x="109"/>
        <item m="1" x="103"/>
        <item m="1" x="31"/>
        <item m="1" x="25"/>
        <item m="1" x="97"/>
        <item m="1" x="17"/>
        <item m="1" x="50"/>
        <item m="1" x="36"/>
        <item m="1" x="61"/>
        <item m="1" x="88"/>
        <item m="1" x="52"/>
        <item m="1" x="22"/>
        <item m="1" x="46"/>
        <item m="1" x="75"/>
        <item m="1" x="65"/>
        <item m="1" x="23"/>
        <item m="1" x="82"/>
        <item m="1" x="14"/>
        <item m="1" x="102"/>
        <item m="1" x="70"/>
        <item m="1" x="90"/>
        <item m="1" x="45"/>
        <item m="1" x="104"/>
        <item m="1" x="73"/>
        <item m="1" x="27"/>
        <item m="1" x="64"/>
        <item m="1" x="78"/>
        <item m="1" x="89"/>
        <item m="1" x="95"/>
        <item m="1" x="13"/>
        <item m="1" x="26"/>
        <item m="1" x="35"/>
        <item m="1" x="28"/>
        <item m="1" x="12"/>
        <item m="1" x="87"/>
        <item m="1" x="99"/>
        <item m="1" x="39"/>
        <item m="1" x="69"/>
        <item m="1" x="30"/>
        <item m="1" x="47"/>
        <item m="1" x="34"/>
        <item m="1" x="55"/>
        <item m="1" x="42"/>
        <item m="1" x="62"/>
        <item m="1" x="48"/>
        <item m="1" x="71"/>
        <item m="1" x="56"/>
        <item m="1" x="76"/>
        <item m="1" x="63"/>
        <item m="1" x="84"/>
        <item m="1" x="77"/>
        <item m="1" x="92"/>
        <item m="1" x="100"/>
        <item m="1" x="80"/>
        <item m="1" x="59"/>
        <item m="1" x="40"/>
        <item m="1" x="53"/>
        <item m="1" x="24"/>
        <item m="1" x="29"/>
        <item m="1" x="38"/>
        <item m="1" x="66"/>
        <item m="1" x="101"/>
        <item m="1" x="94"/>
        <item m="1" x="81"/>
        <item m="1" x="54"/>
        <item m="1" x="67"/>
        <item m="1" x="58"/>
        <item m="1" x="83"/>
        <item m="1" x="68"/>
        <item m="1" x="51"/>
        <item m="1" x="57"/>
        <item m="1" x="20"/>
        <item m="1" x="60"/>
        <item m="1" x="72"/>
        <item m="1" x="85"/>
        <item m="1" x="93"/>
        <item m="1" x="98"/>
        <item m="1" x="107"/>
        <item m="1" x="18"/>
        <item m="1" x="32"/>
        <item m="1" x="106"/>
        <item m="1" x="19"/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2">
        <item x="7"/>
        <item x="1"/>
        <item x="2"/>
        <item x="3"/>
        <item x="4"/>
        <item x="5"/>
        <item x="6"/>
        <item x="0"/>
        <item m="1" x="9"/>
        <item m="1" x="10"/>
        <item m="1" x="11"/>
        <item m="1" x="8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6">
    <i>
      <x v="3"/>
      <x v="99"/>
      <x v="7"/>
      <x v="1"/>
    </i>
    <i r="1">
      <x v="100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/>
      <x v="2"/>
    </i>
    <i r="1">
      <x v="105"/>
      <x v="7"/>
      <x v="1"/>
    </i>
    <i r="1">
      <x v="106"/>
      <x v="7"/>
      <x v="1"/>
    </i>
    <i r="1">
      <x v="107"/>
      <x v="7"/>
      <x v="1"/>
    </i>
    <i r="1">
      <x v="108"/>
      <x/>
      <x v="2"/>
    </i>
    <i r="1">
      <x v="109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1">
        <item m="1" x="38"/>
        <item m="1" x="14"/>
        <item m="1" x="39"/>
        <item m="1" x="15"/>
        <item m="1" x="40"/>
        <item m="1" x="16"/>
        <item m="1" x="41"/>
        <item m="1" x="17"/>
        <item m="1" x="73"/>
        <item m="1" x="28"/>
        <item x="10"/>
        <item m="1" x="72"/>
        <item m="1" x="59"/>
        <item m="1" x="76"/>
        <item m="1" x="61"/>
        <item m="1" x="77"/>
        <item m="1" x="84"/>
        <item m="1" x="53"/>
        <item m="1" x="21"/>
        <item m="1" x="70"/>
        <item m="1" x="60"/>
        <item m="1" x="58"/>
        <item m="1" x="24"/>
        <item m="1" x="68"/>
        <item m="1" x="33"/>
        <item m="1" x="69"/>
        <item m="1" x="34"/>
        <item m="1" x="67"/>
        <item m="1" x="87"/>
        <item m="1" x="27"/>
        <item m="1" x="90"/>
        <item m="1" x="55"/>
        <item m="1" x="22"/>
        <item m="1" x="85"/>
        <item m="1" x="80"/>
        <item m="1" x="56"/>
        <item m="1" x="23"/>
        <item m="1" x="86"/>
        <item m="1" x="81"/>
        <item m="1" x="18"/>
        <item m="1" x="52"/>
        <item m="1" x="36"/>
        <item m="1" x="26"/>
        <item m="1" x="78"/>
        <item m="1" x="48"/>
        <item m="1" x="79"/>
        <item m="1" x="49"/>
        <item m="1" x="35"/>
        <item m="1" x="30"/>
        <item m="1" x="57"/>
        <item m="1" x="32"/>
        <item m="1" x="89"/>
        <item m="1" x="82"/>
        <item m="1" x="31"/>
        <item m="1" x="29"/>
        <item m="1" x="74"/>
        <item m="1" x="83"/>
        <item m="1" x="19"/>
        <item m="1" x="37"/>
        <item m="1" x="50"/>
        <item m="1" x="71"/>
        <item m="1" x="88"/>
        <item m="1" x="20"/>
        <item m="1" x="47"/>
        <item m="1" x="51"/>
        <item m="1" x="75"/>
        <item m="1" x="54"/>
        <item m="1" x="25"/>
        <item m="1" x="42"/>
        <item m="1" x="62"/>
        <item m="1" x="43"/>
        <item m="1" x="63"/>
        <item m="1" x="44"/>
        <item m="1" x="64"/>
        <item m="1" x="45"/>
        <item m="1" x="65"/>
        <item m="1" x="46"/>
        <item m="1" x="66"/>
        <item m="1" x="13"/>
        <item x="0"/>
        <item x="1"/>
        <item x="2"/>
        <item x="3"/>
        <item x="4"/>
        <item x="5"/>
        <item x="6"/>
        <item x="7"/>
        <item x="8"/>
        <item x="9"/>
        <item x="11"/>
        <item x="12"/>
      </items>
    </pivotField>
    <pivotField axis="axisRow" compact="0" outline="0" showAll="0" defaultSubtotal="0">
      <items count="7">
        <item x="2"/>
        <item x="3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3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/>
      <x/>
    </i>
    <i r="1">
      <x v="84"/>
      <x v="1"/>
      <x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3"/>
      <x v="1"/>
    </i>
    <i r="1">
      <x v="90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6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8">
        <item m="1" x="29"/>
        <item m="1" x="20"/>
        <item m="1" x="36"/>
        <item m="1" x="45"/>
        <item m="1" x="58"/>
        <item m="1" x="57"/>
        <item m="1" x="21"/>
        <item m="1" x="122"/>
        <item m="1" x="100"/>
        <item m="1" x="63"/>
        <item m="1" x="50"/>
        <item m="1" x="54"/>
        <item m="1" x="136"/>
        <item m="1" x="39"/>
        <item m="1" x="121"/>
        <item m="1" x="43"/>
        <item m="1" x="94"/>
        <item m="1" x="108"/>
        <item m="1" x="18"/>
        <item m="1" x="44"/>
        <item m="1" x="131"/>
        <item m="1" x="33"/>
        <item m="1" x="123"/>
        <item m="1" x="22"/>
        <item m="1" x="49"/>
        <item m="1" x="75"/>
        <item m="1" x="19"/>
        <item m="1" x="25"/>
        <item m="1" x="95"/>
        <item m="1" x="76"/>
        <item m="1" x="110"/>
        <item m="1" x="66"/>
        <item m="1" x="30"/>
        <item m="1" x="60"/>
        <item m="1" x="96"/>
        <item m="1" x="81"/>
        <item m="1" x="31"/>
        <item m="1" x="41"/>
        <item m="1" x="103"/>
        <item m="1" x="17"/>
        <item m="1" x="130"/>
        <item m="1" x="88"/>
        <item m="1" x="28"/>
        <item m="1" x="113"/>
        <item m="1" x="59"/>
        <item m="1" x="132"/>
        <item m="1" x="93"/>
        <item m="1" x="35"/>
        <item m="1" x="80"/>
        <item m="1" x="99"/>
        <item m="1" x="112"/>
        <item m="1" x="120"/>
        <item m="1" x="129"/>
        <item m="1" x="16"/>
        <item m="1" x="34"/>
        <item m="1" x="48"/>
        <item m="1" x="37"/>
        <item m="1" x="15"/>
        <item m="1" x="109"/>
        <item m="1" x="126"/>
        <item m="1" x="52"/>
        <item m="1" x="87"/>
        <item m="1" x="40"/>
        <item m="1" x="61"/>
        <item m="1" x="46"/>
        <item m="1" x="70"/>
        <item m="1" x="55"/>
        <item m="1" x="77"/>
        <item m="1" x="62"/>
        <item m="1" x="89"/>
        <item m="1" x="71"/>
        <item m="1" x="97"/>
        <item m="1" x="78"/>
        <item m="1" x="106"/>
        <item m="1" x="90"/>
        <item m="1" x="111"/>
        <item m="1" x="98"/>
        <item m="1" x="115"/>
        <item m="1" x="127"/>
        <item m="1" x="117"/>
        <item m="1" x="101"/>
        <item m="1" x="74"/>
        <item m="1" x="53"/>
        <item m="1" x="68"/>
        <item m="1" x="32"/>
        <item m="1" x="38"/>
        <item m="1" x="47"/>
        <item m="1" x="51"/>
        <item m="1" x="83"/>
        <item m="1" x="128"/>
        <item m="1" x="118"/>
        <item m="1" x="102"/>
        <item m="1" x="69"/>
        <item m="1" x="137"/>
        <item m="1" x="85"/>
        <item m="1" x="73"/>
        <item m="1" x="105"/>
        <item m="1" x="86"/>
        <item m="1" x="65"/>
        <item m="1" x="72"/>
        <item m="1" x="26"/>
        <item m="1" x="91"/>
        <item m="1" x="107"/>
        <item m="1" x="116"/>
        <item m="1" x="124"/>
        <item m="1" x="135"/>
        <item m="1" x="23"/>
        <item m="1" x="42"/>
        <item m="1" x="134"/>
        <item m="1" x="24"/>
        <item m="1" x="92"/>
        <item m="1" x="67"/>
        <item m="1" x="82"/>
        <item m="1" x="27"/>
        <item m="1" x="133"/>
        <item m="1" x="114"/>
        <item m="1" x="64"/>
        <item m="1" x="125"/>
        <item m="1" x="84"/>
        <item m="1" x="104"/>
        <item m="1" x="119"/>
        <item m="1" x="56"/>
        <item m="1" x="79"/>
        <item m="1" x="1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4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 v="4"/>
      <x/>
    </i>
    <i r="1">
      <x v="128"/>
      <x v="3"/>
      <x v="1"/>
    </i>
    <i r="1">
      <x v="129"/>
      <x/>
      <x v="2"/>
    </i>
    <i r="2">
      <x v="1"/>
      <x v="2"/>
    </i>
    <i r="2">
      <x v="2"/>
      <x v="2"/>
    </i>
    <i r="1">
      <x v="130"/>
      <x v="3"/>
      <x v="1"/>
    </i>
    <i r="1">
      <x v="131"/>
      <x v="3"/>
      <x v="1"/>
    </i>
    <i r="1">
      <x v="132"/>
      <x v="3"/>
      <x v="1"/>
    </i>
    <i r="1">
      <x v="133"/>
      <x/>
      <x v="2"/>
    </i>
    <i r="2">
      <x v="1"/>
      <x v="2"/>
    </i>
    <i r="2">
      <x v="2"/>
      <x v="2"/>
    </i>
    <i r="1">
      <x v="134"/>
      <x v="3"/>
      <x v="1"/>
    </i>
    <i r="1">
      <x v="135"/>
      <x v="3"/>
      <x v="1"/>
    </i>
    <i r="1">
      <x v="136"/>
      <x v="3"/>
      <x v="1"/>
    </i>
    <i r="1">
      <x v="137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55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481" tableType="queryTable" totalsRowShown="0">
  <autoFilter ref="A1:Y481" xr:uid="{C3D003CA-1AFF-426C-A03D-D3AF5760DF1A}"/>
  <sortState xmlns:xlrd2="http://schemas.microsoft.com/office/spreadsheetml/2017/richdata2" ref="A2:Y481">
    <sortCondition ref="D1:D48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45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44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43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42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41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40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39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38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37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36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35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34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33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32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721" tableType="queryTable" totalsRowShown="0">
  <autoFilter ref="A1:U72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2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2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2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2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2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2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1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1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1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391" tableType="queryTable" totalsRowShown="0">
  <autoFilter ref="A1:P39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12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11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10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9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8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7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6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5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2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1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0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15.1640625" bestFit="1" customWidth="1"/>
    <col min="2" max="2" width="80.83203125" bestFit="1" customWidth="1"/>
    <col min="3" max="3" width="18.1640625" bestFit="1" customWidth="1"/>
    <col min="4" max="4" width="11.6640625" bestFit="1" customWidth="1"/>
    <col min="5" max="5" width="22.5" bestFit="1" customWidth="1"/>
    <col min="6" max="6" width="24.1640625" bestFit="1" customWidth="1"/>
    <col min="7" max="10" width="19.5" bestFit="1" customWidth="1"/>
    <col min="11" max="11" width="19.5" customWidth="1"/>
  </cols>
  <sheetData>
    <row r="1" spans="1:7" x14ac:dyDescent="0.2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2">
      <c r="A2" t="s">
        <v>67</v>
      </c>
      <c r="B2" t="s">
        <v>69</v>
      </c>
      <c r="C2" t="s">
        <v>70</v>
      </c>
      <c r="D2">
        <v>2</v>
      </c>
      <c r="E2">
        <v>30</v>
      </c>
      <c r="F2">
        <v>2280</v>
      </c>
      <c r="G2">
        <f>0.95</f>
        <v>0.95</v>
      </c>
    </row>
  </sheetData>
  <phoneticPr fontId="2" type="noConversion"/>
  <conditionalFormatting sqref="D2">
    <cfRule type="expression" dxfId="70" priority="1">
      <formula>D2=3</formula>
    </cfRule>
    <cfRule type="expression" dxfId="69" priority="2">
      <formula>D2=2</formula>
    </cfRule>
    <cfRule type="expression" dxfId="68" priority="3">
      <formula>D2=1</formula>
    </cfRule>
    <cfRule type="expression" dxfId="67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6"/>
  <sheetViews>
    <sheetView tabSelected="1" workbookViewId="0"/>
  </sheetViews>
  <sheetFormatPr baseColWidth="10" defaultColWidth="8.83203125" defaultRowHeight="15" x14ac:dyDescent="0.2"/>
  <cols>
    <col min="1" max="1" width="33.33203125" customWidth="1"/>
    <col min="2" max="2" width="28.6640625" bestFit="1" customWidth="1"/>
    <col min="3" max="3" width="12.5" bestFit="1" customWidth="1"/>
    <col min="4" max="4" width="11.6640625" bestFit="1" customWidth="1"/>
    <col min="5" max="5" width="26.33203125" bestFit="1" customWidth="1"/>
    <col min="6" max="6" width="18.1640625" bestFit="1" customWidth="1"/>
    <col min="7" max="7" width="12.1640625" bestFit="1" customWidth="1"/>
    <col min="8" max="8" width="24.5" bestFit="1" customWidth="1"/>
    <col min="9" max="9" width="25" bestFit="1" customWidth="1"/>
    <col min="10" max="10" width="25.1640625" bestFit="1" customWidth="1"/>
    <col min="11" max="11" width="15" bestFit="1" customWidth="1"/>
    <col min="12" max="12" width="15.1640625" bestFit="1" customWidth="1"/>
    <col min="13" max="13" width="27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" bestFit="1" customWidth="1"/>
    <col min="18" max="18" width="9" bestFit="1" customWidth="1"/>
    <col min="19" max="19" width="26.33203125" bestFit="1" customWidth="1"/>
    <col min="20" max="20" width="12.1640625" bestFit="1" customWidth="1"/>
    <col min="21" max="21" width="24.5" bestFit="1" customWidth="1"/>
    <col min="22" max="22" width="20.33203125" bestFit="1" customWidth="1"/>
    <col min="23" max="23" width="20.5" bestFit="1" customWidth="1"/>
    <col min="24" max="24" width="15" bestFit="1" customWidth="1"/>
    <col min="25" max="25" width="15.164062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3" bestFit="1" customWidth="1"/>
    <col min="32" max="32" width="9.5" bestFit="1" customWidth="1"/>
    <col min="33" max="33" width="27.1640625" bestFit="1" customWidth="1"/>
    <col min="34" max="34" width="18.5" bestFit="1" customWidth="1"/>
    <col min="35" max="35" width="18.6640625" bestFit="1" customWidth="1"/>
    <col min="36" max="36" width="19.832031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3" bestFit="1" customWidth="1"/>
    <col min="42" max="42" width="12.1640625" bestFit="1" customWidth="1"/>
    <col min="43" max="43" width="27.1640625" bestFit="1" customWidth="1"/>
    <col min="44" max="44" width="18.5" bestFit="1" customWidth="1"/>
    <col min="45" max="45" width="18.6640625" bestFit="1" customWidth="1"/>
    <col min="46" max="46" width="19.83203125" bestFit="1" customWidth="1"/>
    <col min="47" max="47" width="14.8320312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4.1640625" bestFit="1" customWidth="1"/>
    <col min="52" max="52" width="25.33203125" bestFit="1" customWidth="1"/>
    <col min="53" max="53" width="27" bestFit="1" customWidth="1"/>
    <col min="54" max="54" width="24.83203125" bestFit="1" customWidth="1"/>
    <col min="55" max="55" width="29.33203125" bestFit="1" customWidth="1"/>
    <col min="56" max="56" width="31.83203125" bestFit="1" customWidth="1"/>
    <col min="57" max="57" width="21.6640625" bestFit="1" customWidth="1"/>
  </cols>
  <sheetData>
    <row r="1" spans="1:52" ht="19" x14ac:dyDescent="0.2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2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2">
      <c r="A3" t="s">
        <v>67</v>
      </c>
      <c r="B3" t="s">
        <v>71</v>
      </c>
      <c r="C3" t="s">
        <v>72</v>
      </c>
      <c r="D3" t="s">
        <v>73</v>
      </c>
      <c r="E3" s="5">
        <v>0.22556590301909313</v>
      </c>
      <c r="F3" s="5">
        <v>1</v>
      </c>
      <c r="G3" s="5">
        <v>1.1698390165490775E-2</v>
      </c>
      <c r="H3" s="5">
        <v>3.1328864241642683E-2</v>
      </c>
      <c r="I3" s="5">
        <v>0.166055927963801</v>
      </c>
      <c r="J3" s="5">
        <v>0.30302623594621902</v>
      </c>
      <c r="K3" s="5">
        <v>0</v>
      </c>
      <c r="L3" s="5">
        <v>4.9820001768348403</v>
      </c>
      <c r="M3" s="5">
        <v>285.39999999999998</v>
      </c>
      <c r="O3" t="s">
        <v>67</v>
      </c>
      <c r="P3" t="s">
        <v>93</v>
      </c>
      <c r="Q3" t="s">
        <v>94</v>
      </c>
      <c r="R3" t="s">
        <v>95</v>
      </c>
      <c r="S3" s="5">
        <v>0.25031804088290305</v>
      </c>
      <c r="T3" s="5">
        <v>4.2029769261323026E-3</v>
      </c>
      <c r="U3" s="5">
        <v>1.1255778929137084E-2</v>
      </c>
      <c r="V3" s="5">
        <v>0.233333333333333</v>
      </c>
      <c r="W3" s="5">
        <v>0.27905535859326402</v>
      </c>
      <c r="X3" s="5">
        <v>0</v>
      </c>
      <c r="Y3" s="5">
        <v>1</v>
      </c>
      <c r="AA3" t="s">
        <v>65</v>
      </c>
      <c r="AB3" t="s">
        <v>65</v>
      </c>
      <c r="AC3" t="s">
        <v>65</v>
      </c>
      <c r="AD3" t="s">
        <v>65</v>
      </c>
      <c r="AE3" s="5"/>
      <c r="AF3" s="5"/>
      <c r="AG3" s="5"/>
      <c r="AH3" s="5"/>
      <c r="AI3" s="5"/>
      <c r="AK3" t="s">
        <v>67</v>
      </c>
      <c r="AL3" t="s">
        <v>118</v>
      </c>
      <c r="AM3" t="s">
        <v>113</v>
      </c>
      <c r="AN3" t="s">
        <v>119</v>
      </c>
      <c r="AO3" s="5">
        <v>285.3</v>
      </c>
      <c r="AP3" s="5">
        <v>4.7568806587755841</v>
      </c>
      <c r="AQ3" s="5">
        <v>12.739160368585981</v>
      </c>
      <c r="AR3" s="5">
        <v>266</v>
      </c>
      <c r="AS3" s="5">
        <v>318</v>
      </c>
      <c r="AU3" t="s">
        <v>65</v>
      </c>
      <c r="AV3" t="s">
        <v>65</v>
      </c>
      <c r="AW3" t="s">
        <v>65</v>
      </c>
      <c r="AX3" t="s">
        <v>65</v>
      </c>
      <c r="AY3" s="4"/>
      <c r="AZ3" s="4"/>
    </row>
    <row r="4" spans="1:52" x14ac:dyDescent="0.2">
      <c r="B4" t="s">
        <v>74</v>
      </c>
      <c r="C4" t="s">
        <v>75</v>
      </c>
      <c r="D4" t="s">
        <v>76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285.3</v>
      </c>
      <c r="Q4" t="s">
        <v>96</v>
      </c>
      <c r="R4" t="s">
        <v>95</v>
      </c>
      <c r="S4" s="5">
        <v>0.25031804088290305</v>
      </c>
      <c r="T4" s="5">
        <v>4.2029769261323026E-3</v>
      </c>
      <c r="U4" s="5">
        <v>1.1255778929137084E-2</v>
      </c>
      <c r="V4" s="5">
        <v>0.233333333333333</v>
      </c>
      <c r="W4" s="5">
        <v>0.27905535859326402</v>
      </c>
      <c r="X4" s="5">
        <v>0</v>
      </c>
      <c r="Y4" s="5">
        <v>1</v>
      </c>
      <c r="AL4" t="s">
        <v>104</v>
      </c>
      <c r="AM4" t="s">
        <v>105</v>
      </c>
      <c r="AN4" t="s">
        <v>95</v>
      </c>
      <c r="AO4" s="5">
        <v>285.39999999999998</v>
      </c>
      <c r="AP4" s="5">
        <v>4.8106017636928868</v>
      </c>
      <c r="AQ4" s="5">
        <v>12.88302812979555</v>
      </c>
      <c r="AR4" s="5">
        <v>266</v>
      </c>
      <c r="AS4" s="5">
        <v>318</v>
      </c>
    </row>
    <row r="5" spans="1:52" x14ac:dyDescent="0.2">
      <c r="C5" t="s">
        <v>77</v>
      </c>
      <c r="D5" t="s">
        <v>76</v>
      </c>
      <c r="E5" s="5">
        <v>0</v>
      </c>
      <c r="F5" s="5">
        <v>1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285.3</v>
      </c>
      <c r="Q5" t="s">
        <v>97</v>
      </c>
      <c r="R5" t="s">
        <v>95</v>
      </c>
      <c r="S5" s="5">
        <v>1</v>
      </c>
      <c r="T5" s="5">
        <v>0</v>
      </c>
      <c r="U5" s="5">
        <v>0</v>
      </c>
      <c r="V5" s="5">
        <v>1</v>
      </c>
      <c r="W5" s="5">
        <v>1</v>
      </c>
      <c r="X5" s="5">
        <v>1</v>
      </c>
      <c r="Y5" s="5">
        <v>1</v>
      </c>
      <c r="AL5" t="s">
        <v>106</v>
      </c>
      <c r="AM5" t="s">
        <v>107</v>
      </c>
      <c r="AN5" t="s">
        <v>95</v>
      </c>
      <c r="AO5" s="5">
        <v>0.25031804088290305</v>
      </c>
      <c r="AP5" s="5">
        <v>4.2029769261323026E-3</v>
      </c>
      <c r="AQ5" s="5">
        <v>1.1255778929137084E-2</v>
      </c>
      <c r="AR5" s="5">
        <v>0.233333333333333</v>
      </c>
      <c r="AS5" s="5">
        <v>0.27905535859326402</v>
      </c>
    </row>
    <row r="6" spans="1:52" x14ac:dyDescent="0.2">
      <c r="C6" t="s">
        <v>78</v>
      </c>
      <c r="D6" t="s">
        <v>76</v>
      </c>
      <c r="E6" s="5">
        <v>42.144608162589741</v>
      </c>
      <c r="F6" s="5">
        <v>1</v>
      </c>
      <c r="G6" s="5">
        <v>0.18927867722499744</v>
      </c>
      <c r="H6" s="5">
        <v>0.50689760716925758</v>
      </c>
      <c r="I6" s="5">
        <v>41.266839452854697</v>
      </c>
      <c r="J6" s="5">
        <v>43.261092257362002</v>
      </c>
      <c r="K6" s="5">
        <v>14.356812659243699</v>
      </c>
      <c r="L6" s="5">
        <v>109.278485088034</v>
      </c>
      <c r="M6" s="5">
        <v>285.3</v>
      </c>
      <c r="P6" t="s">
        <v>71</v>
      </c>
      <c r="Q6" t="s">
        <v>98</v>
      </c>
      <c r="R6" t="s">
        <v>73</v>
      </c>
      <c r="S6" s="5">
        <v>2.8328348974232576E-2</v>
      </c>
      <c r="T6" s="5">
        <v>1.6627262085570247E-3</v>
      </c>
      <c r="U6" s="5">
        <v>4.4528625667289773E-3</v>
      </c>
      <c r="V6" s="5">
        <v>1.9664517785186901E-2</v>
      </c>
      <c r="W6" s="5">
        <v>3.9738966906982302E-2</v>
      </c>
      <c r="X6" s="5">
        <v>0</v>
      </c>
      <c r="Y6" s="5">
        <v>3</v>
      </c>
      <c r="AL6" t="s">
        <v>108</v>
      </c>
      <c r="AM6" t="s">
        <v>105</v>
      </c>
      <c r="AN6" t="s">
        <v>95</v>
      </c>
      <c r="AO6" s="5">
        <v>285.66666666666669</v>
      </c>
      <c r="AP6" s="5">
        <v>4.8352585562766697</v>
      </c>
      <c r="AQ6" s="5">
        <v>12.949060233064802</v>
      </c>
      <c r="AR6" s="5">
        <v>264</v>
      </c>
      <c r="AS6" s="5">
        <v>320</v>
      </c>
    </row>
    <row r="7" spans="1:52" x14ac:dyDescent="0.2">
      <c r="C7" t="s">
        <v>79</v>
      </c>
      <c r="D7" t="s">
        <v>76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285.3</v>
      </c>
      <c r="P7" t="s">
        <v>99</v>
      </c>
      <c r="Q7" t="s">
        <v>94</v>
      </c>
      <c r="R7" t="s">
        <v>95</v>
      </c>
      <c r="S7" s="5">
        <v>0.62721981794251769</v>
      </c>
      <c r="T7" s="5">
        <v>9.8490003000806757E-3</v>
      </c>
      <c r="U7" s="5">
        <v>2.6376107220918699E-2</v>
      </c>
      <c r="V7" s="5">
        <v>0.58256422876290004</v>
      </c>
      <c r="W7" s="5">
        <v>0.68643238055161704</v>
      </c>
      <c r="X7" s="5">
        <v>0</v>
      </c>
      <c r="Y7" s="5">
        <v>1</v>
      </c>
      <c r="AL7" t="s">
        <v>109</v>
      </c>
      <c r="AM7" t="s">
        <v>107</v>
      </c>
      <c r="AN7" t="s">
        <v>95</v>
      </c>
      <c r="AO7" s="5">
        <v>0.62721981794251769</v>
      </c>
      <c r="AP7" s="5">
        <v>9.8490003000806757E-3</v>
      </c>
      <c r="AQ7" s="5">
        <v>2.6376107220918699E-2</v>
      </c>
      <c r="AR7" s="5">
        <v>0.58256422876290004</v>
      </c>
      <c r="AS7" s="5">
        <v>0.68643238055161704</v>
      </c>
    </row>
    <row r="8" spans="1:52" x14ac:dyDescent="0.2">
      <c r="C8" t="s">
        <v>80</v>
      </c>
      <c r="D8" t="s">
        <v>76</v>
      </c>
      <c r="E8" s="5">
        <v>36.00428777459642</v>
      </c>
      <c r="F8" s="5">
        <v>1</v>
      </c>
      <c r="G8" s="5">
        <v>0.12798857311270725</v>
      </c>
      <c r="H8" s="5">
        <v>0.34275969383872451</v>
      </c>
      <c r="I8" s="5">
        <v>35.158236096727201</v>
      </c>
      <c r="J8" s="5">
        <v>36.707690403515898</v>
      </c>
      <c r="K8" s="5">
        <v>14.2518779052622</v>
      </c>
      <c r="L8" s="5">
        <v>59.774077085699403</v>
      </c>
      <c r="M8" s="5">
        <v>285.3</v>
      </c>
      <c r="Q8" t="s">
        <v>96</v>
      </c>
      <c r="R8" t="s">
        <v>95</v>
      </c>
      <c r="S8" s="5">
        <v>1.2544396358850349</v>
      </c>
      <c r="T8" s="5">
        <v>1.9698000600160998E-2</v>
      </c>
      <c r="U8" s="5">
        <v>5.2752214441836441E-2</v>
      </c>
      <c r="V8" s="5">
        <v>1.1651284575258001</v>
      </c>
      <c r="W8" s="5">
        <v>1.3728647611032301</v>
      </c>
      <c r="X8" s="5">
        <v>0</v>
      </c>
      <c r="Y8" s="5">
        <v>2</v>
      </c>
      <c r="AL8" t="s">
        <v>110</v>
      </c>
      <c r="AM8" t="s">
        <v>111</v>
      </c>
      <c r="AN8" t="s">
        <v>76</v>
      </c>
      <c r="AO8" s="5">
        <v>855.93333333333328</v>
      </c>
      <c r="AP8" s="5">
        <v>14.435647148869247</v>
      </c>
      <c r="AQ8" s="5">
        <v>38.659373073509371</v>
      </c>
      <c r="AR8" s="5">
        <v>792</v>
      </c>
      <c r="AS8" s="5">
        <v>958</v>
      </c>
    </row>
    <row r="9" spans="1:52" x14ac:dyDescent="0.2">
      <c r="C9" t="s">
        <v>81</v>
      </c>
      <c r="D9" t="s">
        <v>76</v>
      </c>
      <c r="E9" s="5">
        <v>13.621559896422417</v>
      </c>
      <c r="F9" s="5">
        <v>1</v>
      </c>
      <c r="G9" s="5">
        <v>0.14806141778332987</v>
      </c>
      <c r="H9" s="5">
        <v>0.39651575913774295</v>
      </c>
      <c r="I9" s="5">
        <v>12.598242749972901</v>
      </c>
      <c r="J9" s="5">
        <v>14.319051591609201</v>
      </c>
      <c r="K9" s="5">
        <v>0</v>
      </c>
      <c r="L9" s="5">
        <v>180.86047487093799</v>
      </c>
      <c r="M9" s="5">
        <v>285.3</v>
      </c>
      <c r="Q9" t="s">
        <v>97</v>
      </c>
      <c r="R9" t="s">
        <v>95</v>
      </c>
      <c r="S9" s="5">
        <v>2</v>
      </c>
      <c r="T9" s="5">
        <v>0</v>
      </c>
      <c r="U9" s="5">
        <v>0</v>
      </c>
      <c r="V9" s="5">
        <v>2</v>
      </c>
      <c r="W9" s="5">
        <v>2</v>
      </c>
      <c r="X9" s="5">
        <v>2</v>
      </c>
      <c r="Y9" s="5">
        <v>2</v>
      </c>
      <c r="AL9" t="s">
        <v>112</v>
      </c>
      <c r="AM9" t="s">
        <v>113</v>
      </c>
      <c r="AN9" t="s">
        <v>76</v>
      </c>
      <c r="AO9" s="5">
        <v>855.3</v>
      </c>
      <c r="AP9" s="5">
        <v>14.309939635377081</v>
      </c>
      <c r="AQ9" s="5">
        <v>38.322722169527033</v>
      </c>
      <c r="AR9" s="5">
        <v>798</v>
      </c>
      <c r="AS9" s="5">
        <v>954</v>
      </c>
    </row>
    <row r="10" spans="1:52" x14ac:dyDescent="0.2">
      <c r="B10" t="s">
        <v>82</v>
      </c>
      <c r="C10" t="s">
        <v>72</v>
      </c>
      <c r="D10" t="s">
        <v>73</v>
      </c>
      <c r="E10" s="5">
        <v>1.3983369990297625</v>
      </c>
      <c r="F10" s="5">
        <v>1</v>
      </c>
      <c r="G10" s="5">
        <v>0.14224351254961343</v>
      </c>
      <c r="H10" s="5">
        <v>0.38093512277159397</v>
      </c>
      <c r="I10" s="5">
        <v>0.62370245189172402</v>
      </c>
      <c r="J10" s="5">
        <v>2.2729191308574102</v>
      </c>
      <c r="K10" s="5">
        <v>0</v>
      </c>
      <c r="L10" s="5">
        <v>30.239944815467201</v>
      </c>
      <c r="M10" s="5">
        <v>285.66666666666669</v>
      </c>
      <c r="P10" t="s">
        <v>74</v>
      </c>
      <c r="Q10" t="s">
        <v>100</v>
      </c>
      <c r="R10" t="s">
        <v>76</v>
      </c>
      <c r="S10" s="5">
        <v>15.52057581416776</v>
      </c>
      <c r="T10" s="5">
        <v>0.25870181881670146</v>
      </c>
      <c r="U10" s="5">
        <v>0.69281619488833879</v>
      </c>
      <c r="V10" s="5">
        <v>14.4112589759764</v>
      </c>
      <c r="W10" s="5">
        <v>16.972707717517899</v>
      </c>
      <c r="X10" s="5">
        <v>0</v>
      </c>
      <c r="Y10" s="5">
        <v>40</v>
      </c>
      <c r="AL10" t="s">
        <v>114</v>
      </c>
      <c r="AM10" t="s">
        <v>105</v>
      </c>
      <c r="AN10" t="s">
        <v>95</v>
      </c>
      <c r="AO10" s="5">
        <v>344.6</v>
      </c>
      <c r="AP10" s="5">
        <v>8.1742159325851755</v>
      </c>
      <c r="AQ10" s="5">
        <v>21.890952311479008</v>
      </c>
      <c r="AR10" s="5">
        <v>311</v>
      </c>
      <c r="AS10" s="5">
        <v>396</v>
      </c>
    </row>
    <row r="11" spans="1:52" x14ac:dyDescent="0.2">
      <c r="B11" t="s">
        <v>86</v>
      </c>
      <c r="C11" t="s">
        <v>72</v>
      </c>
      <c r="D11" t="s">
        <v>73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344.6</v>
      </c>
      <c r="P11" t="s">
        <v>82</v>
      </c>
      <c r="Q11" t="s">
        <v>98</v>
      </c>
      <c r="R11" t="s">
        <v>73</v>
      </c>
      <c r="S11" s="5">
        <v>0.17621904323041618</v>
      </c>
      <c r="T11" s="5">
        <v>2.0058204231149332E-2</v>
      </c>
      <c r="U11" s="5">
        <v>5.3716857482027515E-2</v>
      </c>
      <c r="V11" s="5">
        <v>7.4406608295854798E-2</v>
      </c>
      <c r="W11" s="5">
        <v>0.29874320707386398</v>
      </c>
      <c r="X11" s="5">
        <v>0</v>
      </c>
      <c r="Y11" s="5">
        <v>6</v>
      </c>
      <c r="AL11" t="s">
        <v>115</v>
      </c>
      <c r="AM11" t="s">
        <v>107</v>
      </c>
      <c r="AN11" t="s">
        <v>95</v>
      </c>
      <c r="AO11" s="5">
        <v>1.889307012236451E-3</v>
      </c>
      <c r="AP11" s="5">
        <v>4.4865881583116673E-5</v>
      </c>
      <c r="AQ11" s="5">
        <v>1.2015303758165521E-4</v>
      </c>
      <c r="AR11" s="5">
        <v>1.70504385964912E-3</v>
      </c>
      <c r="AS11" s="5">
        <v>2.17031677925951E-3</v>
      </c>
    </row>
    <row r="12" spans="1:52" x14ac:dyDescent="0.2">
      <c r="B12" t="s">
        <v>87</v>
      </c>
      <c r="C12" t="s">
        <v>72</v>
      </c>
      <c r="D12" t="s">
        <v>73</v>
      </c>
      <c r="E12" s="5">
        <v>0</v>
      </c>
      <c r="F12" s="5">
        <v>1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297.83333333333331</v>
      </c>
      <c r="P12" t="s">
        <v>101</v>
      </c>
      <c r="Q12" t="s">
        <v>94</v>
      </c>
      <c r="R12" t="s">
        <v>95</v>
      </c>
      <c r="S12" s="5">
        <v>1.8893070122364514E-3</v>
      </c>
      <c r="T12" s="5">
        <v>4.4865881583116605E-5</v>
      </c>
      <c r="U12" s="5">
        <v>1.2015303758165503E-4</v>
      </c>
      <c r="V12" s="5">
        <v>1.70504385964912E-3</v>
      </c>
      <c r="W12" s="5">
        <v>2.17031677925951E-3</v>
      </c>
      <c r="X12" s="5">
        <v>0</v>
      </c>
      <c r="Y12" s="5">
        <v>0.05</v>
      </c>
      <c r="AL12" t="s">
        <v>116</v>
      </c>
      <c r="AM12" t="s">
        <v>105</v>
      </c>
      <c r="AN12" t="s">
        <v>95</v>
      </c>
      <c r="AO12" s="5">
        <v>225.93333333333334</v>
      </c>
      <c r="AP12" s="5">
        <v>4.6317034587851111</v>
      </c>
      <c r="AQ12" s="5">
        <v>12.403929670244338</v>
      </c>
      <c r="AR12" s="5">
        <v>205</v>
      </c>
      <c r="AS12" s="5">
        <v>253</v>
      </c>
    </row>
    <row r="13" spans="1:52" x14ac:dyDescent="0.2">
      <c r="B13" t="s">
        <v>83</v>
      </c>
      <c r="C13" t="s">
        <v>84</v>
      </c>
      <c r="D13" t="s">
        <v>85</v>
      </c>
      <c r="E13" s="5">
        <v>0</v>
      </c>
      <c r="F13" s="5">
        <v>1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297.83333333333331</v>
      </c>
      <c r="Q13" t="s">
        <v>96</v>
      </c>
      <c r="R13" t="s">
        <v>95</v>
      </c>
      <c r="S13" s="5">
        <v>0.15114456097891607</v>
      </c>
      <c r="T13" s="5">
        <v>3.5892705266493139E-3</v>
      </c>
      <c r="U13" s="5">
        <v>9.6122430065323644E-3</v>
      </c>
      <c r="V13" s="5">
        <v>0.13640350877193</v>
      </c>
      <c r="W13" s="5">
        <v>0.17362534234076099</v>
      </c>
      <c r="X13" s="5">
        <v>0</v>
      </c>
      <c r="Y13" s="5">
        <v>4</v>
      </c>
      <c r="AL13" t="s">
        <v>117</v>
      </c>
      <c r="AM13" t="s">
        <v>107</v>
      </c>
      <c r="AN13" t="s">
        <v>95</v>
      </c>
      <c r="AO13" s="5">
        <v>4.9565971649701106E-3</v>
      </c>
      <c r="AP13" s="5">
        <v>1.0144486472958469E-4</v>
      </c>
      <c r="AQ13" s="5">
        <v>2.7167433725199517E-4</v>
      </c>
      <c r="AR13" s="5">
        <v>4.4956140350877203E-3</v>
      </c>
      <c r="AS13" s="5">
        <v>5.5482456140350904E-3</v>
      </c>
    </row>
    <row r="14" spans="1:52" x14ac:dyDescent="0.2">
      <c r="B14" t="s">
        <v>88</v>
      </c>
      <c r="C14" t="s">
        <v>72</v>
      </c>
      <c r="D14" t="s">
        <v>73</v>
      </c>
      <c r="E14" s="5">
        <v>6.0049421733661612</v>
      </c>
      <c r="F14" s="5">
        <v>1</v>
      </c>
      <c r="G14" s="5">
        <v>0.11124734756192418</v>
      </c>
      <c r="H14" s="5">
        <v>0.29792586840636864</v>
      </c>
      <c r="I14" s="5">
        <v>5.3825028312479199</v>
      </c>
      <c r="J14" s="5">
        <v>6.5292240865565203</v>
      </c>
      <c r="K14" s="5">
        <v>0</v>
      </c>
      <c r="L14" s="5">
        <v>63.0529476552218</v>
      </c>
      <c r="M14" s="5">
        <v>570.66666666666663</v>
      </c>
      <c r="Q14" t="s">
        <v>97</v>
      </c>
      <c r="R14" t="s">
        <v>95</v>
      </c>
      <c r="S14" s="5">
        <v>80</v>
      </c>
      <c r="T14" s="5">
        <v>0</v>
      </c>
      <c r="U14" s="5">
        <v>0</v>
      </c>
      <c r="V14" s="5">
        <v>80</v>
      </c>
      <c r="W14" s="5">
        <v>80</v>
      </c>
      <c r="X14" s="5">
        <v>80</v>
      </c>
      <c r="Y14" s="5">
        <v>80</v>
      </c>
      <c r="AL14" t="s">
        <v>120</v>
      </c>
      <c r="AM14" t="s">
        <v>105</v>
      </c>
      <c r="AN14" t="s">
        <v>95</v>
      </c>
      <c r="AO14" s="5">
        <v>142.66666666666666</v>
      </c>
      <c r="AP14" s="5">
        <v>2.408663380828072</v>
      </c>
      <c r="AQ14" s="5">
        <v>6.4505190025531167</v>
      </c>
      <c r="AR14" s="5">
        <v>132</v>
      </c>
      <c r="AS14" s="5">
        <v>160</v>
      </c>
    </row>
    <row r="15" spans="1:52" x14ac:dyDescent="0.2">
      <c r="B15" t="s">
        <v>90</v>
      </c>
      <c r="C15" t="s">
        <v>72</v>
      </c>
      <c r="D15" t="s">
        <v>73</v>
      </c>
      <c r="E15" s="5">
        <v>0</v>
      </c>
      <c r="F15" s="5">
        <v>1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225.93333333333334</v>
      </c>
      <c r="P15" t="s">
        <v>86</v>
      </c>
      <c r="Q15" t="s">
        <v>98</v>
      </c>
      <c r="R15" t="s">
        <v>73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L15" t="s">
        <v>121</v>
      </c>
      <c r="AM15" t="s">
        <v>107</v>
      </c>
      <c r="AN15" t="s">
        <v>95</v>
      </c>
      <c r="AO15" s="5">
        <v>8.3509459606410805E-2</v>
      </c>
      <c r="AP15" s="5">
        <v>1.3238327186697674E-3</v>
      </c>
      <c r="AQ15" s="5">
        <v>3.5452891325333867E-3</v>
      </c>
      <c r="AR15" s="5">
        <v>7.7176470357847096E-2</v>
      </c>
      <c r="AS15" s="5">
        <v>9.2534326714405798E-2</v>
      </c>
    </row>
    <row r="16" spans="1:52" x14ac:dyDescent="0.2">
      <c r="B16" t="s">
        <v>91</v>
      </c>
      <c r="C16" t="s">
        <v>72</v>
      </c>
      <c r="D16" t="s">
        <v>73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204.83333333333334</v>
      </c>
      <c r="P16" t="s">
        <v>87</v>
      </c>
      <c r="Q16" t="s">
        <v>98</v>
      </c>
      <c r="R16" t="s">
        <v>73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</row>
    <row r="17" spans="2:25" x14ac:dyDescent="0.2">
      <c r="B17" t="s">
        <v>89</v>
      </c>
      <c r="C17" t="s">
        <v>84</v>
      </c>
      <c r="D17" t="s">
        <v>85</v>
      </c>
      <c r="E17" s="5">
        <v>0</v>
      </c>
      <c r="F17" s="5">
        <v>1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204.83333333333334</v>
      </c>
      <c r="P17" t="s">
        <v>88</v>
      </c>
      <c r="Q17" t="s">
        <v>98</v>
      </c>
      <c r="R17" t="s">
        <v>73</v>
      </c>
      <c r="S17" s="5">
        <v>1.4993952408135176</v>
      </c>
      <c r="T17" s="5">
        <v>1.602866983772662E-2</v>
      </c>
      <c r="U17" s="5">
        <v>4.292556618615595E-2</v>
      </c>
      <c r="V17" s="5">
        <v>1.4062336911317099</v>
      </c>
      <c r="W17" s="5">
        <v>1.5889769030929</v>
      </c>
      <c r="X17" s="5">
        <v>0</v>
      </c>
      <c r="Y17" s="5">
        <v>4</v>
      </c>
    </row>
    <row r="18" spans="2:25" x14ac:dyDescent="0.2">
      <c r="B18" t="s">
        <v>92</v>
      </c>
      <c r="C18" t="s">
        <v>72</v>
      </c>
      <c r="D18" t="s">
        <v>73</v>
      </c>
      <c r="E18" s="5">
        <v>0</v>
      </c>
      <c r="F18" s="5">
        <v>1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142.66666666666666</v>
      </c>
      <c r="P18" t="s">
        <v>102</v>
      </c>
      <c r="Q18" t="s">
        <v>94</v>
      </c>
      <c r="R18" t="s">
        <v>95</v>
      </c>
      <c r="S18" s="5">
        <v>4.9565971649701088E-3</v>
      </c>
      <c r="T18" s="5">
        <v>1.0144486472958472E-4</v>
      </c>
      <c r="U18" s="5">
        <v>2.7167433725199523E-4</v>
      </c>
      <c r="V18" s="5">
        <v>4.4956140350877203E-3</v>
      </c>
      <c r="W18" s="5">
        <v>5.5482456140350904E-3</v>
      </c>
      <c r="X18" s="5">
        <v>0</v>
      </c>
      <c r="Y18" s="5">
        <v>0.15</v>
      </c>
    </row>
    <row r="19" spans="2:25" x14ac:dyDescent="0.2">
      <c r="Q19" t="s">
        <v>96</v>
      </c>
      <c r="R19" t="s">
        <v>95</v>
      </c>
      <c r="S19" s="5">
        <v>9.9131943299402212E-2</v>
      </c>
      <c r="T19" s="5">
        <v>2.0288972945916956E-3</v>
      </c>
      <c r="U19" s="5">
        <v>5.4334867450399086E-3</v>
      </c>
      <c r="V19" s="5">
        <v>8.9912280701754305E-2</v>
      </c>
      <c r="W19" s="5">
        <v>0.110964912280702</v>
      </c>
      <c r="X19" s="5">
        <v>0</v>
      </c>
      <c r="Y19" s="5">
        <v>3</v>
      </c>
    </row>
    <row r="20" spans="2:25" x14ac:dyDescent="0.2">
      <c r="Q20" t="s">
        <v>97</v>
      </c>
      <c r="R20" t="s">
        <v>95</v>
      </c>
      <c r="S20" s="5">
        <v>20</v>
      </c>
      <c r="T20" s="5">
        <v>0</v>
      </c>
      <c r="U20" s="5">
        <v>0</v>
      </c>
      <c r="V20" s="5">
        <v>20</v>
      </c>
      <c r="W20" s="5">
        <v>20</v>
      </c>
      <c r="X20" s="5">
        <v>20</v>
      </c>
      <c r="Y20" s="5">
        <v>20</v>
      </c>
    </row>
    <row r="21" spans="2:25" x14ac:dyDescent="0.2">
      <c r="P21" t="s">
        <v>90</v>
      </c>
      <c r="Q21" t="s">
        <v>98</v>
      </c>
      <c r="R21" t="s">
        <v>73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</row>
    <row r="22" spans="2:25" x14ac:dyDescent="0.2">
      <c r="P22" t="s">
        <v>91</v>
      </c>
      <c r="Q22" t="s">
        <v>98</v>
      </c>
      <c r="R22" t="s">
        <v>73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</row>
    <row r="23" spans="2:25" x14ac:dyDescent="0.2">
      <c r="P23" t="s">
        <v>92</v>
      </c>
      <c r="Q23" t="s">
        <v>98</v>
      </c>
      <c r="R23" t="s">
        <v>73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</row>
    <row r="24" spans="2:25" x14ac:dyDescent="0.2">
      <c r="P24" t="s">
        <v>103</v>
      </c>
      <c r="Q24" t="s">
        <v>94</v>
      </c>
      <c r="R24" t="s">
        <v>95</v>
      </c>
      <c r="S24" s="5">
        <v>8.3509459606410805E-2</v>
      </c>
      <c r="T24" s="5">
        <v>1.3238327186697659E-3</v>
      </c>
      <c r="U24" s="5">
        <v>3.5452891325333828E-3</v>
      </c>
      <c r="V24" s="5">
        <v>7.7176470357846902E-2</v>
      </c>
      <c r="W24" s="5">
        <v>9.2534326714405896E-2</v>
      </c>
      <c r="X24" s="5">
        <v>0</v>
      </c>
      <c r="Y24" s="5">
        <v>0.66666666666666696</v>
      </c>
    </row>
    <row r="25" spans="2:25" x14ac:dyDescent="0.2">
      <c r="Q25" t="s">
        <v>96</v>
      </c>
      <c r="R25" t="s">
        <v>95</v>
      </c>
      <c r="S25" s="5">
        <v>0.2505283788192324</v>
      </c>
      <c r="T25" s="5">
        <v>3.9714981560092996E-3</v>
      </c>
      <c r="U25" s="5">
        <v>1.0635867397600153E-2</v>
      </c>
      <c r="V25" s="5">
        <v>0.231529411073541</v>
      </c>
      <c r="W25" s="5">
        <v>0.27760298014321699</v>
      </c>
      <c r="X25" s="5">
        <v>0</v>
      </c>
      <c r="Y25" s="5">
        <v>2</v>
      </c>
    </row>
    <row r="26" spans="2:25" x14ac:dyDescent="0.2">
      <c r="Q26" t="s">
        <v>97</v>
      </c>
      <c r="R26" t="s">
        <v>95</v>
      </c>
      <c r="S26" s="5">
        <v>3</v>
      </c>
      <c r="T26" s="5">
        <v>0</v>
      </c>
      <c r="U26" s="5">
        <v>0</v>
      </c>
      <c r="V26" s="5">
        <v>3</v>
      </c>
      <c r="W26" s="5">
        <v>3</v>
      </c>
      <c r="X26" s="5">
        <v>3</v>
      </c>
      <c r="Y26" s="5">
        <v>3</v>
      </c>
    </row>
  </sheetData>
  <dataConsolidate/>
  <conditionalFormatting pivot="1" sqref="G3:G18">
    <cfRule type="expression" dxfId="66" priority="14">
      <formula>G3=200000000000000000000</formula>
    </cfRule>
  </conditionalFormatting>
  <conditionalFormatting pivot="1" sqref="T3:T26">
    <cfRule type="expression" dxfId="65" priority="13">
      <formula>T3=200000000000000000000</formula>
    </cfRule>
  </conditionalFormatting>
  <conditionalFormatting pivot="1" sqref="T3:T26">
    <cfRule type="expression" dxfId="64" priority="12">
      <formula>T3=300000000000000000000</formula>
    </cfRule>
  </conditionalFormatting>
  <conditionalFormatting pivot="1" sqref="G3:G18">
    <cfRule type="expression" dxfId="63" priority="11">
      <formula>G3=300000000000000000000</formula>
    </cfRule>
  </conditionalFormatting>
  <conditionalFormatting pivot="1" sqref="F3:F18">
    <cfRule type="expression" dxfId="62" priority="10">
      <formula>F3=0</formula>
    </cfRule>
  </conditionalFormatting>
  <conditionalFormatting pivot="1" sqref="F3:F18">
    <cfRule type="expression" dxfId="61" priority="9">
      <formula>F3=1</formula>
    </cfRule>
  </conditionalFormatting>
  <conditionalFormatting pivot="1" sqref="T3:T26">
    <cfRule type="expression" dxfId="60" priority="8">
      <formula>T3=400000000000000000000</formula>
    </cfRule>
  </conditionalFormatting>
  <conditionalFormatting pivot="1" sqref="AP3:AP15">
    <cfRule type="expression" dxfId="59" priority="7">
      <formula>AP3=400000000000000000000</formula>
    </cfRule>
  </conditionalFormatting>
  <conditionalFormatting pivot="1" sqref="AF3">
    <cfRule type="expression" dxfId="58" priority="6">
      <formula>AF3=400000000000000000000</formula>
    </cfRule>
  </conditionalFormatting>
  <conditionalFormatting pivot="1" sqref="G3:G18">
    <cfRule type="expression" dxfId="57" priority="5">
      <formula>G3=400000000000000000000</formula>
    </cfRule>
  </conditionalFormatting>
  <conditionalFormatting pivot="1" sqref="AZ3">
    <cfRule type="expression" dxfId="56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481"/>
  <sheetViews>
    <sheetView workbookViewId="0">
      <selection activeCell="A2" sqref="A2:K61"/>
    </sheetView>
  </sheetViews>
  <sheetFormatPr baseColWidth="10" defaultColWidth="8.83203125" defaultRowHeight="15" x14ac:dyDescent="0.2"/>
  <cols>
    <col min="1" max="1" width="15.1640625" bestFit="1" customWidth="1"/>
    <col min="2" max="2" width="21.1640625" bestFit="1" customWidth="1"/>
    <col min="3" max="3" width="12.5" bestFit="1" customWidth="1"/>
    <col min="4" max="4" width="26.83203125" bestFit="1" customWidth="1"/>
    <col min="5" max="5" width="12.1640625" bestFit="1" customWidth="1"/>
    <col min="6" max="6" width="12.5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57.83203125" bestFit="1" customWidth="1"/>
    <col min="13" max="13" width="16.1640625" bestFit="1" customWidth="1"/>
    <col min="14" max="14" width="19.1640625" customWidth="1"/>
    <col min="15" max="15" width="17.1640625" bestFit="1" customWidth="1"/>
    <col min="16" max="16" width="19.5" bestFit="1" customWidth="1"/>
    <col min="17" max="17" width="12" bestFit="1" customWidth="1"/>
    <col min="18" max="18" width="18.5" bestFit="1" customWidth="1"/>
    <col min="19" max="19" width="18.83203125" bestFit="1" customWidth="1"/>
    <col min="20" max="20" width="17.5" customWidth="1"/>
    <col min="21" max="21" width="17.83203125" bestFit="1" customWidth="1"/>
    <col min="22" max="22" width="28.5" bestFit="1" customWidth="1"/>
    <col min="23" max="23" width="20" bestFit="1" customWidth="1"/>
    <col min="24" max="24" width="22.83203125" bestFit="1" customWidth="1"/>
    <col min="25" max="25" width="21.33203125" bestFit="1" customWidth="1"/>
  </cols>
  <sheetData>
    <row r="1" spans="1:25" x14ac:dyDescent="0.2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2">
      <c r="A2" t="s">
        <v>67</v>
      </c>
      <c r="B2" t="s">
        <v>70</v>
      </c>
      <c r="C2">
        <v>1</v>
      </c>
      <c r="D2" t="s">
        <v>71</v>
      </c>
      <c r="E2" t="s">
        <v>72</v>
      </c>
      <c r="F2" t="s">
        <v>73</v>
      </c>
      <c r="G2">
        <v>0.21714421018410399</v>
      </c>
      <c r="H2">
        <v>2E+20</v>
      </c>
      <c r="I2">
        <v>0</v>
      </c>
      <c r="J2">
        <v>2.65811275396663</v>
      </c>
      <c r="K2">
        <v>285</v>
      </c>
      <c r="L2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0.22556590301909313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2" cm="1">
        <f t="array" ref="R2">MIN(IF((DiscreteStatsTable[GroupByKey]=DiscreteStatsTable[[#This Row],[GroupByKey]]),(DiscreteStatsTable[GroupByKey]=DiscreteStatsTable[[#This Row],[GroupByKey]])*DiscreteStatsTable[Average]))</f>
        <v>0.166055927963801</v>
      </c>
      <c r="S2" cm="1">
        <f t="array" ref="S2">MAX(IF((DiscreteStatsTable[GroupByKey]=DiscreteStatsTable[[#This Row],[GroupByKey]]),(DiscreteStatsTable[GroupByKey]=DiscreteStatsTable[[#This Row],[GroupByKey]])*DiscreteStatsTable[Average]))</f>
        <v>0.30302623594621902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4.9820001768348403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2">
        <f>IF((DiscreteStatsTable[[#This Row],[RepsRequested]]&gt;1),DiscreteStatsTable[[#This Row],[HalfWidth]],DiscreteStatsTable[[#This Row],[BatchMeansHalfWidth]])</f>
        <v>1.1698390165490775E-2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2">
      <c r="A3" t="s">
        <v>67</v>
      </c>
      <c r="B3" t="s">
        <v>70</v>
      </c>
      <c r="C3">
        <v>2</v>
      </c>
      <c r="D3" t="s">
        <v>71</v>
      </c>
      <c r="E3" t="s">
        <v>72</v>
      </c>
      <c r="F3" t="s">
        <v>73</v>
      </c>
      <c r="G3">
        <v>0.24934943205935001</v>
      </c>
      <c r="H3">
        <v>2E+20</v>
      </c>
      <c r="I3">
        <v>0</v>
      </c>
      <c r="J3">
        <v>3.1196891314867798</v>
      </c>
      <c r="K3">
        <v>292</v>
      </c>
      <c r="L3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0.22556590301909313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3" cm="1">
        <f t="array" ref="R3">MIN(IF((DiscreteStatsTable[GroupByKey]=DiscreteStatsTable[[#This Row],[GroupByKey]]),(DiscreteStatsTable[GroupByKey]=DiscreteStatsTable[[#This Row],[GroupByKey]])*DiscreteStatsTable[Average]))</f>
        <v>0.166055927963801</v>
      </c>
      <c r="S3" cm="1">
        <f t="array" ref="S3">MAX(IF((DiscreteStatsTable[GroupByKey]=DiscreteStatsTable[[#This Row],[GroupByKey]]),(DiscreteStatsTable[GroupByKey]=DiscreteStatsTable[[#This Row],[GroupByKey]])*DiscreteStatsTable[Average]))</f>
        <v>0.30302623594621902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4.9820001768348403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3">
        <f>IF((DiscreteStatsTable[[#This Row],[RepsRequested]]&gt;1),DiscreteStatsTable[[#This Row],[HalfWidth]],DiscreteStatsTable[[#This Row],[BatchMeansHalfWidth]])</f>
        <v>1.1698390165490775E-2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2">
      <c r="A4" t="s">
        <v>67</v>
      </c>
      <c r="B4" t="s">
        <v>70</v>
      </c>
      <c r="C4">
        <v>3</v>
      </c>
      <c r="D4" t="s">
        <v>71</v>
      </c>
      <c r="E4" t="s">
        <v>72</v>
      </c>
      <c r="F4" t="s">
        <v>73</v>
      </c>
      <c r="G4">
        <v>0.23311997967540601</v>
      </c>
      <c r="H4">
        <v>2E+20</v>
      </c>
      <c r="I4">
        <v>0</v>
      </c>
      <c r="J4">
        <v>3.0375959949546698</v>
      </c>
      <c r="K4">
        <v>280</v>
      </c>
      <c r="L4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0.22556590301909313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4" cm="1">
        <f t="array" ref="R4">MIN(IF((DiscreteStatsTable[GroupByKey]=DiscreteStatsTable[[#This Row],[GroupByKey]]),(DiscreteStatsTable[GroupByKey]=DiscreteStatsTable[[#This Row],[GroupByKey]])*DiscreteStatsTable[Average]))</f>
        <v>0.166055927963801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0.30302623594621902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4.9820001768348403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4">
        <f>IF((DiscreteStatsTable[[#This Row],[RepsRequested]]&gt;1),DiscreteStatsTable[[#This Row],[HalfWidth]],DiscreteStatsTable[[#This Row],[BatchMeansHalfWidth]])</f>
        <v>1.1698390165490775E-2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2">
      <c r="A5" t="s">
        <v>67</v>
      </c>
      <c r="B5" t="s">
        <v>70</v>
      </c>
      <c r="C5">
        <v>4</v>
      </c>
      <c r="D5" t="s">
        <v>71</v>
      </c>
      <c r="E5" t="s">
        <v>72</v>
      </c>
      <c r="F5" t="s">
        <v>73</v>
      </c>
      <c r="G5">
        <v>0.265754120327441</v>
      </c>
      <c r="H5">
        <v>2E+20</v>
      </c>
      <c r="I5">
        <v>0</v>
      </c>
      <c r="J5">
        <v>3.9207205144007302</v>
      </c>
      <c r="K5">
        <v>310</v>
      </c>
      <c r="L5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0.22556590301909313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5" cm="1">
        <f t="array" ref="R5">MIN(IF((DiscreteStatsTable[GroupByKey]=DiscreteStatsTable[[#This Row],[GroupByKey]]),(DiscreteStatsTable[GroupByKey]=DiscreteStatsTable[[#This Row],[GroupByKey]])*DiscreteStatsTable[Average]))</f>
        <v>0.166055927963801</v>
      </c>
      <c r="S5" cm="1">
        <f t="array" ref="S5">MAX(IF((DiscreteStatsTable[GroupByKey]=DiscreteStatsTable[[#This Row],[GroupByKey]]),(DiscreteStatsTable[GroupByKey]=DiscreteStatsTable[[#This Row],[GroupByKey]])*DiscreteStatsTable[Average]))</f>
        <v>0.30302623594621902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4.9820001768348403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5">
        <f>IF((DiscreteStatsTable[[#This Row],[RepsRequested]]&gt;1),DiscreteStatsTable[[#This Row],[HalfWidth]],DiscreteStatsTable[[#This Row],[BatchMeansHalfWidth]])</f>
        <v>1.1698390165490775E-2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2">
      <c r="A6" t="s">
        <v>67</v>
      </c>
      <c r="B6" t="s">
        <v>70</v>
      </c>
      <c r="C6">
        <v>5</v>
      </c>
      <c r="D6" t="s">
        <v>71</v>
      </c>
      <c r="E6" t="s">
        <v>72</v>
      </c>
      <c r="F6" t="s">
        <v>73</v>
      </c>
      <c r="G6">
        <v>0.24841491844958299</v>
      </c>
      <c r="H6">
        <v>2E+20</v>
      </c>
      <c r="I6">
        <v>0</v>
      </c>
      <c r="J6">
        <v>3.35919662646165</v>
      </c>
      <c r="K6">
        <v>285</v>
      </c>
      <c r="L6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0.22556590301909313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6" cm="1">
        <f t="array" ref="R6">MIN(IF((DiscreteStatsTable[GroupByKey]=DiscreteStatsTable[[#This Row],[GroupByKey]]),(DiscreteStatsTable[GroupByKey]=DiscreteStatsTable[[#This Row],[GroupByKey]])*DiscreteStatsTable[Average]))</f>
        <v>0.166055927963801</v>
      </c>
      <c r="S6" cm="1">
        <f t="array" ref="S6">MAX(IF((DiscreteStatsTable[GroupByKey]=DiscreteStatsTable[[#This Row],[GroupByKey]]),(DiscreteStatsTable[GroupByKey]=DiscreteStatsTable[[#This Row],[GroupByKey]])*DiscreteStatsTable[Average]))</f>
        <v>0.30302623594621902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4.9820001768348403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6">
        <f>IF((DiscreteStatsTable[[#This Row],[RepsRequested]]&gt;1),DiscreteStatsTable[[#This Row],[HalfWidth]],DiscreteStatsTable[[#This Row],[BatchMeansHalfWidth]])</f>
        <v>1.1698390165490775E-2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2">
      <c r="A7" t="s">
        <v>67</v>
      </c>
      <c r="B7" t="s">
        <v>70</v>
      </c>
      <c r="C7">
        <v>6</v>
      </c>
      <c r="D7" t="s">
        <v>71</v>
      </c>
      <c r="E7" t="s">
        <v>72</v>
      </c>
      <c r="F7" t="s">
        <v>73</v>
      </c>
      <c r="G7">
        <v>0.21571903616875501</v>
      </c>
      <c r="H7">
        <v>2E+20</v>
      </c>
      <c r="I7">
        <v>0</v>
      </c>
      <c r="J7">
        <v>1.96223869064193</v>
      </c>
      <c r="K7">
        <v>318</v>
      </c>
      <c r="L7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0.22556590301909313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0.166055927963801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0.30302623594621902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4.9820001768348403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7">
        <f>IF((DiscreteStatsTable[[#This Row],[RepsRequested]]&gt;1),DiscreteStatsTable[[#This Row],[HalfWidth]],DiscreteStatsTable[[#This Row],[BatchMeansHalfWidth]])</f>
        <v>1.1698390165490775E-2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2">
      <c r="A8" t="s">
        <v>67</v>
      </c>
      <c r="B8" t="s">
        <v>70</v>
      </c>
      <c r="C8">
        <v>7</v>
      </c>
      <c r="D8" t="s">
        <v>71</v>
      </c>
      <c r="E8" t="s">
        <v>72</v>
      </c>
      <c r="F8" t="s">
        <v>73</v>
      </c>
      <c r="G8">
        <v>0.196687400741792</v>
      </c>
      <c r="H8">
        <v>2E+20</v>
      </c>
      <c r="I8">
        <v>0</v>
      </c>
      <c r="J8">
        <v>2.8406752285234198</v>
      </c>
      <c r="K8">
        <v>266</v>
      </c>
      <c r="L8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0.22556590301909313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8" cm="1">
        <f t="array" ref="R8">MIN(IF((DiscreteStatsTable[GroupByKey]=DiscreteStatsTable[[#This Row],[GroupByKey]]),(DiscreteStatsTable[GroupByKey]=DiscreteStatsTable[[#This Row],[GroupByKey]])*DiscreteStatsTable[Average]))</f>
        <v>0.166055927963801</v>
      </c>
      <c r="S8" cm="1">
        <f t="array" ref="S8">MAX(IF((DiscreteStatsTable[GroupByKey]=DiscreteStatsTable[[#This Row],[GroupByKey]]),(DiscreteStatsTable[GroupByKey]=DiscreteStatsTable[[#This Row],[GroupByKey]])*DiscreteStatsTable[Average]))</f>
        <v>0.30302623594621902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4.9820001768348403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8">
        <f>IF((DiscreteStatsTable[[#This Row],[RepsRequested]]&gt;1),DiscreteStatsTable[[#This Row],[HalfWidth]],DiscreteStatsTable[[#This Row],[BatchMeansHalfWidth]])</f>
        <v>1.1698390165490775E-2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2">
      <c r="A9" t="s">
        <v>67</v>
      </c>
      <c r="B9" t="s">
        <v>70</v>
      </c>
      <c r="C9">
        <v>8</v>
      </c>
      <c r="D9" t="s">
        <v>71</v>
      </c>
      <c r="E9" t="s">
        <v>72</v>
      </c>
      <c r="F9" t="s">
        <v>73</v>
      </c>
      <c r="G9">
        <v>0.180854824491337</v>
      </c>
      <c r="H9">
        <v>2E+20</v>
      </c>
      <c r="I9">
        <v>0</v>
      </c>
      <c r="J9">
        <v>3.6166386125305499</v>
      </c>
      <c r="K9">
        <v>283</v>
      </c>
      <c r="L9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0.22556590301909313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9" cm="1">
        <f t="array" ref="R9">MIN(IF((DiscreteStatsTable[GroupByKey]=DiscreteStatsTable[[#This Row],[GroupByKey]]),(DiscreteStatsTable[GroupByKey]=DiscreteStatsTable[[#This Row],[GroupByKey]])*DiscreteStatsTable[Average]))</f>
        <v>0.166055927963801</v>
      </c>
      <c r="S9" cm="1">
        <f t="array" ref="S9">MAX(IF((DiscreteStatsTable[GroupByKey]=DiscreteStatsTable[[#This Row],[GroupByKey]]),(DiscreteStatsTable[GroupByKey]=DiscreteStatsTable[[#This Row],[GroupByKey]])*DiscreteStatsTable[Average]))</f>
        <v>0.30302623594621902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4.9820001768348403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9">
        <f>IF((DiscreteStatsTable[[#This Row],[RepsRequested]]&gt;1),DiscreteStatsTable[[#This Row],[HalfWidth]],DiscreteStatsTable[[#This Row],[BatchMeansHalfWidth]])</f>
        <v>1.1698390165490775E-2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2">
      <c r="A10" t="s">
        <v>67</v>
      </c>
      <c r="B10" t="s">
        <v>70</v>
      </c>
      <c r="C10">
        <v>9</v>
      </c>
      <c r="D10" t="s">
        <v>71</v>
      </c>
      <c r="E10" t="s">
        <v>72</v>
      </c>
      <c r="F10" t="s">
        <v>73</v>
      </c>
      <c r="G10">
        <v>0.207062251209787</v>
      </c>
      <c r="H10">
        <v>2E+20</v>
      </c>
      <c r="I10">
        <v>0</v>
      </c>
      <c r="J10">
        <v>1.9624988928010201</v>
      </c>
      <c r="K10">
        <v>289</v>
      </c>
      <c r="L10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0.22556590301909313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0.166055927963801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0.30302623594621902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4.9820001768348403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10">
        <f>IF((DiscreteStatsTable[[#This Row],[RepsRequested]]&gt;1),DiscreteStatsTable[[#This Row],[HalfWidth]],DiscreteStatsTable[[#This Row],[BatchMeansHalfWidth]])</f>
        <v>1.1698390165490775E-2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2">
      <c r="A11" t="s">
        <v>67</v>
      </c>
      <c r="B11" t="s">
        <v>70</v>
      </c>
      <c r="C11">
        <v>10</v>
      </c>
      <c r="D11" t="s">
        <v>71</v>
      </c>
      <c r="E11" t="s">
        <v>72</v>
      </c>
      <c r="F11" t="s">
        <v>73</v>
      </c>
      <c r="G11">
        <v>0.21236183209453</v>
      </c>
      <c r="H11">
        <v>2E+20</v>
      </c>
      <c r="I11">
        <v>0</v>
      </c>
      <c r="J11">
        <v>3.7829721564066898</v>
      </c>
      <c r="K11">
        <v>278</v>
      </c>
      <c r="L11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0.22556590301909313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0.166055927963801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0.30302623594621902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4.9820001768348403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11">
        <f>IF((DiscreteStatsTable[[#This Row],[RepsRequested]]&gt;1),DiscreteStatsTable[[#This Row],[HalfWidth]],DiscreteStatsTable[[#This Row],[BatchMeansHalfWidth]])</f>
        <v>1.1698390165490775E-2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2">
      <c r="A12" t="s">
        <v>67</v>
      </c>
      <c r="B12" t="s">
        <v>70</v>
      </c>
      <c r="C12">
        <v>11</v>
      </c>
      <c r="D12" t="s">
        <v>71</v>
      </c>
      <c r="E12" t="s">
        <v>72</v>
      </c>
      <c r="F12" t="s">
        <v>73</v>
      </c>
      <c r="G12">
        <v>0.212265714444096</v>
      </c>
      <c r="H12">
        <v>2E+20</v>
      </c>
      <c r="I12">
        <v>0</v>
      </c>
      <c r="J12">
        <v>3.39020695862928</v>
      </c>
      <c r="K12">
        <v>296</v>
      </c>
      <c r="L12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0.22556590301909313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0.166055927963801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0.30302623594621902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4.9820001768348403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12">
        <f>IF((DiscreteStatsTable[[#This Row],[RepsRequested]]&gt;1),DiscreteStatsTable[[#This Row],[HalfWidth]],DiscreteStatsTable[[#This Row],[BatchMeansHalfWidth]])</f>
        <v>1.1698390165490775E-2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2">
      <c r="A13" t="s">
        <v>67</v>
      </c>
      <c r="B13" t="s">
        <v>70</v>
      </c>
      <c r="C13">
        <v>12</v>
      </c>
      <c r="D13" t="s">
        <v>71</v>
      </c>
      <c r="E13" t="s">
        <v>72</v>
      </c>
      <c r="F13" t="s">
        <v>73</v>
      </c>
      <c r="G13">
        <v>0.30302623594621902</v>
      </c>
      <c r="H13">
        <v>2E+20</v>
      </c>
      <c r="I13">
        <v>0</v>
      </c>
      <c r="J13">
        <v>3.6701704890244899</v>
      </c>
      <c r="K13">
        <v>299</v>
      </c>
      <c r="L13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0.22556590301909313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0.166055927963801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0.30302623594621902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4.9820001768348403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13">
        <f>IF((DiscreteStatsTable[[#This Row],[RepsRequested]]&gt;1),DiscreteStatsTable[[#This Row],[HalfWidth]],DiscreteStatsTable[[#This Row],[BatchMeansHalfWidth]])</f>
        <v>1.1698390165490775E-2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2">
      <c r="A14" t="s">
        <v>67</v>
      </c>
      <c r="B14" t="s">
        <v>70</v>
      </c>
      <c r="C14">
        <v>13</v>
      </c>
      <c r="D14" t="s">
        <v>71</v>
      </c>
      <c r="E14" t="s">
        <v>72</v>
      </c>
      <c r="F14" t="s">
        <v>73</v>
      </c>
      <c r="G14">
        <v>0.209747159773329</v>
      </c>
      <c r="H14">
        <v>2E+20</v>
      </c>
      <c r="I14">
        <v>0</v>
      </c>
      <c r="J14">
        <v>3.1864641349395701</v>
      </c>
      <c r="K14">
        <v>297</v>
      </c>
      <c r="L14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0.22556590301909313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0.166055927963801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0.30302623594621902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4.9820001768348403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14">
        <f>IF((DiscreteStatsTable[[#This Row],[RepsRequested]]&gt;1),DiscreteStatsTable[[#This Row],[HalfWidth]],DiscreteStatsTable[[#This Row],[BatchMeansHalfWidth]])</f>
        <v>1.1698390165490775E-2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2">
      <c r="A15" t="s">
        <v>67</v>
      </c>
      <c r="B15" t="s">
        <v>70</v>
      </c>
      <c r="C15">
        <v>14</v>
      </c>
      <c r="D15" t="s">
        <v>71</v>
      </c>
      <c r="E15" t="s">
        <v>72</v>
      </c>
      <c r="F15" t="s">
        <v>73</v>
      </c>
      <c r="G15">
        <v>0.20860595135300899</v>
      </c>
      <c r="H15">
        <v>2E+20</v>
      </c>
      <c r="I15">
        <v>0</v>
      </c>
      <c r="J15">
        <v>1.9335519591677399</v>
      </c>
      <c r="K15">
        <v>275</v>
      </c>
      <c r="L15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0.22556590301909313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0.166055927963801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0.30302623594621902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4.9820001768348403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15">
        <f>IF((DiscreteStatsTable[[#This Row],[RepsRequested]]&gt;1),DiscreteStatsTable[[#This Row],[HalfWidth]],DiscreteStatsTable[[#This Row],[BatchMeansHalfWidth]])</f>
        <v>1.1698390165490775E-2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2">
      <c r="A16" t="s">
        <v>67</v>
      </c>
      <c r="B16" t="s">
        <v>70</v>
      </c>
      <c r="C16">
        <v>15</v>
      </c>
      <c r="D16" t="s">
        <v>71</v>
      </c>
      <c r="E16" t="s">
        <v>72</v>
      </c>
      <c r="F16" t="s">
        <v>73</v>
      </c>
      <c r="G16">
        <v>0.20850959135549799</v>
      </c>
      <c r="H16">
        <v>2E+20</v>
      </c>
      <c r="I16">
        <v>0</v>
      </c>
      <c r="J16">
        <v>3.6715962753545499</v>
      </c>
      <c r="K16">
        <v>277</v>
      </c>
      <c r="L16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0.22556590301909313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0.166055927963801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0.30302623594621902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4.9820001768348403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16">
        <f>IF((DiscreteStatsTable[[#This Row],[RepsRequested]]&gt;1),DiscreteStatsTable[[#This Row],[HalfWidth]],DiscreteStatsTable[[#This Row],[BatchMeansHalfWidth]])</f>
        <v>1.1698390165490775E-2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2">
      <c r="A17" t="s">
        <v>67</v>
      </c>
      <c r="B17" t="s">
        <v>70</v>
      </c>
      <c r="C17">
        <v>16</v>
      </c>
      <c r="D17" t="s">
        <v>71</v>
      </c>
      <c r="E17" t="s">
        <v>72</v>
      </c>
      <c r="F17" t="s">
        <v>73</v>
      </c>
      <c r="G17">
        <v>0.19982707262032001</v>
      </c>
      <c r="H17">
        <v>2E+20</v>
      </c>
      <c r="I17">
        <v>0</v>
      </c>
      <c r="J17">
        <v>2.7819356713481498</v>
      </c>
      <c r="K17">
        <v>279</v>
      </c>
      <c r="L17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0.22556590301909313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0.166055927963801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0.30302623594621902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4.9820001768348403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17">
        <f>IF((DiscreteStatsTable[[#This Row],[RepsRequested]]&gt;1),DiscreteStatsTable[[#This Row],[HalfWidth]],DiscreteStatsTable[[#This Row],[BatchMeansHalfWidth]])</f>
        <v>1.1698390165490775E-2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2">
      <c r="A18" t="s">
        <v>67</v>
      </c>
      <c r="B18" t="s">
        <v>70</v>
      </c>
      <c r="C18">
        <v>17</v>
      </c>
      <c r="D18" t="s">
        <v>71</v>
      </c>
      <c r="E18" t="s">
        <v>72</v>
      </c>
      <c r="F18" t="s">
        <v>73</v>
      </c>
      <c r="G18">
        <v>0.26646163121581701</v>
      </c>
      <c r="H18">
        <v>2E+20</v>
      </c>
      <c r="I18">
        <v>0</v>
      </c>
      <c r="J18">
        <v>3.4736079970895699</v>
      </c>
      <c r="K18">
        <v>280</v>
      </c>
      <c r="L18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0.22556590301909313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0.166055927963801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0.30302623594621902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4.9820001768348403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18">
        <f>IF((DiscreteStatsTable[[#This Row],[RepsRequested]]&gt;1),DiscreteStatsTable[[#This Row],[HalfWidth]],DiscreteStatsTable[[#This Row],[BatchMeansHalfWidth]])</f>
        <v>1.1698390165490775E-2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2">
      <c r="A19" t="s">
        <v>67</v>
      </c>
      <c r="B19" t="s">
        <v>70</v>
      </c>
      <c r="C19">
        <v>18</v>
      </c>
      <c r="D19" t="s">
        <v>71</v>
      </c>
      <c r="E19" t="s">
        <v>72</v>
      </c>
      <c r="F19" t="s">
        <v>73</v>
      </c>
      <c r="G19">
        <v>0.28428161614018499</v>
      </c>
      <c r="H19">
        <v>2E+20</v>
      </c>
      <c r="I19">
        <v>0</v>
      </c>
      <c r="J19">
        <v>3.21280509869894</v>
      </c>
      <c r="K19">
        <v>286</v>
      </c>
      <c r="L19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0.22556590301909313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0.166055927963801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0.30302623594621902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4.9820001768348403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19">
        <f>IF((DiscreteStatsTable[[#This Row],[RepsRequested]]&gt;1),DiscreteStatsTable[[#This Row],[HalfWidth]],DiscreteStatsTable[[#This Row],[BatchMeansHalfWidth]])</f>
        <v>1.1698390165490775E-2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2">
      <c r="A20" t="s">
        <v>67</v>
      </c>
      <c r="B20" t="s">
        <v>70</v>
      </c>
      <c r="C20">
        <v>19</v>
      </c>
      <c r="D20" t="s">
        <v>71</v>
      </c>
      <c r="E20" t="s">
        <v>72</v>
      </c>
      <c r="F20" t="s">
        <v>73</v>
      </c>
      <c r="G20">
        <v>0.21628789883615701</v>
      </c>
      <c r="H20">
        <v>2E+20</v>
      </c>
      <c r="I20">
        <v>0</v>
      </c>
      <c r="J20">
        <v>2.92130116129078</v>
      </c>
      <c r="K20">
        <v>290</v>
      </c>
      <c r="L20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0.22556590301909313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0.166055927963801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0.30302623594621902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4.9820001768348403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20">
        <f>IF((DiscreteStatsTable[[#This Row],[RepsRequested]]&gt;1),DiscreteStatsTable[[#This Row],[HalfWidth]],DiscreteStatsTable[[#This Row],[BatchMeansHalfWidth]])</f>
        <v>1.1698390165490775E-2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2">
      <c r="A21" t="s">
        <v>67</v>
      </c>
      <c r="B21" t="s">
        <v>70</v>
      </c>
      <c r="C21">
        <v>20</v>
      </c>
      <c r="D21" t="s">
        <v>71</v>
      </c>
      <c r="E21" t="s">
        <v>72</v>
      </c>
      <c r="F21" t="s">
        <v>73</v>
      </c>
      <c r="G21">
        <v>0.238391459533389</v>
      </c>
      <c r="H21">
        <v>2E+20</v>
      </c>
      <c r="I21">
        <v>0</v>
      </c>
      <c r="J21">
        <v>2.4571783612784102</v>
      </c>
      <c r="K21">
        <v>273</v>
      </c>
      <c r="L21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0.22556590301909313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0.166055927963801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0.30302623594621902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4.9820001768348403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21">
        <f>IF((DiscreteStatsTable[[#This Row],[RepsRequested]]&gt;1),DiscreteStatsTable[[#This Row],[HalfWidth]],DiscreteStatsTable[[#This Row],[BatchMeansHalfWidth]])</f>
        <v>1.1698390165490775E-2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2">
      <c r="A22" t="s">
        <v>67</v>
      </c>
      <c r="B22" t="s">
        <v>70</v>
      </c>
      <c r="C22">
        <v>21</v>
      </c>
      <c r="D22" t="s">
        <v>71</v>
      </c>
      <c r="E22" t="s">
        <v>72</v>
      </c>
      <c r="F22" t="s">
        <v>73</v>
      </c>
      <c r="G22">
        <v>0.21484377996524601</v>
      </c>
      <c r="H22">
        <v>2E+20</v>
      </c>
      <c r="I22">
        <v>0</v>
      </c>
      <c r="J22">
        <v>3.4293456415321102</v>
      </c>
      <c r="K22">
        <v>284</v>
      </c>
      <c r="L22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0.22556590301909313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0.166055927963801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0.30302623594621902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4.9820001768348403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22">
        <f>IF((DiscreteStatsTable[[#This Row],[RepsRequested]]&gt;1),DiscreteStatsTable[[#This Row],[HalfWidth]],DiscreteStatsTable[[#This Row],[BatchMeansHalfWidth]])</f>
        <v>1.1698390165490775E-2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2">
      <c r="A23" t="s">
        <v>67</v>
      </c>
      <c r="B23" t="s">
        <v>70</v>
      </c>
      <c r="C23">
        <v>22</v>
      </c>
      <c r="D23" t="s">
        <v>71</v>
      </c>
      <c r="E23" t="s">
        <v>72</v>
      </c>
      <c r="F23" t="s">
        <v>73</v>
      </c>
      <c r="G23">
        <v>0.18410534137068801</v>
      </c>
      <c r="H23">
        <v>2E+20</v>
      </c>
      <c r="I23">
        <v>0</v>
      </c>
      <c r="J23">
        <v>3.6297856556416299</v>
      </c>
      <c r="K23">
        <v>282</v>
      </c>
      <c r="L23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0.22556590301909313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0.166055927963801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0.30302623594621902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4.9820001768348403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23">
        <f>IF((DiscreteStatsTable[[#This Row],[RepsRequested]]&gt;1),DiscreteStatsTable[[#This Row],[HalfWidth]],DiscreteStatsTable[[#This Row],[BatchMeansHalfWidth]])</f>
        <v>1.1698390165490775E-2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2">
      <c r="A24" t="s">
        <v>67</v>
      </c>
      <c r="B24" t="s">
        <v>70</v>
      </c>
      <c r="C24">
        <v>23</v>
      </c>
      <c r="D24" t="s">
        <v>71</v>
      </c>
      <c r="E24" t="s">
        <v>72</v>
      </c>
      <c r="F24" t="s">
        <v>73</v>
      </c>
      <c r="G24">
        <v>0.189126201248278</v>
      </c>
      <c r="H24">
        <v>2E+20</v>
      </c>
      <c r="I24">
        <v>0</v>
      </c>
      <c r="J24">
        <v>3.7547225482785498</v>
      </c>
      <c r="K24">
        <v>280</v>
      </c>
      <c r="L24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0.22556590301909313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0.166055927963801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0.30302623594621902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4.9820001768348403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24">
        <f>IF((DiscreteStatsTable[[#This Row],[RepsRequested]]&gt;1),DiscreteStatsTable[[#This Row],[HalfWidth]],DiscreteStatsTable[[#This Row],[BatchMeansHalfWidth]])</f>
        <v>1.1698390165490775E-2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2">
      <c r="A25" t="s">
        <v>67</v>
      </c>
      <c r="B25" t="s">
        <v>70</v>
      </c>
      <c r="C25">
        <v>24</v>
      </c>
      <c r="D25" t="s">
        <v>71</v>
      </c>
      <c r="E25" t="s">
        <v>72</v>
      </c>
      <c r="F25" t="s">
        <v>73</v>
      </c>
      <c r="G25">
        <v>0.25653744481277002</v>
      </c>
      <c r="H25">
        <v>2E+20</v>
      </c>
      <c r="I25">
        <v>0</v>
      </c>
      <c r="J25">
        <v>4.9820001768348403</v>
      </c>
      <c r="K25">
        <v>291</v>
      </c>
      <c r="L25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0.22556590301909313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0.166055927963801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0.30302623594621902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4.9820001768348403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25">
        <f>IF((DiscreteStatsTable[[#This Row],[RepsRequested]]&gt;1),DiscreteStatsTable[[#This Row],[HalfWidth]],DiscreteStatsTable[[#This Row],[BatchMeansHalfWidth]])</f>
        <v>1.1698390165490775E-2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2">
      <c r="A26" t="s">
        <v>67</v>
      </c>
      <c r="B26" t="s">
        <v>70</v>
      </c>
      <c r="C26">
        <v>25</v>
      </c>
      <c r="D26" t="s">
        <v>71</v>
      </c>
      <c r="E26" t="s">
        <v>72</v>
      </c>
      <c r="F26" t="s">
        <v>73</v>
      </c>
      <c r="G26">
        <v>0.24602579001956401</v>
      </c>
      <c r="H26">
        <v>2E+20</v>
      </c>
      <c r="I26">
        <v>0</v>
      </c>
      <c r="J26">
        <v>3.22610734858472</v>
      </c>
      <c r="K26">
        <v>302</v>
      </c>
      <c r="L26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0.22556590301909313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0.166055927963801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0.30302623594621902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4.9820001768348403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26">
        <f>IF((DiscreteStatsTable[[#This Row],[RepsRequested]]&gt;1),DiscreteStatsTable[[#This Row],[HalfWidth]],DiscreteStatsTable[[#This Row],[BatchMeansHalfWidth]])</f>
        <v>1.1698390165490775E-2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2">
      <c r="A27" t="s">
        <v>67</v>
      </c>
      <c r="B27" t="s">
        <v>70</v>
      </c>
      <c r="C27">
        <v>26</v>
      </c>
      <c r="D27" t="s">
        <v>71</v>
      </c>
      <c r="E27" t="s">
        <v>72</v>
      </c>
      <c r="F27" t="s">
        <v>73</v>
      </c>
      <c r="G27">
        <v>0.233972687846214</v>
      </c>
      <c r="H27">
        <v>2E+20</v>
      </c>
      <c r="I27">
        <v>0</v>
      </c>
      <c r="J27">
        <v>3.4013291033395499</v>
      </c>
      <c r="K27">
        <v>272</v>
      </c>
      <c r="L27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0.22556590301909313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0.166055927963801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0.30302623594621902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4.9820001768348403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27">
        <f>IF((DiscreteStatsTable[[#This Row],[RepsRequested]]&gt;1),DiscreteStatsTable[[#This Row],[HalfWidth]],DiscreteStatsTable[[#This Row],[BatchMeansHalfWidth]])</f>
        <v>1.1698390165490775E-2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2">
      <c r="A28" t="s">
        <v>67</v>
      </c>
      <c r="B28" t="s">
        <v>70</v>
      </c>
      <c r="C28">
        <v>27</v>
      </c>
      <c r="D28" t="s">
        <v>71</v>
      </c>
      <c r="E28" t="s">
        <v>72</v>
      </c>
      <c r="F28" t="s">
        <v>73</v>
      </c>
      <c r="G28">
        <v>0.24242976975177299</v>
      </c>
      <c r="H28">
        <v>2E+20</v>
      </c>
      <c r="I28">
        <v>0</v>
      </c>
      <c r="J28">
        <v>2.96015040428028</v>
      </c>
      <c r="K28">
        <v>270</v>
      </c>
      <c r="L28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0.22556590301909313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0.166055927963801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0.30302623594621902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4.9820001768348403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28">
        <f>IF((DiscreteStatsTable[[#This Row],[RepsRequested]]&gt;1),DiscreteStatsTable[[#This Row],[HalfWidth]],DiscreteStatsTable[[#This Row],[BatchMeansHalfWidth]])</f>
        <v>1.1698390165490775E-2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2">
      <c r="A29" t="s">
        <v>67</v>
      </c>
      <c r="B29" t="s">
        <v>70</v>
      </c>
      <c r="C29">
        <v>28</v>
      </c>
      <c r="D29" t="s">
        <v>71</v>
      </c>
      <c r="E29" t="s">
        <v>72</v>
      </c>
      <c r="F29" t="s">
        <v>73</v>
      </c>
      <c r="G29">
        <v>0.24832737285021</v>
      </c>
      <c r="H29">
        <v>2E+20</v>
      </c>
      <c r="I29">
        <v>0</v>
      </c>
      <c r="J29">
        <v>2.6284791253651698</v>
      </c>
      <c r="K29">
        <v>267</v>
      </c>
      <c r="L29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0.22556590301909313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0.166055927963801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0.30302623594621902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4.9820001768348403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29">
        <f>IF((DiscreteStatsTable[[#This Row],[RepsRequested]]&gt;1),DiscreteStatsTable[[#This Row],[HalfWidth]],DiscreteStatsTable[[#This Row],[BatchMeansHalfWidth]])</f>
        <v>1.1698390165490775E-2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2">
      <c r="A30" t="s">
        <v>67</v>
      </c>
      <c r="B30" t="s">
        <v>70</v>
      </c>
      <c r="C30">
        <v>29</v>
      </c>
      <c r="D30" t="s">
        <v>71</v>
      </c>
      <c r="E30" t="s">
        <v>72</v>
      </c>
      <c r="F30" t="s">
        <v>73</v>
      </c>
      <c r="G30">
        <v>0.211680438124144</v>
      </c>
      <c r="H30">
        <v>2E+20</v>
      </c>
      <c r="I30">
        <v>0</v>
      </c>
      <c r="J30">
        <v>3.90648823814263</v>
      </c>
      <c r="K30">
        <v>306</v>
      </c>
      <c r="L30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0.22556590301909313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0.166055927963801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0.30302623594621902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4.9820001768348403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30">
        <f>IF((DiscreteStatsTable[[#This Row],[RepsRequested]]&gt;1),DiscreteStatsTable[[#This Row],[HalfWidth]],DiscreteStatsTable[[#This Row],[BatchMeansHalfWidth]])</f>
        <v>1.1698390165490775E-2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2">
      <c r="A31" t="s">
        <v>67</v>
      </c>
      <c r="B31" t="s">
        <v>70</v>
      </c>
      <c r="C31">
        <v>30</v>
      </c>
      <c r="D31" t="s">
        <v>71</v>
      </c>
      <c r="E31" t="s">
        <v>72</v>
      </c>
      <c r="F31" t="s">
        <v>73</v>
      </c>
      <c r="G31">
        <v>0.166055927963801</v>
      </c>
      <c r="H31">
        <v>2E+20</v>
      </c>
      <c r="I31">
        <v>0</v>
      </c>
      <c r="J31">
        <v>3.7587564677130598</v>
      </c>
      <c r="K31">
        <v>270</v>
      </c>
      <c r="L31" t="str">
        <f>DiscreteStatsTable[[#This Row],[ProjectName]]&amp;DiscreteStatsTable[[#This Row],[Name]]&amp;DiscreteStatsTable[[#This Row],[Type]]&amp;DiscreteStatsTable[[#This Row],[Source]]</f>
        <v>Unnamed ProjectCleaning_Table.QueueWaiting TimeQueue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0.22556590301909313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3.1328864241642683E-2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1.1698390165490775E-2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0.166055927963801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0.30302623594621902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4.9820001768348403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285.39999999999998</v>
      </c>
      <c r="W31">
        <f>IF((DiscreteStatsTable[[#This Row],[RepsRequested]]&gt;1),DiscreteStatsTable[[#This Row],[HalfWidth]],DiscreteStatsTable[[#This Row],[BatchMeansHalfWidth]])</f>
        <v>1.1698390165490775E-2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2">
      <c r="A32" t="s">
        <v>67</v>
      </c>
      <c r="B32" t="s">
        <v>70</v>
      </c>
      <c r="C32">
        <v>1</v>
      </c>
      <c r="D32" t="s">
        <v>74</v>
      </c>
      <c r="E32" t="s">
        <v>75</v>
      </c>
      <c r="F32" t="s">
        <v>76</v>
      </c>
      <c r="G32">
        <v>0</v>
      </c>
      <c r="H32">
        <v>2E+20</v>
      </c>
      <c r="I32">
        <v>0</v>
      </c>
      <c r="J32">
        <v>0</v>
      </c>
      <c r="K32">
        <v>285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285.3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2">
      <c r="A33" t="s">
        <v>67</v>
      </c>
      <c r="B33" t="s">
        <v>70</v>
      </c>
      <c r="C33">
        <v>1</v>
      </c>
      <c r="D33" t="s">
        <v>74</v>
      </c>
      <c r="E33" t="s">
        <v>77</v>
      </c>
      <c r="F33" t="s">
        <v>76</v>
      </c>
      <c r="G33">
        <v>0</v>
      </c>
      <c r="H33">
        <v>2E+20</v>
      </c>
      <c r="I33">
        <v>0</v>
      </c>
      <c r="J33">
        <v>0</v>
      </c>
      <c r="K33">
        <v>285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285.3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2">
      <c r="A34" t="s">
        <v>67</v>
      </c>
      <c r="B34" t="s">
        <v>70</v>
      </c>
      <c r="C34">
        <v>1</v>
      </c>
      <c r="D34" t="s">
        <v>74</v>
      </c>
      <c r="E34" t="s">
        <v>78</v>
      </c>
      <c r="F34" t="s">
        <v>76</v>
      </c>
      <c r="G34">
        <v>42.1347609251753</v>
      </c>
      <c r="H34">
        <v>2E+20</v>
      </c>
      <c r="I34">
        <v>20.283741717115198</v>
      </c>
      <c r="J34">
        <v>81.896846324795007</v>
      </c>
      <c r="K34">
        <v>285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42.144608162589741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0.50689760716925758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41.266839452854697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43.261092257362002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14.356812659243699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109.278485088034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285.3</v>
      </c>
      <c r="W34">
        <f>IF((DiscreteStatsTable[[#This Row],[RepsRequested]]&gt;1),DiscreteStatsTable[[#This Row],[HalfWidth]],DiscreteStatsTable[[#This Row],[BatchMeansHalfWidth]])</f>
        <v>0.18927867722499744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2">
      <c r="A35" t="s">
        <v>67</v>
      </c>
      <c r="B35" t="s">
        <v>70</v>
      </c>
      <c r="C35">
        <v>1</v>
      </c>
      <c r="D35" t="s">
        <v>74</v>
      </c>
      <c r="E35" t="s">
        <v>79</v>
      </c>
      <c r="F35" t="s">
        <v>76</v>
      </c>
      <c r="G35">
        <v>0</v>
      </c>
      <c r="H35">
        <v>2E+20</v>
      </c>
      <c r="I35">
        <v>0</v>
      </c>
      <c r="J35">
        <v>0</v>
      </c>
      <c r="K35">
        <v>285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285.3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2">
      <c r="A36" t="s">
        <v>67</v>
      </c>
      <c r="B36" t="s">
        <v>70</v>
      </c>
      <c r="C36">
        <v>1</v>
      </c>
      <c r="D36" t="s">
        <v>74</v>
      </c>
      <c r="E36" t="s">
        <v>80</v>
      </c>
      <c r="F36" t="s">
        <v>76</v>
      </c>
      <c r="G36">
        <v>35.860642939177303</v>
      </c>
      <c r="H36">
        <v>2E+20</v>
      </c>
      <c r="I36">
        <v>20.283741717115198</v>
      </c>
      <c r="J36">
        <v>54.096063926053397</v>
      </c>
      <c r="K36">
        <v>285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36.00428777459642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0.34275969383872451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35.158236096727201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36.707690403515898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14.2518779052622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59.774077085699403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285.3</v>
      </c>
      <c r="W36">
        <f>IF((DiscreteStatsTable[[#This Row],[RepsRequested]]&gt;1),DiscreteStatsTable[[#This Row],[HalfWidth]],DiscreteStatsTable[[#This Row],[BatchMeansHalfWidth]])</f>
        <v>0.12798857311270725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2">
      <c r="A37" t="s">
        <v>67</v>
      </c>
      <c r="B37" t="s">
        <v>70</v>
      </c>
      <c r="C37">
        <v>1</v>
      </c>
      <c r="D37" t="s">
        <v>74</v>
      </c>
      <c r="E37" t="s">
        <v>81</v>
      </c>
      <c r="F37" t="s">
        <v>76</v>
      </c>
      <c r="G37">
        <v>13.897505402355799</v>
      </c>
      <c r="H37">
        <v>2E+20</v>
      </c>
      <c r="I37">
        <v>0</v>
      </c>
      <c r="J37">
        <v>76.657480173895706</v>
      </c>
      <c r="K37">
        <v>285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13.621559896422417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0.39651575913774295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12.598242749972901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14.319051591609201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180.86047487093799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285.3</v>
      </c>
      <c r="W37">
        <f>IF((DiscreteStatsTable[[#This Row],[RepsRequested]]&gt;1),DiscreteStatsTable[[#This Row],[HalfWidth]],DiscreteStatsTable[[#This Row],[BatchMeansHalfWidth]])</f>
        <v>0.14806141778332987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2">
      <c r="A38" t="s">
        <v>67</v>
      </c>
      <c r="B38" t="s">
        <v>70</v>
      </c>
      <c r="C38">
        <v>2</v>
      </c>
      <c r="D38" t="s">
        <v>74</v>
      </c>
      <c r="E38" t="s">
        <v>75</v>
      </c>
      <c r="F38" t="s">
        <v>76</v>
      </c>
      <c r="G38">
        <v>0</v>
      </c>
      <c r="H38">
        <v>2E+20</v>
      </c>
      <c r="I38">
        <v>0</v>
      </c>
      <c r="J38">
        <v>0</v>
      </c>
      <c r="K38">
        <v>291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285.3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2">
      <c r="A39" t="s">
        <v>67</v>
      </c>
      <c r="B39" t="s">
        <v>70</v>
      </c>
      <c r="C39">
        <v>2</v>
      </c>
      <c r="D39" t="s">
        <v>74</v>
      </c>
      <c r="E39" t="s">
        <v>77</v>
      </c>
      <c r="F39" t="s">
        <v>76</v>
      </c>
      <c r="G39">
        <v>0</v>
      </c>
      <c r="H39">
        <v>2E+20</v>
      </c>
      <c r="I39">
        <v>0</v>
      </c>
      <c r="J39">
        <v>0</v>
      </c>
      <c r="K39">
        <v>291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285.3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2">
      <c r="A40" t="s">
        <v>67</v>
      </c>
      <c r="B40" t="s">
        <v>70</v>
      </c>
      <c r="C40">
        <v>2</v>
      </c>
      <c r="D40" t="s">
        <v>74</v>
      </c>
      <c r="E40" t="s">
        <v>78</v>
      </c>
      <c r="F40" t="s">
        <v>76</v>
      </c>
      <c r="G40">
        <v>41.489863878617101</v>
      </c>
      <c r="H40">
        <v>2E+20</v>
      </c>
      <c r="I40">
        <v>14.356812659243699</v>
      </c>
      <c r="J40">
        <v>82.970237228326795</v>
      </c>
      <c r="K40">
        <v>291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42.144608162589741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0.50689760716925758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41.266839452854697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43.261092257362002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14.356812659243699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109.278485088034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285.3</v>
      </c>
      <c r="W40">
        <f>IF((DiscreteStatsTable[[#This Row],[RepsRequested]]&gt;1),DiscreteStatsTable[[#This Row],[HalfWidth]],DiscreteStatsTable[[#This Row],[BatchMeansHalfWidth]])</f>
        <v>0.18927867722499744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2">
      <c r="A41" t="s">
        <v>67</v>
      </c>
      <c r="B41" t="s">
        <v>70</v>
      </c>
      <c r="C41">
        <v>2</v>
      </c>
      <c r="D41" t="s">
        <v>74</v>
      </c>
      <c r="E41" t="s">
        <v>79</v>
      </c>
      <c r="F41" t="s">
        <v>76</v>
      </c>
      <c r="G41">
        <v>0</v>
      </c>
      <c r="H41">
        <v>2E+20</v>
      </c>
      <c r="I41">
        <v>0</v>
      </c>
      <c r="J41">
        <v>0</v>
      </c>
      <c r="K41">
        <v>291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285.3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2">
      <c r="A42" t="s">
        <v>67</v>
      </c>
      <c r="B42" t="s">
        <v>70</v>
      </c>
      <c r="C42">
        <v>2</v>
      </c>
      <c r="D42" t="s">
        <v>74</v>
      </c>
      <c r="E42" t="s">
        <v>80</v>
      </c>
      <c r="F42" t="s">
        <v>76</v>
      </c>
      <c r="G42">
        <v>35.895478336892197</v>
      </c>
      <c r="H42">
        <v>2E+20</v>
      </c>
      <c r="I42">
        <v>14.356812659243699</v>
      </c>
      <c r="J42">
        <v>57.411384622132303</v>
      </c>
      <c r="K42">
        <v>291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36.00428777459642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0.34275969383872451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35.158236096727201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36.707690403515898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14.2518779052622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59.774077085699403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285.3</v>
      </c>
      <c r="W42">
        <f>IF((DiscreteStatsTable[[#This Row],[RepsRequested]]&gt;1),DiscreteStatsTable[[#This Row],[HalfWidth]],DiscreteStatsTable[[#This Row],[BatchMeansHalfWidth]])</f>
        <v>0.12798857311270725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2">
      <c r="A43" t="s">
        <v>67</v>
      </c>
      <c r="B43" t="s">
        <v>70</v>
      </c>
      <c r="C43">
        <v>2</v>
      </c>
      <c r="D43" t="s">
        <v>74</v>
      </c>
      <c r="E43" t="s">
        <v>81</v>
      </c>
      <c r="F43" t="s">
        <v>76</v>
      </c>
      <c r="G43">
        <v>13.116677955028299</v>
      </c>
      <c r="H43">
        <v>2E+20</v>
      </c>
      <c r="I43">
        <v>0</v>
      </c>
      <c r="J43">
        <v>98.812782374270199</v>
      </c>
      <c r="K43">
        <v>291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13.621559896422417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0.39651575913774295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12.598242749972901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14.319051591609201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180.86047487093799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285.3</v>
      </c>
      <c r="W43">
        <f>IF((DiscreteStatsTable[[#This Row],[RepsRequested]]&gt;1),DiscreteStatsTable[[#This Row],[HalfWidth]],DiscreteStatsTable[[#This Row],[BatchMeansHalfWidth]])</f>
        <v>0.14806141778332987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2">
      <c r="A44" t="s">
        <v>67</v>
      </c>
      <c r="B44" t="s">
        <v>70</v>
      </c>
      <c r="C44">
        <v>3</v>
      </c>
      <c r="D44" t="s">
        <v>74</v>
      </c>
      <c r="E44" t="s">
        <v>75</v>
      </c>
      <c r="F44" t="s">
        <v>76</v>
      </c>
      <c r="G44">
        <v>0</v>
      </c>
      <c r="H44">
        <v>2E+20</v>
      </c>
      <c r="I44">
        <v>0</v>
      </c>
      <c r="J44">
        <v>0</v>
      </c>
      <c r="K44">
        <v>280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285.3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2">
      <c r="A45" t="s">
        <v>67</v>
      </c>
      <c r="B45" t="s">
        <v>70</v>
      </c>
      <c r="C45">
        <v>3</v>
      </c>
      <c r="D45" t="s">
        <v>74</v>
      </c>
      <c r="E45" t="s">
        <v>77</v>
      </c>
      <c r="F45" t="s">
        <v>76</v>
      </c>
      <c r="G45">
        <v>0</v>
      </c>
      <c r="H45">
        <v>2E+20</v>
      </c>
      <c r="I45">
        <v>0</v>
      </c>
      <c r="J45">
        <v>0</v>
      </c>
      <c r="K45">
        <v>280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285.3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2">
      <c r="A46" t="s">
        <v>67</v>
      </c>
      <c r="B46" t="s">
        <v>70</v>
      </c>
      <c r="C46">
        <v>3</v>
      </c>
      <c r="D46" t="s">
        <v>74</v>
      </c>
      <c r="E46" t="s">
        <v>78</v>
      </c>
      <c r="F46" t="s">
        <v>76</v>
      </c>
      <c r="G46">
        <v>41.924916690652402</v>
      </c>
      <c r="H46">
        <v>2E+20</v>
      </c>
      <c r="I46">
        <v>18.4407421252617</v>
      </c>
      <c r="J46">
        <v>75.314543049281397</v>
      </c>
      <c r="K46">
        <v>280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42.144608162589741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0.50689760716925758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41.266839452854697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43.261092257362002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14.356812659243699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109.278485088034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285.3</v>
      </c>
      <c r="W46">
        <f>IF((DiscreteStatsTable[[#This Row],[RepsRequested]]&gt;1),DiscreteStatsTable[[#This Row],[HalfWidth]],DiscreteStatsTable[[#This Row],[BatchMeansHalfWidth]])</f>
        <v>0.18927867722499744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2">
      <c r="A47" t="s">
        <v>67</v>
      </c>
      <c r="B47" t="s">
        <v>70</v>
      </c>
      <c r="C47">
        <v>3</v>
      </c>
      <c r="D47" t="s">
        <v>74</v>
      </c>
      <c r="E47" t="s">
        <v>79</v>
      </c>
      <c r="F47" t="s">
        <v>76</v>
      </c>
      <c r="G47">
        <v>0</v>
      </c>
      <c r="H47">
        <v>2E+20</v>
      </c>
      <c r="I47">
        <v>0</v>
      </c>
      <c r="J47">
        <v>0</v>
      </c>
      <c r="K47">
        <v>280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285.3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2">
      <c r="A48" t="s">
        <v>67</v>
      </c>
      <c r="B48" t="s">
        <v>70</v>
      </c>
      <c r="C48">
        <v>3</v>
      </c>
      <c r="D48" t="s">
        <v>74</v>
      </c>
      <c r="E48" t="s">
        <v>80</v>
      </c>
      <c r="F48" t="s">
        <v>76</v>
      </c>
      <c r="G48">
        <v>35.6333778026261</v>
      </c>
      <c r="H48">
        <v>2E+20</v>
      </c>
      <c r="I48">
        <v>18.4407421252617</v>
      </c>
      <c r="J48">
        <v>53.664951353410402</v>
      </c>
      <c r="K48">
        <v>280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36.00428777459642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0.34275969383872451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35.158236096727201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36.707690403515898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14.2518779052622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59.774077085699403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285.3</v>
      </c>
      <c r="W48">
        <f>IF((DiscreteStatsTable[[#This Row],[RepsRequested]]&gt;1),DiscreteStatsTable[[#This Row],[HalfWidth]],DiscreteStatsTable[[#This Row],[BatchMeansHalfWidth]])</f>
        <v>0.12798857311270725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2">
      <c r="A49" t="s">
        <v>67</v>
      </c>
      <c r="B49" t="s">
        <v>70</v>
      </c>
      <c r="C49">
        <v>3</v>
      </c>
      <c r="D49" t="s">
        <v>74</v>
      </c>
      <c r="E49" t="s">
        <v>81</v>
      </c>
      <c r="F49" t="s">
        <v>76</v>
      </c>
      <c r="G49">
        <v>13.8047361144486</v>
      </c>
      <c r="H49">
        <v>2E+20</v>
      </c>
      <c r="I49">
        <v>0</v>
      </c>
      <c r="J49">
        <v>86.532820143383304</v>
      </c>
      <c r="K49">
        <v>280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13.621559896422417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0.39651575913774295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12.598242749972901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14.319051591609201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180.86047487093799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285.3</v>
      </c>
      <c r="W49">
        <f>IF((DiscreteStatsTable[[#This Row],[RepsRequested]]&gt;1),DiscreteStatsTable[[#This Row],[HalfWidth]],DiscreteStatsTable[[#This Row],[BatchMeansHalfWidth]])</f>
        <v>0.14806141778332987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2">
      <c r="A50" t="s">
        <v>67</v>
      </c>
      <c r="B50" t="s">
        <v>70</v>
      </c>
      <c r="C50">
        <v>4</v>
      </c>
      <c r="D50" t="s">
        <v>74</v>
      </c>
      <c r="E50" t="s">
        <v>75</v>
      </c>
      <c r="F50" t="s">
        <v>76</v>
      </c>
      <c r="G50">
        <v>0</v>
      </c>
      <c r="H50">
        <v>2E+20</v>
      </c>
      <c r="I50">
        <v>0</v>
      </c>
      <c r="J50">
        <v>0</v>
      </c>
      <c r="K50">
        <v>310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285.3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2">
      <c r="A51" t="s">
        <v>67</v>
      </c>
      <c r="B51" t="s">
        <v>70</v>
      </c>
      <c r="C51">
        <v>4</v>
      </c>
      <c r="D51" t="s">
        <v>74</v>
      </c>
      <c r="E51" t="s">
        <v>77</v>
      </c>
      <c r="F51" t="s">
        <v>76</v>
      </c>
      <c r="G51">
        <v>0</v>
      </c>
      <c r="H51">
        <v>2E+20</v>
      </c>
      <c r="I51">
        <v>0</v>
      </c>
      <c r="J51">
        <v>0</v>
      </c>
      <c r="K51">
        <v>310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285.3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2">
      <c r="A52" t="s">
        <v>67</v>
      </c>
      <c r="B52" t="s">
        <v>70</v>
      </c>
      <c r="C52">
        <v>4</v>
      </c>
      <c r="D52" t="s">
        <v>74</v>
      </c>
      <c r="E52" t="s">
        <v>78</v>
      </c>
      <c r="F52" t="s">
        <v>76</v>
      </c>
      <c r="G52">
        <v>41.8357600888829</v>
      </c>
      <c r="H52">
        <v>2E+20</v>
      </c>
      <c r="I52">
        <v>15.173627226778001</v>
      </c>
      <c r="J52">
        <v>73.175207814603397</v>
      </c>
      <c r="K52">
        <v>310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42.144608162589741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0.50689760716925758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41.266839452854697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43.261092257362002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14.356812659243699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109.278485088034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285.3</v>
      </c>
      <c r="W52">
        <f>IF((DiscreteStatsTable[[#This Row],[RepsRequested]]&gt;1),DiscreteStatsTable[[#This Row],[HalfWidth]],DiscreteStatsTable[[#This Row],[BatchMeansHalfWidth]])</f>
        <v>0.18927867722499744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2">
      <c r="A53" t="s">
        <v>67</v>
      </c>
      <c r="B53" t="s">
        <v>70</v>
      </c>
      <c r="C53">
        <v>4</v>
      </c>
      <c r="D53" t="s">
        <v>74</v>
      </c>
      <c r="E53" t="s">
        <v>79</v>
      </c>
      <c r="F53" t="s">
        <v>76</v>
      </c>
      <c r="G53">
        <v>0</v>
      </c>
      <c r="H53">
        <v>2E+20</v>
      </c>
      <c r="I53">
        <v>0</v>
      </c>
      <c r="J53">
        <v>0</v>
      </c>
      <c r="K53">
        <v>310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285.3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2">
      <c r="A54" t="s">
        <v>67</v>
      </c>
      <c r="B54" t="s">
        <v>70</v>
      </c>
      <c r="C54">
        <v>4</v>
      </c>
      <c r="D54" t="s">
        <v>74</v>
      </c>
      <c r="E54" t="s">
        <v>80</v>
      </c>
      <c r="F54" t="s">
        <v>76</v>
      </c>
      <c r="G54">
        <v>35.974438322023403</v>
      </c>
      <c r="H54">
        <v>2E+20</v>
      </c>
      <c r="I54">
        <v>14.2518779052622</v>
      </c>
      <c r="J54">
        <v>52.187397146142501</v>
      </c>
      <c r="K54">
        <v>310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36.00428777459642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0.34275969383872451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35.158236096727201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36.707690403515898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14.2518779052622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59.774077085699403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285.3</v>
      </c>
      <c r="W54">
        <f>IF((DiscreteStatsTable[[#This Row],[RepsRequested]]&gt;1),DiscreteStatsTable[[#This Row],[HalfWidth]],DiscreteStatsTable[[#This Row],[BatchMeansHalfWidth]])</f>
        <v>0.12798857311270725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2">
      <c r="A55" t="s">
        <v>67</v>
      </c>
      <c r="B55" t="s">
        <v>70</v>
      </c>
      <c r="C55">
        <v>4</v>
      </c>
      <c r="D55" t="s">
        <v>74</v>
      </c>
      <c r="E55" t="s">
        <v>81</v>
      </c>
      <c r="F55" t="s">
        <v>76</v>
      </c>
      <c r="G55">
        <v>13.112131619462</v>
      </c>
      <c r="H55">
        <v>2E+20</v>
      </c>
      <c r="I55">
        <v>0</v>
      </c>
      <c r="J55">
        <v>65.274034850229597</v>
      </c>
      <c r="K55">
        <v>310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13.621559896422417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0.39651575913774295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12.598242749972901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14.319051591609201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180.86047487093799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285.3</v>
      </c>
      <c r="W55">
        <f>IF((DiscreteStatsTable[[#This Row],[RepsRequested]]&gt;1),DiscreteStatsTable[[#This Row],[HalfWidth]],DiscreteStatsTable[[#This Row],[BatchMeansHalfWidth]])</f>
        <v>0.14806141778332987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2">
      <c r="A56" t="s">
        <v>67</v>
      </c>
      <c r="B56" t="s">
        <v>70</v>
      </c>
      <c r="C56">
        <v>5</v>
      </c>
      <c r="D56" t="s">
        <v>74</v>
      </c>
      <c r="E56" t="s">
        <v>75</v>
      </c>
      <c r="F56" t="s">
        <v>76</v>
      </c>
      <c r="G56">
        <v>0</v>
      </c>
      <c r="H56">
        <v>2E+20</v>
      </c>
      <c r="I56">
        <v>0</v>
      </c>
      <c r="J56">
        <v>0</v>
      </c>
      <c r="K56">
        <v>285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285.3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2">
      <c r="A57" t="s">
        <v>67</v>
      </c>
      <c r="B57" t="s">
        <v>70</v>
      </c>
      <c r="C57">
        <v>5</v>
      </c>
      <c r="D57" t="s">
        <v>74</v>
      </c>
      <c r="E57" t="s">
        <v>77</v>
      </c>
      <c r="F57" t="s">
        <v>76</v>
      </c>
      <c r="G57">
        <v>0</v>
      </c>
      <c r="H57">
        <v>2E+20</v>
      </c>
      <c r="I57">
        <v>0</v>
      </c>
      <c r="J57">
        <v>0</v>
      </c>
      <c r="K57">
        <v>285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285.3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2">
      <c r="A58" t="s">
        <v>67</v>
      </c>
      <c r="B58" t="s">
        <v>70</v>
      </c>
      <c r="C58">
        <v>5</v>
      </c>
      <c r="D58" t="s">
        <v>74</v>
      </c>
      <c r="E58" t="s">
        <v>78</v>
      </c>
      <c r="F58" t="s">
        <v>76</v>
      </c>
      <c r="G58">
        <v>43.261092257362002</v>
      </c>
      <c r="H58">
        <v>2E+20</v>
      </c>
      <c r="I58">
        <v>15.089225937034801</v>
      </c>
      <c r="J58">
        <v>80.149866521716106</v>
      </c>
      <c r="K58">
        <v>285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42.144608162589741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0.50689760716925758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41.266839452854697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43.261092257362002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14.356812659243699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109.278485088034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285.3</v>
      </c>
      <c r="W58">
        <f>IF((DiscreteStatsTable[[#This Row],[RepsRequested]]&gt;1),DiscreteStatsTable[[#This Row],[HalfWidth]],DiscreteStatsTable[[#This Row],[BatchMeansHalfWidth]])</f>
        <v>0.18927867722499744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2">
      <c r="A59" t="s">
        <v>67</v>
      </c>
      <c r="B59" t="s">
        <v>70</v>
      </c>
      <c r="C59">
        <v>5</v>
      </c>
      <c r="D59" t="s">
        <v>74</v>
      </c>
      <c r="E59" t="s">
        <v>79</v>
      </c>
      <c r="F59" t="s">
        <v>76</v>
      </c>
      <c r="G59">
        <v>0</v>
      </c>
      <c r="H59">
        <v>2E+20</v>
      </c>
      <c r="I59">
        <v>0</v>
      </c>
      <c r="J59">
        <v>0</v>
      </c>
      <c r="K59">
        <v>285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285.3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2">
      <c r="A60" t="s">
        <v>67</v>
      </c>
      <c r="B60" t="s">
        <v>70</v>
      </c>
      <c r="C60">
        <v>5</v>
      </c>
      <c r="D60" t="s">
        <v>74</v>
      </c>
      <c r="E60" t="s">
        <v>80</v>
      </c>
      <c r="F60" t="s">
        <v>76</v>
      </c>
      <c r="G60">
        <v>36.707690403515898</v>
      </c>
      <c r="H60">
        <v>2E+20</v>
      </c>
      <c r="I60">
        <v>15.089225937034801</v>
      </c>
      <c r="J60">
        <v>57.896374655177603</v>
      </c>
      <c r="K60">
        <v>285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36.00428777459642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0.34275969383872451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35.158236096727201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36.707690403515898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14.2518779052622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59.774077085699403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285.3</v>
      </c>
      <c r="W60">
        <f>IF((DiscreteStatsTable[[#This Row],[RepsRequested]]&gt;1),DiscreteStatsTable[[#This Row],[HalfWidth]],DiscreteStatsTable[[#This Row],[BatchMeansHalfWidth]])</f>
        <v>0.12798857311270725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2">
      <c r="A61" t="s">
        <v>67</v>
      </c>
      <c r="B61" t="s">
        <v>70</v>
      </c>
      <c r="C61">
        <v>5</v>
      </c>
      <c r="D61" t="s">
        <v>74</v>
      </c>
      <c r="E61" t="s">
        <v>81</v>
      </c>
      <c r="F61" t="s">
        <v>76</v>
      </c>
      <c r="G61">
        <v>13.457379146873199</v>
      </c>
      <c r="H61">
        <v>2E+20</v>
      </c>
      <c r="I61">
        <v>0</v>
      </c>
      <c r="J61">
        <v>65.844302669740003</v>
      </c>
      <c r="K61">
        <v>285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13.621559896422417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0.39651575913774295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12.598242749972901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14.319051591609201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180.86047487093799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285.3</v>
      </c>
      <c r="W61">
        <f>IF((DiscreteStatsTable[[#This Row],[RepsRequested]]&gt;1),DiscreteStatsTable[[#This Row],[HalfWidth]],DiscreteStatsTable[[#This Row],[BatchMeansHalfWidth]])</f>
        <v>0.14806141778332987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2">
      <c r="A62" t="s">
        <v>67</v>
      </c>
      <c r="B62" t="s">
        <v>70</v>
      </c>
      <c r="C62">
        <v>6</v>
      </c>
      <c r="D62" t="s">
        <v>74</v>
      </c>
      <c r="E62" t="s">
        <v>75</v>
      </c>
      <c r="F62" t="s">
        <v>76</v>
      </c>
      <c r="G62">
        <v>0</v>
      </c>
      <c r="H62">
        <v>2E+20</v>
      </c>
      <c r="I62">
        <v>0</v>
      </c>
      <c r="J62">
        <v>0</v>
      </c>
      <c r="K62">
        <v>318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285.3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2">
      <c r="A63" t="s">
        <v>67</v>
      </c>
      <c r="B63" t="s">
        <v>70</v>
      </c>
      <c r="C63">
        <v>6</v>
      </c>
      <c r="D63" t="s">
        <v>74</v>
      </c>
      <c r="E63" t="s">
        <v>77</v>
      </c>
      <c r="F63" t="s">
        <v>76</v>
      </c>
      <c r="G63">
        <v>0</v>
      </c>
      <c r="H63">
        <v>2E+20</v>
      </c>
      <c r="I63">
        <v>0</v>
      </c>
      <c r="J63">
        <v>0</v>
      </c>
      <c r="K63">
        <v>318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285.3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2">
      <c r="A64" t="s">
        <v>67</v>
      </c>
      <c r="B64" t="s">
        <v>70</v>
      </c>
      <c r="C64">
        <v>6</v>
      </c>
      <c r="D64" t="s">
        <v>74</v>
      </c>
      <c r="E64" t="s">
        <v>78</v>
      </c>
      <c r="F64" t="s">
        <v>76</v>
      </c>
      <c r="G64">
        <v>41.4996582804119</v>
      </c>
      <c r="H64">
        <v>2E+20</v>
      </c>
      <c r="I64">
        <v>19.4929706880548</v>
      </c>
      <c r="J64">
        <v>72.383170649124807</v>
      </c>
      <c r="K64">
        <v>318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42.144608162589741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0.50689760716925758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41.266839452854697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43.261092257362002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14.356812659243699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109.278485088034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285.3</v>
      </c>
      <c r="W64">
        <f>IF((DiscreteStatsTable[[#This Row],[RepsRequested]]&gt;1),DiscreteStatsTable[[#This Row],[HalfWidth]],DiscreteStatsTable[[#This Row],[BatchMeansHalfWidth]])</f>
        <v>0.18927867722499744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2">
      <c r="A65" t="s">
        <v>67</v>
      </c>
      <c r="B65" t="s">
        <v>70</v>
      </c>
      <c r="C65">
        <v>6</v>
      </c>
      <c r="D65" t="s">
        <v>74</v>
      </c>
      <c r="E65" t="s">
        <v>79</v>
      </c>
      <c r="F65" t="s">
        <v>76</v>
      </c>
      <c r="G65">
        <v>0</v>
      </c>
      <c r="H65">
        <v>2E+20</v>
      </c>
      <c r="I65">
        <v>0</v>
      </c>
      <c r="J65">
        <v>0</v>
      </c>
      <c r="K65">
        <v>318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285.3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2">
      <c r="A66" t="s">
        <v>67</v>
      </c>
      <c r="B66" t="s">
        <v>70</v>
      </c>
      <c r="C66">
        <v>6</v>
      </c>
      <c r="D66" t="s">
        <v>74</v>
      </c>
      <c r="E66" t="s">
        <v>80</v>
      </c>
      <c r="F66" t="s">
        <v>76</v>
      </c>
      <c r="G66">
        <v>35.158236096727201</v>
      </c>
      <c r="H66">
        <v>2E+20</v>
      </c>
      <c r="I66">
        <v>19.4929706880548</v>
      </c>
      <c r="J66">
        <v>51.342290520070897</v>
      </c>
      <c r="K66">
        <v>318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36.00428777459642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0.34275969383872451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35.158236096727201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36.707690403515898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14.2518779052622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59.774077085699403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285.3</v>
      </c>
      <c r="W66">
        <f>IF((DiscreteStatsTable[[#This Row],[RepsRequested]]&gt;1),DiscreteStatsTable[[#This Row],[HalfWidth]],DiscreteStatsTable[[#This Row],[BatchMeansHalfWidth]])</f>
        <v>0.12798857311270725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2">
      <c r="A67" t="s">
        <v>67</v>
      </c>
      <c r="B67" t="s">
        <v>70</v>
      </c>
      <c r="C67">
        <v>6</v>
      </c>
      <c r="D67" t="s">
        <v>74</v>
      </c>
      <c r="E67" t="s">
        <v>81</v>
      </c>
      <c r="F67" t="s">
        <v>76</v>
      </c>
      <c r="G67">
        <v>13.615218463078101</v>
      </c>
      <c r="H67">
        <v>2E+20</v>
      </c>
      <c r="I67">
        <v>0</v>
      </c>
      <c r="J67">
        <v>89.634301489140398</v>
      </c>
      <c r="K67">
        <v>318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13.621559896422417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0.39651575913774295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12.598242749972901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14.319051591609201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180.86047487093799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285.3</v>
      </c>
      <c r="W67">
        <f>IF((DiscreteStatsTable[[#This Row],[RepsRequested]]&gt;1),DiscreteStatsTable[[#This Row],[HalfWidth]],DiscreteStatsTable[[#This Row],[BatchMeansHalfWidth]])</f>
        <v>0.14806141778332987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2">
      <c r="A68" t="s">
        <v>67</v>
      </c>
      <c r="B68" t="s">
        <v>70</v>
      </c>
      <c r="C68">
        <v>7</v>
      </c>
      <c r="D68" t="s">
        <v>74</v>
      </c>
      <c r="E68" t="s">
        <v>75</v>
      </c>
      <c r="F68" t="s">
        <v>76</v>
      </c>
      <c r="G68">
        <v>0</v>
      </c>
      <c r="H68">
        <v>2E+20</v>
      </c>
      <c r="I68">
        <v>0</v>
      </c>
      <c r="J68">
        <v>0</v>
      </c>
      <c r="K68">
        <v>266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285.3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2">
      <c r="A69" t="s">
        <v>67</v>
      </c>
      <c r="B69" t="s">
        <v>70</v>
      </c>
      <c r="C69">
        <v>7</v>
      </c>
      <c r="D69" t="s">
        <v>74</v>
      </c>
      <c r="E69" t="s">
        <v>77</v>
      </c>
      <c r="F69" t="s">
        <v>76</v>
      </c>
      <c r="G69">
        <v>0</v>
      </c>
      <c r="H69">
        <v>2E+20</v>
      </c>
      <c r="I69">
        <v>0</v>
      </c>
      <c r="J69">
        <v>0</v>
      </c>
      <c r="K69">
        <v>266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285.3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2">
      <c r="A70" t="s">
        <v>67</v>
      </c>
      <c r="B70" t="s">
        <v>70</v>
      </c>
      <c r="C70">
        <v>7</v>
      </c>
      <c r="D70" t="s">
        <v>74</v>
      </c>
      <c r="E70" t="s">
        <v>78</v>
      </c>
      <c r="F70" t="s">
        <v>76</v>
      </c>
      <c r="G70">
        <v>41.918034753990703</v>
      </c>
      <c r="H70">
        <v>2E+20</v>
      </c>
      <c r="I70">
        <v>17.5095492775412</v>
      </c>
      <c r="J70">
        <v>88.516248971297202</v>
      </c>
      <c r="K70">
        <v>266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42.144608162589741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0.50689760716925758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41.266839452854697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43.261092257362002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14.356812659243699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109.278485088034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285.3</v>
      </c>
      <c r="W70">
        <f>IF((DiscreteStatsTable[[#This Row],[RepsRequested]]&gt;1),DiscreteStatsTable[[#This Row],[HalfWidth]],DiscreteStatsTable[[#This Row],[BatchMeansHalfWidth]])</f>
        <v>0.18927867722499744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2">
      <c r="A71" t="s">
        <v>67</v>
      </c>
      <c r="B71" t="s">
        <v>70</v>
      </c>
      <c r="C71">
        <v>7</v>
      </c>
      <c r="D71" t="s">
        <v>74</v>
      </c>
      <c r="E71" t="s">
        <v>79</v>
      </c>
      <c r="F71" t="s">
        <v>76</v>
      </c>
      <c r="G71">
        <v>0</v>
      </c>
      <c r="H71">
        <v>2E+20</v>
      </c>
      <c r="I71">
        <v>0</v>
      </c>
      <c r="J71">
        <v>0</v>
      </c>
      <c r="K71">
        <v>266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285.3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2">
      <c r="A72" t="s">
        <v>67</v>
      </c>
      <c r="B72" t="s">
        <v>70</v>
      </c>
      <c r="C72">
        <v>7</v>
      </c>
      <c r="D72" t="s">
        <v>74</v>
      </c>
      <c r="E72" t="s">
        <v>80</v>
      </c>
      <c r="F72" t="s">
        <v>76</v>
      </c>
      <c r="G72">
        <v>35.941600116703398</v>
      </c>
      <c r="H72">
        <v>2E+20</v>
      </c>
      <c r="I72">
        <v>17.5095492775412</v>
      </c>
      <c r="J72">
        <v>52.426125876151403</v>
      </c>
      <c r="K72">
        <v>266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36.00428777459642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0.34275969383872451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35.158236096727201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36.707690403515898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14.2518779052622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59.774077085699403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285.3</v>
      </c>
      <c r="W72">
        <f>IF((DiscreteStatsTable[[#This Row],[RepsRequested]]&gt;1),DiscreteStatsTable[[#This Row],[HalfWidth]],DiscreteStatsTable[[#This Row],[BatchMeansHalfWidth]])</f>
        <v>0.12798857311270725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2">
      <c r="A73" t="s">
        <v>67</v>
      </c>
      <c r="B73" t="s">
        <v>70</v>
      </c>
      <c r="C73">
        <v>7</v>
      </c>
      <c r="D73" t="s">
        <v>74</v>
      </c>
      <c r="E73" t="s">
        <v>81</v>
      </c>
      <c r="F73" t="s">
        <v>76</v>
      </c>
      <c r="G73">
        <v>13.6352992518781</v>
      </c>
      <c r="H73">
        <v>2E+20</v>
      </c>
      <c r="I73">
        <v>0</v>
      </c>
      <c r="J73">
        <v>95.156077189525902</v>
      </c>
      <c r="K73">
        <v>266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13.621559896422417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0.39651575913774295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12.598242749972901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14.319051591609201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180.86047487093799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285.3</v>
      </c>
      <c r="W73">
        <f>IF((DiscreteStatsTable[[#This Row],[RepsRequested]]&gt;1),DiscreteStatsTable[[#This Row],[HalfWidth]],DiscreteStatsTable[[#This Row],[BatchMeansHalfWidth]])</f>
        <v>0.14806141778332987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2">
      <c r="A74" t="s">
        <v>67</v>
      </c>
      <c r="B74" t="s">
        <v>70</v>
      </c>
      <c r="C74">
        <v>8</v>
      </c>
      <c r="D74" t="s">
        <v>74</v>
      </c>
      <c r="E74" t="s">
        <v>75</v>
      </c>
      <c r="F74" t="s">
        <v>76</v>
      </c>
      <c r="G74">
        <v>0</v>
      </c>
      <c r="H74">
        <v>2E+20</v>
      </c>
      <c r="I74">
        <v>0</v>
      </c>
      <c r="J74">
        <v>0</v>
      </c>
      <c r="K74">
        <v>283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285.3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2">
      <c r="A75" t="s">
        <v>67</v>
      </c>
      <c r="B75" t="s">
        <v>70</v>
      </c>
      <c r="C75">
        <v>8</v>
      </c>
      <c r="D75" t="s">
        <v>74</v>
      </c>
      <c r="E75" t="s">
        <v>77</v>
      </c>
      <c r="F75" t="s">
        <v>76</v>
      </c>
      <c r="G75">
        <v>0</v>
      </c>
      <c r="H75">
        <v>2E+20</v>
      </c>
      <c r="I75">
        <v>0</v>
      </c>
      <c r="J75">
        <v>0</v>
      </c>
      <c r="K75">
        <v>283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285.3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2">
      <c r="A76" t="s">
        <v>67</v>
      </c>
      <c r="B76" t="s">
        <v>70</v>
      </c>
      <c r="C76">
        <v>8</v>
      </c>
      <c r="D76" t="s">
        <v>74</v>
      </c>
      <c r="E76" t="s">
        <v>78</v>
      </c>
      <c r="F76" t="s">
        <v>76</v>
      </c>
      <c r="G76">
        <v>42.295740047083299</v>
      </c>
      <c r="H76">
        <v>2E+20</v>
      </c>
      <c r="I76">
        <v>19.355880754087401</v>
      </c>
      <c r="J76">
        <v>70.490337497390399</v>
      </c>
      <c r="K76">
        <v>283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42.144608162589741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0.50689760716925758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41.266839452854697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43.261092257362002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14.356812659243699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109.278485088034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285.3</v>
      </c>
      <c r="W76">
        <f>IF((DiscreteStatsTable[[#This Row],[RepsRequested]]&gt;1),DiscreteStatsTable[[#This Row],[HalfWidth]],DiscreteStatsTable[[#This Row],[BatchMeansHalfWidth]])</f>
        <v>0.18927867722499744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2">
      <c r="A77" t="s">
        <v>67</v>
      </c>
      <c r="B77" t="s">
        <v>70</v>
      </c>
      <c r="C77">
        <v>8</v>
      </c>
      <c r="D77" t="s">
        <v>74</v>
      </c>
      <c r="E77" t="s">
        <v>79</v>
      </c>
      <c r="F77" t="s">
        <v>76</v>
      </c>
      <c r="G77">
        <v>0</v>
      </c>
      <c r="H77">
        <v>2E+20</v>
      </c>
      <c r="I77">
        <v>0</v>
      </c>
      <c r="J77">
        <v>0</v>
      </c>
      <c r="K77">
        <v>283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285.3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2">
      <c r="A78" t="s">
        <v>67</v>
      </c>
      <c r="B78" t="s">
        <v>70</v>
      </c>
      <c r="C78">
        <v>8</v>
      </c>
      <c r="D78" t="s">
        <v>74</v>
      </c>
      <c r="E78" t="s">
        <v>80</v>
      </c>
      <c r="F78" t="s">
        <v>76</v>
      </c>
      <c r="G78">
        <v>36.3114089835153</v>
      </c>
      <c r="H78">
        <v>2E+20</v>
      </c>
      <c r="I78">
        <v>19.355880754087401</v>
      </c>
      <c r="J78">
        <v>52.336821608398601</v>
      </c>
      <c r="K78">
        <v>283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36.00428777459642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0.34275969383872451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35.158236096727201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36.707690403515898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14.2518779052622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59.774077085699403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285.3</v>
      </c>
      <c r="W78">
        <f>IF((DiscreteStatsTable[[#This Row],[RepsRequested]]&gt;1),DiscreteStatsTable[[#This Row],[HalfWidth]],DiscreteStatsTable[[#This Row],[BatchMeansHalfWidth]])</f>
        <v>0.12798857311270725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2">
      <c r="A79" t="s">
        <v>67</v>
      </c>
      <c r="B79" t="s">
        <v>70</v>
      </c>
      <c r="C79">
        <v>8</v>
      </c>
      <c r="D79" t="s">
        <v>74</v>
      </c>
      <c r="E79" t="s">
        <v>81</v>
      </c>
      <c r="F79" t="s">
        <v>76</v>
      </c>
      <c r="G79">
        <v>13.8560569665489</v>
      </c>
      <c r="H79">
        <v>2E+20</v>
      </c>
      <c r="I79">
        <v>0</v>
      </c>
      <c r="J79">
        <v>71.497261652598795</v>
      </c>
      <c r="K79">
        <v>283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13.621559896422417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0.39651575913774295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12.598242749972901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14.319051591609201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180.86047487093799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285.3</v>
      </c>
      <c r="W79">
        <f>IF((DiscreteStatsTable[[#This Row],[RepsRequested]]&gt;1),DiscreteStatsTable[[#This Row],[HalfWidth]],DiscreteStatsTable[[#This Row],[BatchMeansHalfWidth]])</f>
        <v>0.14806141778332987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2">
      <c r="A80" t="s">
        <v>67</v>
      </c>
      <c r="B80" t="s">
        <v>70</v>
      </c>
      <c r="C80">
        <v>9</v>
      </c>
      <c r="D80" t="s">
        <v>74</v>
      </c>
      <c r="E80" t="s">
        <v>75</v>
      </c>
      <c r="F80" t="s">
        <v>76</v>
      </c>
      <c r="G80">
        <v>0</v>
      </c>
      <c r="H80">
        <v>2E+20</v>
      </c>
      <c r="I80">
        <v>0</v>
      </c>
      <c r="J80">
        <v>0</v>
      </c>
      <c r="K80">
        <v>288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285.3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2">
      <c r="A81" t="s">
        <v>67</v>
      </c>
      <c r="B81" t="s">
        <v>70</v>
      </c>
      <c r="C81">
        <v>9</v>
      </c>
      <c r="D81" t="s">
        <v>74</v>
      </c>
      <c r="E81" t="s">
        <v>77</v>
      </c>
      <c r="F81" t="s">
        <v>76</v>
      </c>
      <c r="G81">
        <v>0</v>
      </c>
      <c r="H81">
        <v>2E+20</v>
      </c>
      <c r="I81">
        <v>0</v>
      </c>
      <c r="J81">
        <v>0</v>
      </c>
      <c r="K81">
        <v>288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285.3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2">
      <c r="A82" t="s">
        <v>67</v>
      </c>
      <c r="B82" t="s">
        <v>70</v>
      </c>
      <c r="C82">
        <v>9</v>
      </c>
      <c r="D82" t="s">
        <v>74</v>
      </c>
      <c r="E82" t="s">
        <v>78</v>
      </c>
      <c r="F82" t="s">
        <v>76</v>
      </c>
      <c r="G82">
        <v>41.744226236606998</v>
      </c>
      <c r="H82">
        <v>2E+20</v>
      </c>
      <c r="I82">
        <v>14.4841280389758</v>
      </c>
      <c r="J82">
        <v>75.190279680599801</v>
      </c>
      <c r="K82">
        <v>288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42.144608162589741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0.50689760716925758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41.266839452854697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43.261092257362002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14.356812659243699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109.278485088034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285.3</v>
      </c>
      <c r="W82">
        <f>IF((DiscreteStatsTable[[#This Row],[RepsRequested]]&gt;1),DiscreteStatsTable[[#This Row],[HalfWidth]],DiscreteStatsTable[[#This Row],[BatchMeansHalfWidth]])</f>
        <v>0.18927867722499744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2">
      <c r="A83" t="s">
        <v>67</v>
      </c>
      <c r="B83" t="s">
        <v>70</v>
      </c>
      <c r="C83">
        <v>9</v>
      </c>
      <c r="D83" t="s">
        <v>74</v>
      </c>
      <c r="E83" t="s">
        <v>79</v>
      </c>
      <c r="F83" t="s">
        <v>76</v>
      </c>
      <c r="G83">
        <v>0</v>
      </c>
      <c r="H83">
        <v>2E+20</v>
      </c>
      <c r="I83">
        <v>0</v>
      </c>
      <c r="J83">
        <v>0</v>
      </c>
      <c r="K83">
        <v>288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285.3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2">
      <c r="A84" t="s">
        <v>67</v>
      </c>
      <c r="B84" t="s">
        <v>70</v>
      </c>
      <c r="C84">
        <v>9</v>
      </c>
      <c r="D84" t="s">
        <v>74</v>
      </c>
      <c r="E84" t="s">
        <v>80</v>
      </c>
      <c r="F84" t="s">
        <v>76</v>
      </c>
      <c r="G84">
        <v>35.779400773827398</v>
      </c>
      <c r="H84">
        <v>2E+20</v>
      </c>
      <c r="I84">
        <v>14.4841280389758</v>
      </c>
      <c r="J84">
        <v>56.162973720784997</v>
      </c>
      <c r="K84">
        <v>288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36.00428777459642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0.34275969383872451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35.158236096727201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36.707690403515898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14.2518779052622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59.774077085699403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285.3</v>
      </c>
      <c r="W84">
        <f>IF((DiscreteStatsTable[[#This Row],[RepsRequested]]&gt;1),DiscreteStatsTable[[#This Row],[HalfWidth]],DiscreteStatsTable[[#This Row],[BatchMeansHalfWidth]])</f>
        <v>0.12798857311270725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2">
      <c r="A85" t="s">
        <v>67</v>
      </c>
      <c r="B85" t="s">
        <v>70</v>
      </c>
      <c r="C85">
        <v>9</v>
      </c>
      <c r="D85" t="s">
        <v>74</v>
      </c>
      <c r="E85" t="s">
        <v>81</v>
      </c>
      <c r="F85" t="s">
        <v>76</v>
      </c>
      <c r="G85">
        <v>13.7165540524352</v>
      </c>
      <c r="H85">
        <v>2E+20</v>
      </c>
      <c r="I85">
        <v>0</v>
      </c>
      <c r="J85">
        <v>84.008570607491905</v>
      </c>
      <c r="K85">
        <v>288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13.621559896422417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0.39651575913774295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12.598242749972901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14.319051591609201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180.86047487093799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285.3</v>
      </c>
      <c r="W85">
        <f>IF((DiscreteStatsTable[[#This Row],[RepsRequested]]&gt;1),DiscreteStatsTable[[#This Row],[HalfWidth]],DiscreteStatsTable[[#This Row],[BatchMeansHalfWidth]])</f>
        <v>0.14806141778332987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2">
      <c r="A86" t="s">
        <v>67</v>
      </c>
      <c r="B86" t="s">
        <v>70</v>
      </c>
      <c r="C86">
        <v>10</v>
      </c>
      <c r="D86" t="s">
        <v>74</v>
      </c>
      <c r="E86" t="s">
        <v>75</v>
      </c>
      <c r="F86" t="s">
        <v>76</v>
      </c>
      <c r="G86">
        <v>0</v>
      </c>
      <c r="H86">
        <v>2E+20</v>
      </c>
      <c r="I86">
        <v>0</v>
      </c>
      <c r="J86">
        <v>0</v>
      </c>
      <c r="K86">
        <v>278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285.3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2">
      <c r="A87" t="s">
        <v>67</v>
      </c>
      <c r="B87" t="s">
        <v>70</v>
      </c>
      <c r="C87">
        <v>10</v>
      </c>
      <c r="D87" t="s">
        <v>74</v>
      </c>
      <c r="E87" t="s">
        <v>77</v>
      </c>
      <c r="F87" t="s">
        <v>76</v>
      </c>
      <c r="G87">
        <v>0</v>
      </c>
      <c r="H87">
        <v>2E+20</v>
      </c>
      <c r="I87">
        <v>0</v>
      </c>
      <c r="J87">
        <v>0</v>
      </c>
      <c r="K87">
        <v>278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285.3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2">
      <c r="A88" t="s">
        <v>67</v>
      </c>
      <c r="B88" t="s">
        <v>70</v>
      </c>
      <c r="C88">
        <v>10</v>
      </c>
      <c r="D88" t="s">
        <v>74</v>
      </c>
      <c r="E88" t="s">
        <v>78</v>
      </c>
      <c r="F88" t="s">
        <v>76</v>
      </c>
      <c r="G88">
        <v>41.266839452854697</v>
      </c>
      <c r="H88">
        <v>2E+20</v>
      </c>
      <c r="I88">
        <v>19.4551020611495</v>
      </c>
      <c r="J88">
        <v>81.239006642262297</v>
      </c>
      <c r="K88">
        <v>278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42.144608162589741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0.50689760716925758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41.266839452854697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43.261092257362002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14.356812659243699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109.278485088034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285.3</v>
      </c>
      <c r="W88">
        <f>IF((DiscreteStatsTable[[#This Row],[RepsRequested]]&gt;1),DiscreteStatsTable[[#This Row],[HalfWidth]],DiscreteStatsTable[[#This Row],[BatchMeansHalfWidth]])</f>
        <v>0.18927867722499744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2">
      <c r="A89" t="s">
        <v>67</v>
      </c>
      <c r="B89" t="s">
        <v>70</v>
      </c>
      <c r="C89">
        <v>10</v>
      </c>
      <c r="D89" t="s">
        <v>74</v>
      </c>
      <c r="E89" t="s">
        <v>79</v>
      </c>
      <c r="F89" t="s">
        <v>76</v>
      </c>
      <c r="G89">
        <v>0</v>
      </c>
      <c r="H89">
        <v>2E+20</v>
      </c>
      <c r="I89">
        <v>0</v>
      </c>
      <c r="J89">
        <v>0</v>
      </c>
      <c r="K89">
        <v>278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285.3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2">
      <c r="A90" t="s">
        <v>67</v>
      </c>
      <c r="B90" t="s">
        <v>70</v>
      </c>
      <c r="C90">
        <v>10</v>
      </c>
      <c r="D90" t="s">
        <v>74</v>
      </c>
      <c r="E90" t="s">
        <v>80</v>
      </c>
      <c r="F90" t="s">
        <v>76</v>
      </c>
      <c r="G90">
        <v>35.411733530712603</v>
      </c>
      <c r="H90">
        <v>2E+20</v>
      </c>
      <c r="I90">
        <v>19.4551020611495</v>
      </c>
      <c r="J90">
        <v>53.374234983873698</v>
      </c>
      <c r="K90">
        <v>278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36.00428777459642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0.34275969383872451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35.158236096727201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36.707690403515898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14.2518779052622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59.774077085699403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285.3</v>
      </c>
      <c r="W90">
        <f>IF((DiscreteStatsTable[[#This Row],[RepsRequested]]&gt;1),DiscreteStatsTable[[#This Row],[HalfWidth]],DiscreteStatsTable[[#This Row],[BatchMeansHalfWidth]])</f>
        <v>0.12798857311270725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2">
      <c r="A91" t="s">
        <v>67</v>
      </c>
      <c r="B91" t="s">
        <v>70</v>
      </c>
      <c r="C91">
        <v>10</v>
      </c>
      <c r="D91" t="s">
        <v>74</v>
      </c>
      <c r="E91" t="s">
        <v>81</v>
      </c>
      <c r="F91" t="s">
        <v>76</v>
      </c>
      <c r="G91">
        <v>13.831120265988099</v>
      </c>
      <c r="H91">
        <v>2E+20</v>
      </c>
      <c r="I91">
        <v>0</v>
      </c>
      <c r="J91">
        <v>83.978318218272307</v>
      </c>
      <c r="K91">
        <v>278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13.621559896422417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0.39651575913774295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12.598242749972901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14.319051591609201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180.86047487093799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285.3</v>
      </c>
      <c r="W91">
        <f>IF((DiscreteStatsTable[[#This Row],[RepsRequested]]&gt;1),DiscreteStatsTable[[#This Row],[HalfWidth]],DiscreteStatsTable[[#This Row],[BatchMeansHalfWidth]])</f>
        <v>0.14806141778332987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2">
      <c r="A92" t="s">
        <v>67</v>
      </c>
      <c r="B92" t="s">
        <v>70</v>
      </c>
      <c r="C92">
        <v>11</v>
      </c>
      <c r="D92" t="s">
        <v>74</v>
      </c>
      <c r="E92" t="s">
        <v>75</v>
      </c>
      <c r="F92" t="s">
        <v>76</v>
      </c>
      <c r="G92">
        <v>0</v>
      </c>
      <c r="H92">
        <v>2E+20</v>
      </c>
      <c r="I92">
        <v>0</v>
      </c>
      <c r="J92">
        <v>0</v>
      </c>
      <c r="K92">
        <v>296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285.3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2">
      <c r="A93" t="s">
        <v>67</v>
      </c>
      <c r="B93" t="s">
        <v>70</v>
      </c>
      <c r="C93">
        <v>11</v>
      </c>
      <c r="D93" t="s">
        <v>74</v>
      </c>
      <c r="E93" t="s">
        <v>77</v>
      </c>
      <c r="F93" t="s">
        <v>76</v>
      </c>
      <c r="G93">
        <v>0</v>
      </c>
      <c r="H93">
        <v>2E+20</v>
      </c>
      <c r="I93">
        <v>0</v>
      </c>
      <c r="J93">
        <v>0</v>
      </c>
      <c r="K93">
        <v>296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285.3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2">
      <c r="A94" t="s">
        <v>67</v>
      </c>
      <c r="B94" t="s">
        <v>70</v>
      </c>
      <c r="C94">
        <v>11</v>
      </c>
      <c r="D94" t="s">
        <v>74</v>
      </c>
      <c r="E94" t="s">
        <v>78</v>
      </c>
      <c r="F94" t="s">
        <v>76</v>
      </c>
      <c r="G94">
        <v>42.109698544571401</v>
      </c>
      <c r="H94">
        <v>2E+20</v>
      </c>
      <c r="I94">
        <v>16.904883911605101</v>
      </c>
      <c r="J94">
        <v>68.069926161852393</v>
      </c>
      <c r="K94">
        <v>296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42.144608162589741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0.50689760716925758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41.266839452854697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43.261092257362002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14.356812659243699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109.278485088034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285.3</v>
      </c>
      <c r="W94">
        <f>IF((DiscreteStatsTable[[#This Row],[RepsRequested]]&gt;1),DiscreteStatsTable[[#This Row],[HalfWidth]],DiscreteStatsTable[[#This Row],[BatchMeansHalfWidth]])</f>
        <v>0.18927867722499744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2">
      <c r="A95" t="s">
        <v>67</v>
      </c>
      <c r="B95" t="s">
        <v>70</v>
      </c>
      <c r="C95">
        <v>11</v>
      </c>
      <c r="D95" t="s">
        <v>74</v>
      </c>
      <c r="E95" t="s">
        <v>79</v>
      </c>
      <c r="F95" t="s">
        <v>76</v>
      </c>
      <c r="G95">
        <v>0</v>
      </c>
      <c r="H95">
        <v>2E+20</v>
      </c>
      <c r="I95">
        <v>0</v>
      </c>
      <c r="J95">
        <v>0</v>
      </c>
      <c r="K95">
        <v>296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285.3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2">
      <c r="A96" t="s">
        <v>67</v>
      </c>
      <c r="B96" t="s">
        <v>70</v>
      </c>
      <c r="C96">
        <v>11</v>
      </c>
      <c r="D96" t="s">
        <v>74</v>
      </c>
      <c r="E96" t="s">
        <v>80</v>
      </c>
      <c r="F96" t="s">
        <v>76</v>
      </c>
      <c r="G96">
        <v>36.1068670625138</v>
      </c>
      <c r="H96">
        <v>2E+20</v>
      </c>
      <c r="I96">
        <v>15.392414474786101</v>
      </c>
      <c r="J96">
        <v>55.447576173919501</v>
      </c>
      <c r="K96">
        <v>296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36.00428777459642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0.34275969383872451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35.158236096727201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36.707690403515898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14.2518779052622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59.774077085699403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285.3</v>
      </c>
      <c r="W96">
        <f>IF((DiscreteStatsTable[[#This Row],[RepsRequested]]&gt;1),DiscreteStatsTable[[#This Row],[HalfWidth]],DiscreteStatsTable[[#This Row],[BatchMeansHalfWidth]])</f>
        <v>0.12798857311270725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2">
      <c r="A97" t="s">
        <v>67</v>
      </c>
      <c r="B97" t="s">
        <v>70</v>
      </c>
      <c r="C97">
        <v>11</v>
      </c>
      <c r="D97" t="s">
        <v>74</v>
      </c>
      <c r="E97" t="s">
        <v>81</v>
      </c>
      <c r="F97" t="s">
        <v>76</v>
      </c>
      <c r="G97">
        <v>13.245673892218299</v>
      </c>
      <c r="H97">
        <v>2E+20</v>
      </c>
      <c r="I97">
        <v>0</v>
      </c>
      <c r="J97">
        <v>61.036472616933501</v>
      </c>
      <c r="K97">
        <v>296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13.621559896422417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0.39651575913774295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12.598242749972901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14.319051591609201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180.86047487093799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285.3</v>
      </c>
      <c r="W97">
        <f>IF((DiscreteStatsTable[[#This Row],[RepsRequested]]&gt;1),DiscreteStatsTable[[#This Row],[HalfWidth]],DiscreteStatsTable[[#This Row],[BatchMeansHalfWidth]])</f>
        <v>0.14806141778332987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2">
      <c r="A98" t="s">
        <v>67</v>
      </c>
      <c r="B98" t="s">
        <v>70</v>
      </c>
      <c r="C98">
        <v>12</v>
      </c>
      <c r="D98" t="s">
        <v>74</v>
      </c>
      <c r="E98" t="s">
        <v>75</v>
      </c>
      <c r="F98" t="s">
        <v>76</v>
      </c>
      <c r="G98">
        <v>0</v>
      </c>
      <c r="H98">
        <v>2E+20</v>
      </c>
      <c r="I98">
        <v>0</v>
      </c>
      <c r="J98">
        <v>0</v>
      </c>
      <c r="K98">
        <v>299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285.3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2">
      <c r="A99" t="s">
        <v>67</v>
      </c>
      <c r="B99" t="s">
        <v>70</v>
      </c>
      <c r="C99">
        <v>12</v>
      </c>
      <c r="D99" t="s">
        <v>74</v>
      </c>
      <c r="E99" t="s">
        <v>77</v>
      </c>
      <c r="F99" t="s">
        <v>76</v>
      </c>
      <c r="G99">
        <v>0</v>
      </c>
      <c r="H99">
        <v>2E+20</v>
      </c>
      <c r="I99">
        <v>0</v>
      </c>
      <c r="J99">
        <v>0</v>
      </c>
      <c r="K99">
        <v>299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285.3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2">
      <c r="A100" t="s">
        <v>67</v>
      </c>
      <c r="B100" t="s">
        <v>70</v>
      </c>
      <c r="C100">
        <v>12</v>
      </c>
      <c r="D100" t="s">
        <v>74</v>
      </c>
      <c r="E100" t="s">
        <v>78</v>
      </c>
      <c r="F100" t="s">
        <v>76</v>
      </c>
      <c r="G100">
        <v>42.643288348218498</v>
      </c>
      <c r="H100">
        <v>2E+20</v>
      </c>
      <c r="I100">
        <v>18.139569883127599</v>
      </c>
      <c r="J100">
        <v>86.756271513893793</v>
      </c>
      <c r="K100">
        <v>299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42.144608162589741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41.266839452854697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43.261092257362002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14.356812659243699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109.278485088034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285.3</v>
      </c>
      <c r="W100">
        <f>IF((DiscreteStatsTable[[#This Row],[RepsRequested]]&gt;1),DiscreteStatsTable[[#This Row],[HalfWidth]],DiscreteStatsTable[[#This Row],[BatchMeansHalfWidth]])</f>
        <v>0.18927867722499744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2">
      <c r="A101" t="s">
        <v>67</v>
      </c>
      <c r="B101" t="s">
        <v>70</v>
      </c>
      <c r="C101">
        <v>12</v>
      </c>
      <c r="D101" t="s">
        <v>74</v>
      </c>
      <c r="E101" t="s">
        <v>79</v>
      </c>
      <c r="F101" t="s">
        <v>76</v>
      </c>
      <c r="G101">
        <v>0</v>
      </c>
      <c r="H101">
        <v>2E+20</v>
      </c>
      <c r="I101">
        <v>0</v>
      </c>
      <c r="J101">
        <v>0</v>
      </c>
      <c r="K101">
        <v>299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285.3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2">
      <c r="A102" t="s">
        <v>67</v>
      </c>
      <c r="B102" t="s">
        <v>70</v>
      </c>
      <c r="C102">
        <v>12</v>
      </c>
      <c r="D102" t="s">
        <v>74</v>
      </c>
      <c r="E102" t="s">
        <v>80</v>
      </c>
      <c r="F102" t="s">
        <v>76</v>
      </c>
      <c r="G102">
        <v>35.820331311040903</v>
      </c>
      <c r="H102">
        <v>2E+20</v>
      </c>
      <c r="I102">
        <v>18.139569883127599</v>
      </c>
      <c r="J102">
        <v>53.397881108101402</v>
      </c>
      <c r="K102">
        <v>299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36.00428777459642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35.158236096727201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36.707690403515898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14.2518779052622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59.774077085699403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285.3</v>
      </c>
      <c r="W102">
        <f>IF((DiscreteStatsTable[[#This Row],[RepsRequested]]&gt;1),DiscreteStatsTable[[#This Row],[HalfWidth]],DiscreteStatsTable[[#This Row],[BatchMeansHalfWidth]])</f>
        <v>0.12798857311270725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2">
      <c r="A103" t="s">
        <v>67</v>
      </c>
      <c r="B103" t="s">
        <v>70</v>
      </c>
      <c r="C103">
        <v>12</v>
      </c>
      <c r="D103" t="s">
        <v>74</v>
      </c>
      <c r="E103" t="s">
        <v>81</v>
      </c>
      <c r="F103" t="s">
        <v>76</v>
      </c>
      <c r="G103">
        <v>13.843981874184401</v>
      </c>
      <c r="H103">
        <v>2E+20</v>
      </c>
      <c r="I103">
        <v>0</v>
      </c>
      <c r="J103">
        <v>105.316749826483</v>
      </c>
      <c r="K103">
        <v>299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13.621559896422417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12.598242749972901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14.319051591609201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180.86047487093799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285.3</v>
      </c>
      <c r="W103">
        <f>IF((DiscreteStatsTable[[#This Row],[RepsRequested]]&gt;1),DiscreteStatsTable[[#This Row],[HalfWidth]],DiscreteStatsTable[[#This Row],[BatchMeansHalfWidth]])</f>
        <v>0.14806141778332987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2">
      <c r="A104" t="s">
        <v>67</v>
      </c>
      <c r="B104" t="s">
        <v>70</v>
      </c>
      <c r="C104">
        <v>13</v>
      </c>
      <c r="D104" t="s">
        <v>74</v>
      </c>
      <c r="E104" t="s">
        <v>75</v>
      </c>
      <c r="F104" t="s">
        <v>76</v>
      </c>
      <c r="G104">
        <v>0</v>
      </c>
      <c r="H104">
        <v>2E+20</v>
      </c>
      <c r="I104">
        <v>0</v>
      </c>
      <c r="J104">
        <v>0</v>
      </c>
      <c r="K104">
        <v>296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285.3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2">
      <c r="A105" t="s">
        <v>67</v>
      </c>
      <c r="B105" t="s">
        <v>70</v>
      </c>
      <c r="C105">
        <v>13</v>
      </c>
      <c r="D105" t="s">
        <v>74</v>
      </c>
      <c r="E105" t="s">
        <v>77</v>
      </c>
      <c r="F105" t="s">
        <v>76</v>
      </c>
      <c r="G105">
        <v>0</v>
      </c>
      <c r="H105">
        <v>2E+20</v>
      </c>
      <c r="I105">
        <v>0</v>
      </c>
      <c r="J105">
        <v>0</v>
      </c>
      <c r="K105">
        <v>296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285.3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2">
      <c r="A106" t="s">
        <v>67</v>
      </c>
      <c r="B106" t="s">
        <v>70</v>
      </c>
      <c r="C106">
        <v>13</v>
      </c>
      <c r="D106" t="s">
        <v>74</v>
      </c>
      <c r="E106" t="s">
        <v>78</v>
      </c>
      <c r="F106" t="s">
        <v>76</v>
      </c>
      <c r="G106">
        <v>42.7528545670244</v>
      </c>
      <c r="H106">
        <v>2E+20</v>
      </c>
      <c r="I106">
        <v>18.8499595700209</v>
      </c>
      <c r="J106">
        <v>75.381927513556704</v>
      </c>
      <c r="K106">
        <v>296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42.144608162589741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41.266839452854697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43.261092257362002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14.356812659243699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109.278485088034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285.3</v>
      </c>
      <c r="W106">
        <f>IF((DiscreteStatsTable[[#This Row],[RepsRequested]]&gt;1),DiscreteStatsTable[[#This Row],[HalfWidth]],DiscreteStatsTable[[#This Row],[BatchMeansHalfWidth]])</f>
        <v>0.18927867722499744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2">
      <c r="A107" t="s">
        <v>67</v>
      </c>
      <c r="B107" t="s">
        <v>70</v>
      </c>
      <c r="C107">
        <v>13</v>
      </c>
      <c r="D107" t="s">
        <v>74</v>
      </c>
      <c r="E107" t="s">
        <v>79</v>
      </c>
      <c r="F107" t="s">
        <v>76</v>
      </c>
      <c r="G107">
        <v>0</v>
      </c>
      <c r="H107">
        <v>2E+20</v>
      </c>
      <c r="I107">
        <v>0</v>
      </c>
      <c r="J107">
        <v>0</v>
      </c>
      <c r="K107">
        <v>296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285.3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2">
      <c r="A108" t="s">
        <v>67</v>
      </c>
      <c r="B108" t="s">
        <v>70</v>
      </c>
      <c r="C108">
        <v>13</v>
      </c>
      <c r="D108" t="s">
        <v>74</v>
      </c>
      <c r="E108" t="s">
        <v>80</v>
      </c>
      <c r="F108" t="s">
        <v>76</v>
      </c>
      <c r="G108">
        <v>36.642680644444802</v>
      </c>
      <c r="H108">
        <v>2E+20</v>
      </c>
      <c r="I108">
        <v>18.8499595700209</v>
      </c>
      <c r="J108">
        <v>54.211637325966002</v>
      </c>
      <c r="K108">
        <v>296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36.00428777459642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35.158236096727201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36.707690403515898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14.2518779052622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59.774077085699403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285.3</v>
      </c>
      <c r="W108">
        <f>IF((DiscreteStatsTable[[#This Row],[RepsRequested]]&gt;1),DiscreteStatsTable[[#This Row],[HalfWidth]],DiscreteStatsTable[[#This Row],[BatchMeansHalfWidth]])</f>
        <v>0.12798857311270725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2">
      <c r="A109" t="s">
        <v>67</v>
      </c>
      <c r="B109" t="s">
        <v>70</v>
      </c>
      <c r="C109">
        <v>13</v>
      </c>
      <c r="D109" t="s">
        <v>74</v>
      </c>
      <c r="E109" t="s">
        <v>81</v>
      </c>
      <c r="F109" t="s">
        <v>76</v>
      </c>
      <c r="G109">
        <v>13.3806420567562</v>
      </c>
      <c r="H109">
        <v>2E+20</v>
      </c>
      <c r="I109">
        <v>0</v>
      </c>
      <c r="J109">
        <v>72.303816858635102</v>
      </c>
      <c r="K109">
        <v>296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13.621559896422417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12.598242749972901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14.319051591609201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180.86047487093799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285.3</v>
      </c>
      <c r="W109">
        <f>IF((DiscreteStatsTable[[#This Row],[RepsRequested]]&gt;1),DiscreteStatsTable[[#This Row],[HalfWidth]],DiscreteStatsTable[[#This Row],[BatchMeansHalfWidth]])</f>
        <v>0.14806141778332987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2">
      <c r="A110" t="s">
        <v>67</v>
      </c>
      <c r="B110" t="s">
        <v>70</v>
      </c>
      <c r="C110">
        <v>14</v>
      </c>
      <c r="D110" t="s">
        <v>74</v>
      </c>
      <c r="E110" t="s">
        <v>75</v>
      </c>
      <c r="F110" t="s">
        <v>76</v>
      </c>
      <c r="G110">
        <v>0</v>
      </c>
      <c r="H110">
        <v>2E+20</v>
      </c>
      <c r="I110">
        <v>0</v>
      </c>
      <c r="J110">
        <v>0</v>
      </c>
      <c r="K110">
        <v>275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285.3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2">
      <c r="A111" t="s">
        <v>67</v>
      </c>
      <c r="B111" t="s">
        <v>70</v>
      </c>
      <c r="C111">
        <v>14</v>
      </c>
      <c r="D111" t="s">
        <v>74</v>
      </c>
      <c r="E111" t="s">
        <v>77</v>
      </c>
      <c r="F111" t="s">
        <v>76</v>
      </c>
      <c r="G111">
        <v>0</v>
      </c>
      <c r="H111">
        <v>2E+20</v>
      </c>
      <c r="I111">
        <v>0</v>
      </c>
      <c r="J111">
        <v>0</v>
      </c>
      <c r="K111">
        <v>275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285.3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2">
      <c r="A112" t="s">
        <v>67</v>
      </c>
      <c r="B112" t="s">
        <v>70</v>
      </c>
      <c r="C112">
        <v>14</v>
      </c>
      <c r="D112" t="s">
        <v>74</v>
      </c>
      <c r="E112" t="s">
        <v>78</v>
      </c>
      <c r="F112" t="s">
        <v>76</v>
      </c>
      <c r="G112">
        <v>42.815846828892703</v>
      </c>
      <c r="H112">
        <v>2E+20</v>
      </c>
      <c r="I112">
        <v>19.754420014121301</v>
      </c>
      <c r="J112">
        <v>88.436075266926295</v>
      </c>
      <c r="K112">
        <v>275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42.144608162589741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41.266839452854697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43.261092257362002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14.356812659243699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109.278485088034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285.3</v>
      </c>
      <c r="W112">
        <f>IF((DiscreteStatsTable[[#This Row],[RepsRequested]]&gt;1),DiscreteStatsTable[[#This Row],[HalfWidth]],DiscreteStatsTable[[#This Row],[BatchMeansHalfWidth]])</f>
        <v>0.18927867722499744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2">
      <c r="A113" t="s">
        <v>67</v>
      </c>
      <c r="B113" t="s">
        <v>70</v>
      </c>
      <c r="C113">
        <v>14</v>
      </c>
      <c r="D113" t="s">
        <v>74</v>
      </c>
      <c r="E113" t="s">
        <v>79</v>
      </c>
      <c r="F113" t="s">
        <v>76</v>
      </c>
      <c r="G113">
        <v>0</v>
      </c>
      <c r="H113">
        <v>2E+20</v>
      </c>
      <c r="I113">
        <v>0</v>
      </c>
      <c r="J113">
        <v>0</v>
      </c>
      <c r="K113">
        <v>275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285.3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2">
      <c r="A114" t="s">
        <v>67</v>
      </c>
      <c r="B114" t="s">
        <v>70</v>
      </c>
      <c r="C114">
        <v>14</v>
      </c>
      <c r="D114" t="s">
        <v>74</v>
      </c>
      <c r="E114" t="s">
        <v>80</v>
      </c>
      <c r="F114" t="s">
        <v>76</v>
      </c>
      <c r="G114">
        <v>36.2350228590794</v>
      </c>
      <c r="H114">
        <v>2E+20</v>
      </c>
      <c r="I114">
        <v>19.754420014121301</v>
      </c>
      <c r="J114">
        <v>55.612767966617099</v>
      </c>
      <c r="K114">
        <v>275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36.00428777459642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35.158236096727201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36.707690403515898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14.2518779052622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59.774077085699403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285.3</v>
      </c>
      <c r="W114">
        <f>IF((DiscreteStatsTable[[#This Row],[RepsRequested]]&gt;1),DiscreteStatsTable[[#This Row],[HalfWidth]],DiscreteStatsTable[[#This Row],[BatchMeansHalfWidth]])</f>
        <v>0.12798857311270725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2">
      <c r="A115" t="s">
        <v>67</v>
      </c>
      <c r="B115" t="s">
        <v>70</v>
      </c>
      <c r="C115">
        <v>14</v>
      </c>
      <c r="D115" t="s">
        <v>74</v>
      </c>
      <c r="E115" t="s">
        <v>81</v>
      </c>
      <c r="F115" t="s">
        <v>76</v>
      </c>
      <c r="G115">
        <v>14.319051591609201</v>
      </c>
      <c r="H115">
        <v>2E+20</v>
      </c>
      <c r="I115">
        <v>0</v>
      </c>
      <c r="J115">
        <v>104.940296586728</v>
      </c>
      <c r="K115">
        <v>275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13.621559896422417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12.598242749972901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14.319051591609201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180.86047487093799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285.3</v>
      </c>
      <c r="W115">
        <f>IF((DiscreteStatsTable[[#This Row],[RepsRequested]]&gt;1),DiscreteStatsTable[[#This Row],[HalfWidth]],DiscreteStatsTable[[#This Row],[BatchMeansHalfWidth]])</f>
        <v>0.14806141778332987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2">
      <c r="A116" t="s">
        <v>67</v>
      </c>
      <c r="B116" t="s">
        <v>70</v>
      </c>
      <c r="C116">
        <v>15</v>
      </c>
      <c r="D116" t="s">
        <v>74</v>
      </c>
      <c r="E116" t="s">
        <v>75</v>
      </c>
      <c r="F116" t="s">
        <v>76</v>
      </c>
      <c r="G116">
        <v>0</v>
      </c>
      <c r="H116">
        <v>2E+20</v>
      </c>
      <c r="I116">
        <v>0</v>
      </c>
      <c r="J116">
        <v>0</v>
      </c>
      <c r="K116">
        <v>277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285.3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2">
      <c r="A117" t="s">
        <v>67</v>
      </c>
      <c r="B117" t="s">
        <v>70</v>
      </c>
      <c r="C117">
        <v>15</v>
      </c>
      <c r="D117" t="s">
        <v>74</v>
      </c>
      <c r="E117" t="s">
        <v>77</v>
      </c>
      <c r="F117" t="s">
        <v>76</v>
      </c>
      <c r="G117">
        <v>0</v>
      </c>
      <c r="H117">
        <v>2E+20</v>
      </c>
      <c r="I117">
        <v>0</v>
      </c>
      <c r="J117">
        <v>0</v>
      </c>
      <c r="K117">
        <v>277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285.3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2">
      <c r="A118" t="s">
        <v>67</v>
      </c>
      <c r="B118" t="s">
        <v>70</v>
      </c>
      <c r="C118">
        <v>15</v>
      </c>
      <c r="D118" t="s">
        <v>74</v>
      </c>
      <c r="E118" t="s">
        <v>78</v>
      </c>
      <c r="F118" t="s">
        <v>76</v>
      </c>
      <c r="G118">
        <v>41.920241316613001</v>
      </c>
      <c r="H118">
        <v>2E+20</v>
      </c>
      <c r="I118">
        <v>20.7463109565449</v>
      </c>
      <c r="J118">
        <v>75.744309322086806</v>
      </c>
      <c r="K118">
        <v>277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42.144608162589741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41.266839452854697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43.261092257362002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14.356812659243699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109.278485088034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285.3</v>
      </c>
      <c r="W118">
        <f>IF((DiscreteStatsTable[[#This Row],[RepsRequested]]&gt;1),DiscreteStatsTable[[#This Row],[HalfWidth]],DiscreteStatsTable[[#This Row],[BatchMeansHalfWidth]])</f>
        <v>0.18927867722499744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2">
      <c r="A119" t="s">
        <v>67</v>
      </c>
      <c r="B119" t="s">
        <v>70</v>
      </c>
      <c r="C119">
        <v>15</v>
      </c>
      <c r="D119" t="s">
        <v>74</v>
      </c>
      <c r="E119" t="s">
        <v>79</v>
      </c>
      <c r="F119" t="s">
        <v>76</v>
      </c>
      <c r="G119">
        <v>0</v>
      </c>
      <c r="H119">
        <v>2E+20</v>
      </c>
      <c r="I119">
        <v>0</v>
      </c>
      <c r="J119">
        <v>0</v>
      </c>
      <c r="K119">
        <v>277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285.3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2">
      <c r="A120" t="s">
        <v>67</v>
      </c>
      <c r="B120" t="s">
        <v>70</v>
      </c>
      <c r="C120">
        <v>15</v>
      </c>
      <c r="D120" t="s">
        <v>74</v>
      </c>
      <c r="E120" t="s">
        <v>80</v>
      </c>
      <c r="F120" t="s">
        <v>76</v>
      </c>
      <c r="G120">
        <v>35.988885436394298</v>
      </c>
      <c r="H120">
        <v>2E+20</v>
      </c>
      <c r="I120">
        <v>18.8057141455477</v>
      </c>
      <c r="J120">
        <v>56.656575950742798</v>
      </c>
      <c r="K120">
        <v>277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36.00428777459642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35.158236096727201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36.707690403515898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14.2518779052622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59.774077085699403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285.3</v>
      </c>
      <c r="W120">
        <f>IF((DiscreteStatsTable[[#This Row],[RepsRequested]]&gt;1),DiscreteStatsTable[[#This Row],[HalfWidth]],DiscreteStatsTable[[#This Row],[BatchMeansHalfWidth]])</f>
        <v>0.12798857311270725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2">
      <c r="A121" t="s">
        <v>67</v>
      </c>
      <c r="B121" t="s">
        <v>70</v>
      </c>
      <c r="C121">
        <v>15</v>
      </c>
      <c r="D121" t="s">
        <v>74</v>
      </c>
      <c r="E121" t="s">
        <v>81</v>
      </c>
      <c r="F121" t="s">
        <v>76</v>
      </c>
      <c r="G121">
        <v>13.7264460039656</v>
      </c>
      <c r="H121">
        <v>2E+20</v>
      </c>
      <c r="I121">
        <v>0</v>
      </c>
      <c r="J121">
        <v>73.054347645858698</v>
      </c>
      <c r="K121">
        <v>277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13.621559896422417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12.598242749972901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14.319051591609201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180.86047487093799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285.3</v>
      </c>
      <c r="W121">
        <f>IF((DiscreteStatsTable[[#This Row],[RepsRequested]]&gt;1),DiscreteStatsTable[[#This Row],[HalfWidth]],DiscreteStatsTable[[#This Row],[BatchMeansHalfWidth]])</f>
        <v>0.14806141778332987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2">
      <c r="A122" t="s">
        <v>67</v>
      </c>
      <c r="B122" t="s">
        <v>70</v>
      </c>
      <c r="C122">
        <v>16</v>
      </c>
      <c r="D122" t="s">
        <v>74</v>
      </c>
      <c r="E122" t="s">
        <v>75</v>
      </c>
      <c r="F122" t="s">
        <v>76</v>
      </c>
      <c r="G122">
        <v>0</v>
      </c>
      <c r="H122">
        <v>2E+20</v>
      </c>
      <c r="I122">
        <v>0</v>
      </c>
      <c r="J122">
        <v>0</v>
      </c>
      <c r="K122">
        <v>280</v>
      </c>
      <c r="L12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cm="1">
        <f t="array" ref="V122">IFERROR(AVERAGE(IF((DiscreteStatsTable[GroupByKey]=DiscreteStatsTable[[#This Row],[GroupByKey]]),(DiscreteStatsTable[GroupByKey]=DiscreteStatsTable[[#This Row],[GroupByKey]])*DiscreteStatsTable[NumberObservations])),0)</f>
        <v>285.3</v>
      </c>
      <c r="W122">
        <f>IF((DiscreteStatsTable[[#This Row],[RepsRequested]]&gt;1),DiscreteStatsTable[[#This Row],[HalfWidth]],DiscreteStatsTable[[#This Row],[BatchMeansHalfWidth]])</f>
        <v>0</v>
      </c>
      <c r="X122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>
        <f>IF(DiscreteStatsTable[[#This Row],[RepsRequested]]=DiscreteStatsTable[[#This Row],[RepsWithStatObserved]],1,0)</f>
        <v>1</v>
      </c>
    </row>
    <row r="123" spans="1:25" x14ac:dyDescent="0.2">
      <c r="A123" t="s">
        <v>67</v>
      </c>
      <c r="B123" t="s">
        <v>70</v>
      </c>
      <c r="C123">
        <v>16</v>
      </c>
      <c r="D123" t="s">
        <v>74</v>
      </c>
      <c r="E123" t="s">
        <v>77</v>
      </c>
      <c r="F123" t="s">
        <v>76</v>
      </c>
      <c r="G123">
        <v>0</v>
      </c>
      <c r="H123">
        <v>2E+20</v>
      </c>
      <c r="I123">
        <v>0</v>
      </c>
      <c r="J123">
        <v>0</v>
      </c>
      <c r="K123">
        <v>280</v>
      </c>
      <c r="L12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cm="1">
        <f t="array" ref="V123">IFERROR(AVERAGE(IF((DiscreteStatsTable[GroupByKey]=DiscreteStatsTable[[#This Row],[GroupByKey]]),(DiscreteStatsTable[GroupByKey]=DiscreteStatsTable[[#This Row],[GroupByKey]])*DiscreteStatsTable[NumberObservations])),0)</f>
        <v>285.3</v>
      </c>
      <c r="W123">
        <f>IF((DiscreteStatsTable[[#This Row],[RepsRequested]]&gt;1),DiscreteStatsTable[[#This Row],[HalfWidth]],DiscreteStatsTable[[#This Row],[BatchMeansHalfWidth]])</f>
        <v>0</v>
      </c>
      <c r="X123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>
        <f>IF(DiscreteStatsTable[[#This Row],[RepsRequested]]=DiscreteStatsTable[[#This Row],[RepsWithStatObserved]],1,0)</f>
        <v>1</v>
      </c>
    </row>
    <row r="124" spans="1:25" x14ac:dyDescent="0.2">
      <c r="A124" t="s">
        <v>67</v>
      </c>
      <c r="B124" t="s">
        <v>70</v>
      </c>
      <c r="C124">
        <v>16</v>
      </c>
      <c r="D124" t="s">
        <v>74</v>
      </c>
      <c r="E124" t="s">
        <v>78</v>
      </c>
      <c r="F124" t="s">
        <v>76</v>
      </c>
      <c r="G124">
        <v>41.9327511647395</v>
      </c>
      <c r="H124">
        <v>2E+20</v>
      </c>
      <c r="I124">
        <v>19.884120443348799</v>
      </c>
      <c r="J124">
        <v>109.278485088034</v>
      </c>
      <c r="K124">
        <v>280</v>
      </c>
      <c r="L12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cm="1">
        <f t="array" ref="N124">IFERROR(AVERAGE(IF((DiscreteStatsTable[GroupByKey]=DiscreteStatsTable[[#This Row],[GroupByKey]]),(DiscreteStatsTable[GroupByKey]=DiscreteStatsTable[[#This Row],[GroupByKey]])*DiscreteStatsTable[Average])),0)</f>
        <v>42.144608162589741</v>
      </c>
      <c r="O124" cm="1">
        <f t="array" ref="O124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24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24" cm="1">
        <f t="array" ref="R124">MIN(IF((DiscreteStatsTable[GroupByKey]=DiscreteStatsTable[[#This Row],[GroupByKey]]),(DiscreteStatsTable[GroupByKey]=DiscreteStatsTable[[#This Row],[GroupByKey]])*DiscreteStatsTable[Average]))</f>
        <v>41.266839452854697</v>
      </c>
      <c r="S124" cm="1">
        <f t="array" ref="S124">MAX(IF((DiscreteStatsTable[GroupByKey]=DiscreteStatsTable[[#This Row],[GroupByKey]]),(DiscreteStatsTable[GroupByKey]=DiscreteStatsTable[[#This Row],[GroupByKey]])*DiscreteStatsTable[Average]))</f>
        <v>43.261092257362002</v>
      </c>
      <c r="T124" cm="1">
        <f t="array" ref="T124">MIN(IF((DiscreteStatsTable[GroupByKey]=DiscreteStatsTable[[#This Row],[GroupByKey]]),(DiscreteStatsTable[GroupByKey]=DiscreteStatsTable[[#This Row],[GroupByKey]])*DiscreteStatsTable[Minimum]))</f>
        <v>14.356812659243699</v>
      </c>
      <c r="U124" cm="1">
        <f t="array" ref="U124">MAX(IF((DiscreteStatsTable[GroupByKey]=DiscreteStatsTable[[#This Row],[GroupByKey]]),(DiscreteStatsTable[GroupByKey]=DiscreteStatsTable[[#This Row],[GroupByKey]])*DiscreteStatsTable[Maximum]))</f>
        <v>109.278485088034</v>
      </c>
      <c r="V124" cm="1">
        <f t="array" ref="V124">IFERROR(AVERAGE(IF((DiscreteStatsTable[GroupByKey]=DiscreteStatsTable[[#This Row],[GroupByKey]]),(DiscreteStatsTable[GroupByKey]=DiscreteStatsTable[[#This Row],[GroupByKey]])*DiscreteStatsTable[NumberObservations])),0)</f>
        <v>285.3</v>
      </c>
      <c r="W124">
        <f>IF((DiscreteStatsTable[[#This Row],[RepsRequested]]&gt;1),DiscreteStatsTable[[#This Row],[HalfWidth]],DiscreteStatsTable[[#This Row],[BatchMeansHalfWidth]])</f>
        <v>0.18927867722499744</v>
      </c>
      <c r="X124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>
        <f>IF(DiscreteStatsTable[[#This Row],[RepsRequested]]=DiscreteStatsTable[[#This Row],[RepsWithStatObserved]],1,0)</f>
        <v>1</v>
      </c>
    </row>
    <row r="125" spans="1:25" x14ac:dyDescent="0.2">
      <c r="A125" t="s">
        <v>67</v>
      </c>
      <c r="B125" t="s">
        <v>70</v>
      </c>
      <c r="C125">
        <v>16</v>
      </c>
      <c r="D125" t="s">
        <v>74</v>
      </c>
      <c r="E125" t="s">
        <v>79</v>
      </c>
      <c r="F125" t="s">
        <v>76</v>
      </c>
      <c r="G125">
        <v>0</v>
      </c>
      <c r="H125">
        <v>2E+20</v>
      </c>
      <c r="I125">
        <v>0</v>
      </c>
      <c r="J125">
        <v>0</v>
      </c>
      <c r="K125">
        <v>280</v>
      </c>
      <c r="L12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cm="1">
        <f t="array" ref="V125">IFERROR(AVERAGE(IF((DiscreteStatsTable[GroupByKey]=DiscreteStatsTable[[#This Row],[GroupByKey]]),(DiscreteStatsTable[GroupByKey]=DiscreteStatsTable[[#This Row],[GroupByKey]])*DiscreteStatsTable[NumberObservations])),0)</f>
        <v>285.3</v>
      </c>
      <c r="W125">
        <f>IF((DiscreteStatsTable[[#This Row],[RepsRequested]]&gt;1),DiscreteStatsTable[[#This Row],[HalfWidth]],DiscreteStatsTable[[#This Row],[BatchMeansHalfWidth]])</f>
        <v>0</v>
      </c>
      <c r="X12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>
        <f>IF(DiscreteStatsTable[[#This Row],[RepsRequested]]=DiscreteStatsTable[[#This Row],[RepsWithStatObserved]],1,0)</f>
        <v>1</v>
      </c>
    </row>
    <row r="126" spans="1:25" x14ac:dyDescent="0.2">
      <c r="A126" t="s">
        <v>67</v>
      </c>
      <c r="B126" t="s">
        <v>70</v>
      </c>
      <c r="C126">
        <v>16</v>
      </c>
      <c r="D126" t="s">
        <v>74</v>
      </c>
      <c r="E126" t="s">
        <v>80</v>
      </c>
      <c r="F126" t="s">
        <v>76</v>
      </c>
      <c r="G126">
        <v>35.893036711931103</v>
      </c>
      <c r="H126">
        <v>2E+20</v>
      </c>
      <c r="I126">
        <v>19.884120443348799</v>
      </c>
      <c r="J126">
        <v>59.029685998760698</v>
      </c>
      <c r="K126">
        <v>280</v>
      </c>
      <c r="L12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cm="1">
        <f t="array" ref="N126">IFERROR(AVERAGE(IF((DiscreteStatsTable[GroupByKey]=DiscreteStatsTable[[#This Row],[GroupByKey]]),(DiscreteStatsTable[GroupByKey]=DiscreteStatsTable[[#This Row],[GroupByKey]])*DiscreteStatsTable[Average])),0)</f>
        <v>36.00428777459642</v>
      </c>
      <c r="O126" cm="1">
        <f t="array" ref="O126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26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26" cm="1">
        <f t="array" ref="R126">MIN(IF((DiscreteStatsTable[GroupByKey]=DiscreteStatsTable[[#This Row],[GroupByKey]]),(DiscreteStatsTable[GroupByKey]=DiscreteStatsTable[[#This Row],[GroupByKey]])*DiscreteStatsTable[Average]))</f>
        <v>35.158236096727201</v>
      </c>
      <c r="S126" cm="1">
        <f t="array" ref="S126">MAX(IF((DiscreteStatsTable[GroupByKey]=DiscreteStatsTable[[#This Row],[GroupByKey]]),(DiscreteStatsTable[GroupByKey]=DiscreteStatsTable[[#This Row],[GroupByKey]])*DiscreteStatsTable[Average]))</f>
        <v>36.707690403515898</v>
      </c>
      <c r="T126" cm="1">
        <f t="array" ref="T126">MIN(IF((DiscreteStatsTable[GroupByKey]=DiscreteStatsTable[[#This Row],[GroupByKey]]),(DiscreteStatsTable[GroupByKey]=DiscreteStatsTable[[#This Row],[GroupByKey]])*DiscreteStatsTable[Minimum]))</f>
        <v>14.2518779052622</v>
      </c>
      <c r="U126" cm="1">
        <f t="array" ref="U126">MAX(IF((DiscreteStatsTable[GroupByKey]=DiscreteStatsTable[[#This Row],[GroupByKey]]),(DiscreteStatsTable[GroupByKey]=DiscreteStatsTable[[#This Row],[GroupByKey]])*DiscreteStatsTable[Maximum]))</f>
        <v>59.774077085699403</v>
      </c>
      <c r="V126" cm="1">
        <f t="array" ref="V126">IFERROR(AVERAGE(IF((DiscreteStatsTable[GroupByKey]=DiscreteStatsTable[[#This Row],[GroupByKey]]),(DiscreteStatsTable[GroupByKey]=DiscreteStatsTable[[#This Row],[GroupByKey]])*DiscreteStatsTable[NumberObservations])),0)</f>
        <v>285.3</v>
      </c>
      <c r="W126">
        <f>IF((DiscreteStatsTable[[#This Row],[RepsRequested]]&gt;1),DiscreteStatsTable[[#This Row],[HalfWidth]],DiscreteStatsTable[[#This Row],[BatchMeansHalfWidth]])</f>
        <v>0.12798857311270725</v>
      </c>
      <c r="X126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>
        <f>IF(DiscreteStatsTable[[#This Row],[RepsRequested]]=DiscreteStatsTable[[#This Row],[RepsWithStatObserved]],1,0)</f>
        <v>1</v>
      </c>
    </row>
    <row r="127" spans="1:25" x14ac:dyDescent="0.2">
      <c r="A127" t="s">
        <v>67</v>
      </c>
      <c r="B127" t="s">
        <v>70</v>
      </c>
      <c r="C127">
        <v>16</v>
      </c>
      <c r="D127" t="s">
        <v>74</v>
      </c>
      <c r="E127" t="s">
        <v>81</v>
      </c>
      <c r="F127" t="s">
        <v>76</v>
      </c>
      <c r="G127">
        <v>14.256677992383899</v>
      </c>
      <c r="H127">
        <v>2E+20</v>
      </c>
      <c r="I127">
        <v>0</v>
      </c>
      <c r="J127">
        <v>180.86047487093799</v>
      </c>
      <c r="K127">
        <v>280</v>
      </c>
      <c r="L12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cm="1">
        <f t="array" ref="N127">IFERROR(AVERAGE(IF((DiscreteStatsTable[GroupByKey]=DiscreteStatsTable[[#This Row],[GroupByKey]]),(DiscreteStatsTable[GroupByKey]=DiscreteStatsTable[[#This Row],[GroupByKey]])*DiscreteStatsTable[Average])),0)</f>
        <v>13.621559896422417</v>
      </c>
      <c r="O127" cm="1">
        <f t="array" ref="O127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27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27" cm="1">
        <f t="array" ref="R127">MIN(IF((DiscreteStatsTable[GroupByKey]=DiscreteStatsTable[[#This Row],[GroupByKey]]),(DiscreteStatsTable[GroupByKey]=DiscreteStatsTable[[#This Row],[GroupByKey]])*DiscreteStatsTable[Average]))</f>
        <v>12.598242749972901</v>
      </c>
      <c r="S127" cm="1">
        <f t="array" ref="S127">MAX(IF((DiscreteStatsTable[GroupByKey]=DiscreteStatsTable[[#This Row],[GroupByKey]]),(DiscreteStatsTable[GroupByKey]=DiscreteStatsTable[[#This Row],[GroupByKey]])*DiscreteStatsTable[Average]))</f>
        <v>14.319051591609201</v>
      </c>
      <c r="T127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cm="1">
        <f t="array" ref="U127">MAX(IF((DiscreteStatsTable[GroupByKey]=DiscreteStatsTable[[#This Row],[GroupByKey]]),(DiscreteStatsTable[GroupByKey]=DiscreteStatsTable[[#This Row],[GroupByKey]])*DiscreteStatsTable[Maximum]))</f>
        <v>180.86047487093799</v>
      </c>
      <c r="V127" cm="1">
        <f t="array" ref="V127">IFERROR(AVERAGE(IF((DiscreteStatsTable[GroupByKey]=DiscreteStatsTable[[#This Row],[GroupByKey]]),(DiscreteStatsTable[GroupByKey]=DiscreteStatsTable[[#This Row],[GroupByKey]])*DiscreteStatsTable[NumberObservations])),0)</f>
        <v>285.3</v>
      </c>
      <c r="W127">
        <f>IF((DiscreteStatsTable[[#This Row],[RepsRequested]]&gt;1),DiscreteStatsTable[[#This Row],[HalfWidth]],DiscreteStatsTable[[#This Row],[BatchMeansHalfWidth]])</f>
        <v>0.14806141778332987</v>
      </c>
      <c r="X127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>
        <f>IF(DiscreteStatsTable[[#This Row],[RepsRequested]]=DiscreteStatsTable[[#This Row],[RepsWithStatObserved]],1,0)</f>
        <v>1</v>
      </c>
    </row>
    <row r="128" spans="1:25" x14ac:dyDescent="0.2">
      <c r="A128" t="s">
        <v>67</v>
      </c>
      <c r="B128" t="s">
        <v>70</v>
      </c>
      <c r="C128">
        <v>17</v>
      </c>
      <c r="D128" t="s">
        <v>74</v>
      </c>
      <c r="E128" t="s">
        <v>75</v>
      </c>
      <c r="F128" t="s">
        <v>76</v>
      </c>
      <c r="G128">
        <v>0</v>
      </c>
      <c r="H128">
        <v>2E+20</v>
      </c>
      <c r="I128">
        <v>0</v>
      </c>
      <c r="J128">
        <v>0</v>
      </c>
      <c r="K128">
        <v>280</v>
      </c>
      <c r="L12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cm="1">
        <f t="array" ref="V128">IFERROR(AVERAGE(IF((DiscreteStatsTable[GroupByKey]=DiscreteStatsTable[[#This Row],[GroupByKey]]),(DiscreteStatsTable[GroupByKey]=DiscreteStatsTable[[#This Row],[GroupByKey]])*DiscreteStatsTable[NumberObservations])),0)</f>
        <v>285.3</v>
      </c>
      <c r="W128">
        <f>IF((DiscreteStatsTable[[#This Row],[RepsRequested]]&gt;1),DiscreteStatsTable[[#This Row],[HalfWidth]],DiscreteStatsTable[[#This Row],[BatchMeansHalfWidth]])</f>
        <v>0</v>
      </c>
      <c r="X128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>
        <f>IF(DiscreteStatsTable[[#This Row],[RepsRequested]]=DiscreteStatsTable[[#This Row],[RepsWithStatObserved]],1,0)</f>
        <v>1</v>
      </c>
    </row>
    <row r="129" spans="1:25" x14ac:dyDescent="0.2">
      <c r="A129" t="s">
        <v>67</v>
      </c>
      <c r="B129" t="s">
        <v>70</v>
      </c>
      <c r="C129">
        <v>17</v>
      </c>
      <c r="D129" t="s">
        <v>74</v>
      </c>
      <c r="E129" t="s">
        <v>77</v>
      </c>
      <c r="F129" t="s">
        <v>76</v>
      </c>
      <c r="G129">
        <v>0</v>
      </c>
      <c r="H129">
        <v>2E+20</v>
      </c>
      <c r="I129">
        <v>0</v>
      </c>
      <c r="J129">
        <v>0</v>
      </c>
      <c r="K129">
        <v>280</v>
      </c>
      <c r="L12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cm="1">
        <f t="array" ref="V129">IFERROR(AVERAGE(IF((DiscreteStatsTable[GroupByKey]=DiscreteStatsTable[[#This Row],[GroupByKey]]),(DiscreteStatsTable[GroupByKey]=DiscreteStatsTable[[#This Row],[GroupByKey]])*DiscreteStatsTable[NumberObservations])),0)</f>
        <v>285.3</v>
      </c>
      <c r="W129">
        <f>IF((DiscreteStatsTable[[#This Row],[RepsRequested]]&gt;1),DiscreteStatsTable[[#This Row],[HalfWidth]],DiscreteStatsTable[[#This Row],[BatchMeansHalfWidth]])</f>
        <v>0</v>
      </c>
      <c r="X129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>
        <f>IF(DiscreteStatsTable[[#This Row],[RepsRequested]]=DiscreteStatsTable[[#This Row],[RepsWithStatObserved]],1,0)</f>
        <v>1</v>
      </c>
    </row>
    <row r="130" spans="1:25" x14ac:dyDescent="0.2">
      <c r="A130" t="s">
        <v>67</v>
      </c>
      <c r="B130" t="s">
        <v>70</v>
      </c>
      <c r="C130">
        <v>17</v>
      </c>
      <c r="D130" t="s">
        <v>74</v>
      </c>
      <c r="E130" t="s">
        <v>78</v>
      </c>
      <c r="F130" t="s">
        <v>76</v>
      </c>
      <c r="G130">
        <v>41.991100341093599</v>
      </c>
      <c r="H130">
        <v>2E+20</v>
      </c>
      <c r="I130">
        <v>20.1486636848845</v>
      </c>
      <c r="J130">
        <v>71.684309171413105</v>
      </c>
      <c r="K130">
        <v>280</v>
      </c>
      <c r="L13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cm="1">
        <f t="array" ref="N130">IFERROR(AVERAGE(IF((DiscreteStatsTable[GroupByKey]=DiscreteStatsTable[[#This Row],[GroupByKey]]),(DiscreteStatsTable[GroupByKey]=DiscreteStatsTable[[#This Row],[GroupByKey]])*DiscreteStatsTable[Average])),0)</f>
        <v>42.144608162589741</v>
      </c>
      <c r="O130" cm="1">
        <f t="array" ref="O130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30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30" cm="1">
        <f t="array" ref="R130">MIN(IF((DiscreteStatsTable[GroupByKey]=DiscreteStatsTable[[#This Row],[GroupByKey]]),(DiscreteStatsTable[GroupByKey]=DiscreteStatsTable[[#This Row],[GroupByKey]])*DiscreteStatsTable[Average]))</f>
        <v>41.266839452854697</v>
      </c>
      <c r="S130" cm="1">
        <f t="array" ref="S130">MAX(IF((DiscreteStatsTable[GroupByKey]=DiscreteStatsTable[[#This Row],[GroupByKey]]),(DiscreteStatsTable[GroupByKey]=DiscreteStatsTable[[#This Row],[GroupByKey]])*DiscreteStatsTable[Average]))</f>
        <v>43.261092257362002</v>
      </c>
      <c r="T130" cm="1">
        <f t="array" ref="T130">MIN(IF((DiscreteStatsTable[GroupByKey]=DiscreteStatsTable[[#This Row],[GroupByKey]]),(DiscreteStatsTable[GroupByKey]=DiscreteStatsTable[[#This Row],[GroupByKey]])*DiscreteStatsTable[Minimum]))</f>
        <v>14.356812659243699</v>
      </c>
      <c r="U130" cm="1">
        <f t="array" ref="U130">MAX(IF((DiscreteStatsTable[GroupByKey]=DiscreteStatsTable[[#This Row],[GroupByKey]]),(DiscreteStatsTable[GroupByKey]=DiscreteStatsTable[[#This Row],[GroupByKey]])*DiscreteStatsTable[Maximum]))</f>
        <v>109.278485088034</v>
      </c>
      <c r="V130" cm="1">
        <f t="array" ref="V130">IFERROR(AVERAGE(IF((DiscreteStatsTable[GroupByKey]=DiscreteStatsTable[[#This Row],[GroupByKey]]),(DiscreteStatsTable[GroupByKey]=DiscreteStatsTable[[#This Row],[GroupByKey]])*DiscreteStatsTable[NumberObservations])),0)</f>
        <v>285.3</v>
      </c>
      <c r="W130">
        <f>IF((DiscreteStatsTable[[#This Row],[RepsRequested]]&gt;1),DiscreteStatsTable[[#This Row],[HalfWidth]],DiscreteStatsTable[[#This Row],[BatchMeansHalfWidth]])</f>
        <v>0.18927867722499744</v>
      </c>
      <c r="X130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>
        <f>IF(DiscreteStatsTable[[#This Row],[RepsRequested]]=DiscreteStatsTable[[#This Row],[RepsWithStatObserved]],1,0)</f>
        <v>1</v>
      </c>
    </row>
    <row r="131" spans="1:25" x14ac:dyDescent="0.2">
      <c r="A131" t="s">
        <v>67</v>
      </c>
      <c r="B131" t="s">
        <v>70</v>
      </c>
      <c r="C131">
        <v>17</v>
      </c>
      <c r="D131" t="s">
        <v>74</v>
      </c>
      <c r="E131" t="s">
        <v>79</v>
      </c>
      <c r="F131" t="s">
        <v>76</v>
      </c>
      <c r="G131">
        <v>0</v>
      </c>
      <c r="H131">
        <v>2E+20</v>
      </c>
      <c r="I131">
        <v>0</v>
      </c>
      <c r="J131">
        <v>0</v>
      </c>
      <c r="K131">
        <v>280</v>
      </c>
      <c r="L13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cm="1">
        <f t="array" ref="V131">IFERROR(AVERAGE(IF((DiscreteStatsTable[GroupByKey]=DiscreteStatsTable[[#This Row],[GroupByKey]]),(DiscreteStatsTable[GroupByKey]=DiscreteStatsTable[[#This Row],[GroupByKey]])*DiscreteStatsTable[NumberObservations])),0)</f>
        <v>285.3</v>
      </c>
      <c r="W131">
        <f>IF((DiscreteStatsTable[[#This Row],[RepsRequested]]&gt;1),DiscreteStatsTable[[#This Row],[HalfWidth]],DiscreteStatsTable[[#This Row],[BatchMeansHalfWidth]])</f>
        <v>0</v>
      </c>
      <c r="X131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>
        <f>IF(DiscreteStatsTable[[#This Row],[RepsRequested]]=DiscreteStatsTable[[#This Row],[RepsWithStatObserved]],1,0)</f>
        <v>1</v>
      </c>
    </row>
    <row r="132" spans="1:25" x14ac:dyDescent="0.2">
      <c r="A132" t="s">
        <v>67</v>
      </c>
      <c r="B132" t="s">
        <v>70</v>
      </c>
      <c r="C132">
        <v>17</v>
      </c>
      <c r="D132" t="s">
        <v>74</v>
      </c>
      <c r="E132" t="s">
        <v>80</v>
      </c>
      <c r="F132" t="s">
        <v>76</v>
      </c>
      <c r="G132">
        <v>35.969034551146301</v>
      </c>
      <c r="H132">
        <v>2E+20</v>
      </c>
      <c r="I132">
        <v>20.1486636848845</v>
      </c>
      <c r="J132">
        <v>56.965292683870501</v>
      </c>
      <c r="K132">
        <v>280</v>
      </c>
      <c r="L13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cm="1">
        <f t="array" ref="N132">IFERROR(AVERAGE(IF((DiscreteStatsTable[GroupByKey]=DiscreteStatsTable[[#This Row],[GroupByKey]]),(DiscreteStatsTable[GroupByKey]=DiscreteStatsTable[[#This Row],[GroupByKey]])*DiscreteStatsTable[Average])),0)</f>
        <v>36.00428777459642</v>
      </c>
      <c r="O132" cm="1">
        <f t="array" ref="O132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32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32" cm="1">
        <f t="array" ref="R132">MIN(IF((DiscreteStatsTable[GroupByKey]=DiscreteStatsTable[[#This Row],[GroupByKey]]),(DiscreteStatsTable[GroupByKey]=DiscreteStatsTable[[#This Row],[GroupByKey]])*DiscreteStatsTable[Average]))</f>
        <v>35.158236096727201</v>
      </c>
      <c r="S132" cm="1">
        <f t="array" ref="S132">MAX(IF((DiscreteStatsTable[GroupByKey]=DiscreteStatsTable[[#This Row],[GroupByKey]]),(DiscreteStatsTable[GroupByKey]=DiscreteStatsTable[[#This Row],[GroupByKey]])*DiscreteStatsTable[Average]))</f>
        <v>36.707690403515898</v>
      </c>
      <c r="T132" cm="1">
        <f t="array" ref="T132">MIN(IF((DiscreteStatsTable[GroupByKey]=DiscreteStatsTable[[#This Row],[GroupByKey]]),(DiscreteStatsTable[GroupByKey]=DiscreteStatsTable[[#This Row],[GroupByKey]])*DiscreteStatsTable[Minimum]))</f>
        <v>14.2518779052622</v>
      </c>
      <c r="U132" cm="1">
        <f t="array" ref="U132">MAX(IF((DiscreteStatsTable[GroupByKey]=DiscreteStatsTable[[#This Row],[GroupByKey]]),(DiscreteStatsTable[GroupByKey]=DiscreteStatsTable[[#This Row],[GroupByKey]])*DiscreteStatsTable[Maximum]))</f>
        <v>59.774077085699403</v>
      </c>
      <c r="V132" cm="1">
        <f t="array" ref="V132">IFERROR(AVERAGE(IF((DiscreteStatsTable[GroupByKey]=DiscreteStatsTable[[#This Row],[GroupByKey]]),(DiscreteStatsTable[GroupByKey]=DiscreteStatsTable[[#This Row],[GroupByKey]])*DiscreteStatsTable[NumberObservations])),0)</f>
        <v>285.3</v>
      </c>
      <c r="W132">
        <f>IF((DiscreteStatsTable[[#This Row],[RepsRequested]]&gt;1),DiscreteStatsTable[[#This Row],[HalfWidth]],DiscreteStatsTable[[#This Row],[BatchMeansHalfWidth]])</f>
        <v>0.12798857311270725</v>
      </c>
      <c r="X132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>
        <f>IF(DiscreteStatsTable[[#This Row],[RepsRequested]]=DiscreteStatsTable[[#This Row],[RepsWithStatObserved]],1,0)</f>
        <v>1</v>
      </c>
    </row>
    <row r="133" spans="1:25" x14ac:dyDescent="0.2">
      <c r="A133" t="s">
        <v>67</v>
      </c>
      <c r="B133" t="s">
        <v>70</v>
      </c>
      <c r="C133">
        <v>17</v>
      </c>
      <c r="D133" t="s">
        <v>74</v>
      </c>
      <c r="E133" t="s">
        <v>81</v>
      </c>
      <c r="F133" t="s">
        <v>76</v>
      </c>
      <c r="G133">
        <v>13.7113513740437</v>
      </c>
      <c r="H133">
        <v>2E+20</v>
      </c>
      <c r="I133">
        <v>0</v>
      </c>
      <c r="J133">
        <v>75.080613333643896</v>
      </c>
      <c r="K133">
        <v>280</v>
      </c>
      <c r="L13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cm="1">
        <f t="array" ref="N133">IFERROR(AVERAGE(IF((DiscreteStatsTable[GroupByKey]=DiscreteStatsTable[[#This Row],[GroupByKey]]),(DiscreteStatsTable[GroupByKey]=DiscreteStatsTable[[#This Row],[GroupByKey]])*DiscreteStatsTable[Average])),0)</f>
        <v>13.621559896422417</v>
      </c>
      <c r="O133" cm="1">
        <f t="array" ref="O133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33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33" cm="1">
        <f t="array" ref="R133">MIN(IF((DiscreteStatsTable[GroupByKey]=DiscreteStatsTable[[#This Row],[GroupByKey]]),(DiscreteStatsTable[GroupByKey]=DiscreteStatsTable[[#This Row],[GroupByKey]])*DiscreteStatsTable[Average]))</f>
        <v>12.598242749972901</v>
      </c>
      <c r="S133" cm="1">
        <f t="array" ref="S133">MAX(IF((DiscreteStatsTable[GroupByKey]=DiscreteStatsTable[[#This Row],[GroupByKey]]),(DiscreteStatsTable[GroupByKey]=DiscreteStatsTable[[#This Row],[GroupByKey]])*DiscreteStatsTable[Average]))</f>
        <v>14.319051591609201</v>
      </c>
      <c r="T133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cm="1">
        <f t="array" ref="U133">MAX(IF((DiscreteStatsTable[GroupByKey]=DiscreteStatsTable[[#This Row],[GroupByKey]]),(DiscreteStatsTable[GroupByKey]=DiscreteStatsTable[[#This Row],[GroupByKey]])*DiscreteStatsTable[Maximum]))</f>
        <v>180.86047487093799</v>
      </c>
      <c r="V133" cm="1">
        <f t="array" ref="V133">IFERROR(AVERAGE(IF((DiscreteStatsTable[GroupByKey]=DiscreteStatsTable[[#This Row],[GroupByKey]]),(DiscreteStatsTable[GroupByKey]=DiscreteStatsTable[[#This Row],[GroupByKey]])*DiscreteStatsTable[NumberObservations])),0)</f>
        <v>285.3</v>
      </c>
      <c r="W133">
        <f>IF((DiscreteStatsTable[[#This Row],[RepsRequested]]&gt;1),DiscreteStatsTable[[#This Row],[HalfWidth]],DiscreteStatsTable[[#This Row],[BatchMeansHalfWidth]])</f>
        <v>0.14806141778332987</v>
      </c>
      <c r="X133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>
        <f>IF(DiscreteStatsTable[[#This Row],[RepsRequested]]=DiscreteStatsTable[[#This Row],[RepsWithStatObserved]],1,0)</f>
        <v>1</v>
      </c>
    </row>
    <row r="134" spans="1:25" x14ac:dyDescent="0.2">
      <c r="A134" t="s">
        <v>67</v>
      </c>
      <c r="B134" t="s">
        <v>70</v>
      </c>
      <c r="C134">
        <v>18</v>
      </c>
      <c r="D134" t="s">
        <v>74</v>
      </c>
      <c r="E134" t="s">
        <v>75</v>
      </c>
      <c r="F134" t="s">
        <v>76</v>
      </c>
      <c r="G134">
        <v>0</v>
      </c>
      <c r="H134">
        <v>2E+20</v>
      </c>
      <c r="I134">
        <v>0</v>
      </c>
      <c r="J134">
        <v>0</v>
      </c>
      <c r="K134">
        <v>286</v>
      </c>
      <c r="L13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cm="1">
        <f t="array" ref="V134">IFERROR(AVERAGE(IF((DiscreteStatsTable[GroupByKey]=DiscreteStatsTable[[#This Row],[GroupByKey]]),(DiscreteStatsTable[GroupByKey]=DiscreteStatsTable[[#This Row],[GroupByKey]])*DiscreteStatsTable[NumberObservations])),0)</f>
        <v>285.3</v>
      </c>
      <c r="W134">
        <f>IF((DiscreteStatsTable[[#This Row],[RepsRequested]]&gt;1),DiscreteStatsTable[[#This Row],[HalfWidth]],DiscreteStatsTable[[#This Row],[BatchMeansHalfWidth]])</f>
        <v>0</v>
      </c>
      <c r="X134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>
        <f>IF(DiscreteStatsTable[[#This Row],[RepsRequested]]=DiscreteStatsTable[[#This Row],[RepsWithStatObserved]],1,0)</f>
        <v>1</v>
      </c>
    </row>
    <row r="135" spans="1:25" x14ac:dyDescent="0.2">
      <c r="A135" t="s">
        <v>67</v>
      </c>
      <c r="B135" t="s">
        <v>70</v>
      </c>
      <c r="C135">
        <v>18</v>
      </c>
      <c r="D135" t="s">
        <v>74</v>
      </c>
      <c r="E135" t="s">
        <v>77</v>
      </c>
      <c r="F135" t="s">
        <v>76</v>
      </c>
      <c r="G135">
        <v>0</v>
      </c>
      <c r="H135">
        <v>2E+20</v>
      </c>
      <c r="I135">
        <v>0</v>
      </c>
      <c r="J135">
        <v>0</v>
      </c>
      <c r="K135">
        <v>286</v>
      </c>
      <c r="L13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cm="1">
        <f t="array" ref="V135">IFERROR(AVERAGE(IF((DiscreteStatsTable[GroupByKey]=DiscreteStatsTable[[#This Row],[GroupByKey]]),(DiscreteStatsTable[GroupByKey]=DiscreteStatsTable[[#This Row],[GroupByKey]])*DiscreteStatsTable[NumberObservations])),0)</f>
        <v>285.3</v>
      </c>
      <c r="W135">
        <f>IF((DiscreteStatsTable[[#This Row],[RepsRequested]]&gt;1),DiscreteStatsTable[[#This Row],[HalfWidth]],DiscreteStatsTable[[#This Row],[BatchMeansHalfWidth]])</f>
        <v>0</v>
      </c>
      <c r="X13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>
        <f>IF(DiscreteStatsTable[[#This Row],[RepsRequested]]=DiscreteStatsTable[[#This Row],[RepsWithStatObserved]],1,0)</f>
        <v>1</v>
      </c>
    </row>
    <row r="136" spans="1:25" x14ac:dyDescent="0.2">
      <c r="A136" t="s">
        <v>67</v>
      </c>
      <c r="B136" t="s">
        <v>70</v>
      </c>
      <c r="C136">
        <v>18</v>
      </c>
      <c r="D136" t="s">
        <v>74</v>
      </c>
      <c r="E136" t="s">
        <v>78</v>
      </c>
      <c r="F136" t="s">
        <v>76</v>
      </c>
      <c r="G136">
        <v>42.251478952588897</v>
      </c>
      <c r="H136">
        <v>2E+20</v>
      </c>
      <c r="I136">
        <v>17.1832177688751</v>
      </c>
      <c r="J136">
        <v>82.779770161636904</v>
      </c>
      <c r="K136">
        <v>286</v>
      </c>
      <c r="L13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cm="1">
        <f t="array" ref="N136">IFERROR(AVERAGE(IF((DiscreteStatsTable[GroupByKey]=DiscreteStatsTable[[#This Row],[GroupByKey]]),(DiscreteStatsTable[GroupByKey]=DiscreteStatsTable[[#This Row],[GroupByKey]])*DiscreteStatsTable[Average])),0)</f>
        <v>42.144608162589741</v>
      </c>
      <c r="O136" cm="1">
        <f t="array" ref="O136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36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36" cm="1">
        <f t="array" ref="R136">MIN(IF((DiscreteStatsTable[GroupByKey]=DiscreteStatsTable[[#This Row],[GroupByKey]]),(DiscreteStatsTable[GroupByKey]=DiscreteStatsTable[[#This Row],[GroupByKey]])*DiscreteStatsTable[Average]))</f>
        <v>41.266839452854697</v>
      </c>
      <c r="S136" cm="1">
        <f t="array" ref="S136">MAX(IF((DiscreteStatsTable[GroupByKey]=DiscreteStatsTable[[#This Row],[GroupByKey]]),(DiscreteStatsTable[GroupByKey]=DiscreteStatsTable[[#This Row],[GroupByKey]])*DiscreteStatsTable[Average]))</f>
        <v>43.261092257362002</v>
      </c>
      <c r="T136" cm="1">
        <f t="array" ref="T136">MIN(IF((DiscreteStatsTable[GroupByKey]=DiscreteStatsTable[[#This Row],[GroupByKey]]),(DiscreteStatsTable[GroupByKey]=DiscreteStatsTable[[#This Row],[GroupByKey]])*DiscreteStatsTable[Minimum]))</f>
        <v>14.356812659243699</v>
      </c>
      <c r="U136" cm="1">
        <f t="array" ref="U136">MAX(IF((DiscreteStatsTable[GroupByKey]=DiscreteStatsTable[[#This Row],[GroupByKey]]),(DiscreteStatsTable[GroupByKey]=DiscreteStatsTable[[#This Row],[GroupByKey]])*DiscreteStatsTable[Maximum]))</f>
        <v>109.278485088034</v>
      </c>
      <c r="V136" cm="1">
        <f t="array" ref="V136">IFERROR(AVERAGE(IF((DiscreteStatsTable[GroupByKey]=DiscreteStatsTable[[#This Row],[GroupByKey]]),(DiscreteStatsTable[GroupByKey]=DiscreteStatsTable[[#This Row],[GroupByKey]])*DiscreteStatsTable[NumberObservations])),0)</f>
        <v>285.3</v>
      </c>
      <c r="W136">
        <f>IF((DiscreteStatsTable[[#This Row],[RepsRequested]]&gt;1),DiscreteStatsTable[[#This Row],[HalfWidth]],DiscreteStatsTable[[#This Row],[BatchMeansHalfWidth]])</f>
        <v>0.18927867722499744</v>
      </c>
      <c r="X136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>
        <f>IF(DiscreteStatsTable[[#This Row],[RepsRequested]]=DiscreteStatsTable[[#This Row],[RepsWithStatObserved]],1,0)</f>
        <v>1</v>
      </c>
    </row>
    <row r="137" spans="1:25" x14ac:dyDescent="0.2">
      <c r="A137" t="s">
        <v>67</v>
      </c>
      <c r="B137" t="s">
        <v>70</v>
      </c>
      <c r="C137">
        <v>18</v>
      </c>
      <c r="D137" t="s">
        <v>74</v>
      </c>
      <c r="E137" t="s">
        <v>79</v>
      </c>
      <c r="F137" t="s">
        <v>76</v>
      </c>
      <c r="G137">
        <v>0</v>
      </c>
      <c r="H137">
        <v>2E+20</v>
      </c>
      <c r="I137">
        <v>0</v>
      </c>
      <c r="J137">
        <v>0</v>
      </c>
      <c r="K137">
        <v>286</v>
      </c>
      <c r="L13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cm="1">
        <f t="array" ref="V137">IFERROR(AVERAGE(IF((DiscreteStatsTable[GroupByKey]=DiscreteStatsTable[[#This Row],[GroupByKey]]),(DiscreteStatsTable[GroupByKey]=DiscreteStatsTable[[#This Row],[GroupByKey]])*DiscreteStatsTable[NumberObservations])),0)</f>
        <v>285.3</v>
      </c>
      <c r="W137">
        <f>IF((DiscreteStatsTable[[#This Row],[RepsRequested]]&gt;1),DiscreteStatsTable[[#This Row],[HalfWidth]],DiscreteStatsTable[[#This Row],[BatchMeansHalfWidth]])</f>
        <v>0</v>
      </c>
      <c r="X137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>
        <f>IF(DiscreteStatsTable[[#This Row],[RepsRequested]]=DiscreteStatsTable[[#This Row],[RepsWithStatObserved]],1,0)</f>
        <v>1</v>
      </c>
    </row>
    <row r="138" spans="1:25" x14ac:dyDescent="0.2">
      <c r="A138" t="s">
        <v>67</v>
      </c>
      <c r="B138" t="s">
        <v>70</v>
      </c>
      <c r="C138">
        <v>18</v>
      </c>
      <c r="D138" t="s">
        <v>74</v>
      </c>
      <c r="E138" t="s">
        <v>80</v>
      </c>
      <c r="F138" t="s">
        <v>76</v>
      </c>
      <c r="G138">
        <v>36.1952056868463</v>
      </c>
      <c r="H138">
        <v>2E+20</v>
      </c>
      <c r="I138">
        <v>17.1832177688751</v>
      </c>
      <c r="J138">
        <v>52.5308074489201</v>
      </c>
      <c r="K138">
        <v>286</v>
      </c>
      <c r="L13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cm="1">
        <f t="array" ref="N138">IFERROR(AVERAGE(IF((DiscreteStatsTable[GroupByKey]=DiscreteStatsTable[[#This Row],[GroupByKey]]),(DiscreteStatsTable[GroupByKey]=DiscreteStatsTable[[#This Row],[GroupByKey]])*DiscreteStatsTable[Average])),0)</f>
        <v>36.00428777459642</v>
      </c>
      <c r="O138" cm="1">
        <f t="array" ref="O138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38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38" cm="1">
        <f t="array" ref="R138">MIN(IF((DiscreteStatsTable[GroupByKey]=DiscreteStatsTable[[#This Row],[GroupByKey]]),(DiscreteStatsTable[GroupByKey]=DiscreteStatsTable[[#This Row],[GroupByKey]])*DiscreteStatsTable[Average]))</f>
        <v>35.158236096727201</v>
      </c>
      <c r="S138" cm="1">
        <f t="array" ref="S138">MAX(IF((DiscreteStatsTable[GroupByKey]=DiscreteStatsTable[[#This Row],[GroupByKey]]),(DiscreteStatsTable[GroupByKey]=DiscreteStatsTable[[#This Row],[GroupByKey]])*DiscreteStatsTable[Average]))</f>
        <v>36.707690403515898</v>
      </c>
      <c r="T138" cm="1">
        <f t="array" ref="T138">MIN(IF((DiscreteStatsTable[GroupByKey]=DiscreteStatsTable[[#This Row],[GroupByKey]]),(DiscreteStatsTable[GroupByKey]=DiscreteStatsTable[[#This Row],[GroupByKey]])*DiscreteStatsTable[Minimum]))</f>
        <v>14.2518779052622</v>
      </c>
      <c r="U138" cm="1">
        <f t="array" ref="U138">MAX(IF((DiscreteStatsTable[GroupByKey]=DiscreteStatsTable[[#This Row],[GroupByKey]]),(DiscreteStatsTable[GroupByKey]=DiscreteStatsTable[[#This Row],[GroupByKey]])*DiscreteStatsTable[Maximum]))</f>
        <v>59.774077085699403</v>
      </c>
      <c r="V138" cm="1">
        <f t="array" ref="V138">IFERROR(AVERAGE(IF((DiscreteStatsTable[GroupByKey]=DiscreteStatsTable[[#This Row],[GroupByKey]]),(DiscreteStatsTable[GroupByKey]=DiscreteStatsTable[[#This Row],[GroupByKey]])*DiscreteStatsTable[NumberObservations])),0)</f>
        <v>285.3</v>
      </c>
      <c r="W138">
        <f>IF((DiscreteStatsTable[[#This Row],[RepsRequested]]&gt;1),DiscreteStatsTable[[#This Row],[HalfWidth]],DiscreteStatsTable[[#This Row],[BatchMeansHalfWidth]])</f>
        <v>0.12798857311270725</v>
      </c>
      <c r="X138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>
        <f>IF(DiscreteStatsTable[[#This Row],[RepsRequested]]=DiscreteStatsTable[[#This Row],[RepsWithStatObserved]],1,0)</f>
        <v>1</v>
      </c>
    </row>
    <row r="139" spans="1:25" x14ac:dyDescent="0.2">
      <c r="A139" t="s">
        <v>67</v>
      </c>
      <c r="B139" t="s">
        <v>70</v>
      </c>
      <c r="C139">
        <v>18</v>
      </c>
      <c r="D139" t="s">
        <v>74</v>
      </c>
      <c r="E139" t="s">
        <v>81</v>
      </c>
      <c r="F139" t="s">
        <v>76</v>
      </c>
      <c r="G139">
        <v>13.7042652642552</v>
      </c>
      <c r="H139">
        <v>2E+20</v>
      </c>
      <c r="I139">
        <v>0</v>
      </c>
      <c r="J139">
        <v>83.468426318608195</v>
      </c>
      <c r="K139">
        <v>286</v>
      </c>
      <c r="L13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cm="1">
        <f t="array" ref="N139">IFERROR(AVERAGE(IF((DiscreteStatsTable[GroupByKey]=DiscreteStatsTable[[#This Row],[GroupByKey]]),(DiscreteStatsTable[GroupByKey]=DiscreteStatsTable[[#This Row],[GroupByKey]])*DiscreteStatsTable[Average])),0)</f>
        <v>13.621559896422417</v>
      </c>
      <c r="O139" cm="1">
        <f t="array" ref="O139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39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39" cm="1">
        <f t="array" ref="R139">MIN(IF((DiscreteStatsTable[GroupByKey]=DiscreteStatsTable[[#This Row],[GroupByKey]]),(DiscreteStatsTable[GroupByKey]=DiscreteStatsTable[[#This Row],[GroupByKey]])*DiscreteStatsTable[Average]))</f>
        <v>12.598242749972901</v>
      </c>
      <c r="S139" cm="1">
        <f t="array" ref="S139">MAX(IF((DiscreteStatsTable[GroupByKey]=DiscreteStatsTable[[#This Row],[GroupByKey]]),(DiscreteStatsTable[GroupByKey]=DiscreteStatsTable[[#This Row],[GroupByKey]])*DiscreteStatsTable[Average]))</f>
        <v>14.319051591609201</v>
      </c>
      <c r="T139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cm="1">
        <f t="array" ref="U139">MAX(IF((DiscreteStatsTable[GroupByKey]=DiscreteStatsTable[[#This Row],[GroupByKey]]),(DiscreteStatsTable[GroupByKey]=DiscreteStatsTable[[#This Row],[GroupByKey]])*DiscreteStatsTable[Maximum]))</f>
        <v>180.86047487093799</v>
      </c>
      <c r="V139" cm="1">
        <f t="array" ref="V139">IFERROR(AVERAGE(IF((DiscreteStatsTable[GroupByKey]=DiscreteStatsTable[[#This Row],[GroupByKey]]),(DiscreteStatsTable[GroupByKey]=DiscreteStatsTable[[#This Row],[GroupByKey]])*DiscreteStatsTable[NumberObservations])),0)</f>
        <v>285.3</v>
      </c>
      <c r="W139">
        <f>IF((DiscreteStatsTable[[#This Row],[RepsRequested]]&gt;1),DiscreteStatsTable[[#This Row],[HalfWidth]],DiscreteStatsTable[[#This Row],[BatchMeansHalfWidth]])</f>
        <v>0.14806141778332987</v>
      </c>
      <c r="X139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>
        <f>IF(DiscreteStatsTable[[#This Row],[RepsRequested]]=DiscreteStatsTable[[#This Row],[RepsWithStatObserved]],1,0)</f>
        <v>1</v>
      </c>
    </row>
    <row r="140" spans="1:25" x14ac:dyDescent="0.2">
      <c r="A140" t="s">
        <v>67</v>
      </c>
      <c r="B140" t="s">
        <v>70</v>
      </c>
      <c r="C140">
        <v>19</v>
      </c>
      <c r="D140" t="s">
        <v>74</v>
      </c>
      <c r="E140" t="s">
        <v>75</v>
      </c>
      <c r="F140" t="s">
        <v>76</v>
      </c>
      <c r="G140">
        <v>0</v>
      </c>
      <c r="H140">
        <v>2E+20</v>
      </c>
      <c r="I140">
        <v>0</v>
      </c>
      <c r="J140">
        <v>0</v>
      </c>
      <c r="K140">
        <v>289</v>
      </c>
      <c r="L14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cm="1">
        <f t="array" ref="V140">IFERROR(AVERAGE(IF((DiscreteStatsTable[GroupByKey]=DiscreteStatsTable[[#This Row],[GroupByKey]]),(DiscreteStatsTable[GroupByKey]=DiscreteStatsTable[[#This Row],[GroupByKey]])*DiscreteStatsTable[NumberObservations])),0)</f>
        <v>285.3</v>
      </c>
      <c r="W140">
        <f>IF((DiscreteStatsTable[[#This Row],[RepsRequested]]&gt;1),DiscreteStatsTable[[#This Row],[HalfWidth]],DiscreteStatsTable[[#This Row],[BatchMeansHalfWidth]])</f>
        <v>0</v>
      </c>
      <c r="X140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>
        <f>IF(DiscreteStatsTable[[#This Row],[RepsRequested]]=DiscreteStatsTable[[#This Row],[RepsWithStatObserved]],1,0)</f>
        <v>1</v>
      </c>
    </row>
    <row r="141" spans="1:25" x14ac:dyDescent="0.2">
      <c r="A141" t="s">
        <v>67</v>
      </c>
      <c r="B141" t="s">
        <v>70</v>
      </c>
      <c r="C141">
        <v>19</v>
      </c>
      <c r="D141" t="s">
        <v>74</v>
      </c>
      <c r="E141" t="s">
        <v>77</v>
      </c>
      <c r="F141" t="s">
        <v>76</v>
      </c>
      <c r="G141">
        <v>0</v>
      </c>
      <c r="H141">
        <v>2E+20</v>
      </c>
      <c r="I141">
        <v>0</v>
      </c>
      <c r="J141">
        <v>0</v>
      </c>
      <c r="K141">
        <v>289</v>
      </c>
      <c r="L14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cm="1">
        <f t="array" ref="V141">IFERROR(AVERAGE(IF((DiscreteStatsTable[GroupByKey]=DiscreteStatsTable[[#This Row],[GroupByKey]]),(DiscreteStatsTable[GroupByKey]=DiscreteStatsTable[[#This Row],[GroupByKey]])*DiscreteStatsTable[NumberObservations])),0)</f>
        <v>285.3</v>
      </c>
      <c r="W141">
        <f>IF((DiscreteStatsTable[[#This Row],[RepsRequested]]&gt;1),DiscreteStatsTable[[#This Row],[HalfWidth]],DiscreteStatsTable[[#This Row],[BatchMeansHalfWidth]])</f>
        <v>0</v>
      </c>
      <c r="X141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>
        <f>IF(DiscreteStatsTable[[#This Row],[RepsRequested]]=DiscreteStatsTable[[#This Row],[RepsWithStatObserved]],1,0)</f>
        <v>1</v>
      </c>
    </row>
    <row r="142" spans="1:25" x14ac:dyDescent="0.2">
      <c r="A142" t="s">
        <v>67</v>
      </c>
      <c r="B142" t="s">
        <v>70</v>
      </c>
      <c r="C142">
        <v>19</v>
      </c>
      <c r="D142" t="s">
        <v>74</v>
      </c>
      <c r="E142" t="s">
        <v>78</v>
      </c>
      <c r="F142" t="s">
        <v>76</v>
      </c>
      <c r="G142">
        <v>42.230750450937101</v>
      </c>
      <c r="H142">
        <v>2E+20</v>
      </c>
      <c r="I142">
        <v>18.572481691055099</v>
      </c>
      <c r="J142">
        <v>76.837395572616103</v>
      </c>
      <c r="K142">
        <v>289</v>
      </c>
      <c r="L14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cm="1">
        <f t="array" ref="N142">IFERROR(AVERAGE(IF((DiscreteStatsTable[GroupByKey]=DiscreteStatsTable[[#This Row],[GroupByKey]]),(DiscreteStatsTable[GroupByKey]=DiscreteStatsTable[[#This Row],[GroupByKey]])*DiscreteStatsTable[Average])),0)</f>
        <v>42.144608162589741</v>
      </c>
      <c r="O142" cm="1">
        <f t="array" ref="O142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42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42" cm="1">
        <f t="array" ref="R142">MIN(IF((DiscreteStatsTable[GroupByKey]=DiscreteStatsTable[[#This Row],[GroupByKey]]),(DiscreteStatsTable[GroupByKey]=DiscreteStatsTable[[#This Row],[GroupByKey]])*DiscreteStatsTable[Average]))</f>
        <v>41.266839452854697</v>
      </c>
      <c r="S142" cm="1">
        <f t="array" ref="S142">MAX(IF((DiscreteStatsTable[GroupByKey]=DiscreteStatsTable[[#This Row],[GroupByKey]]),(DiscreteStatsTable[GroupByKey]=DiscreteStatsTable[[#This Row],[GroupByKey]])*DiscreteStatsTable[Average]))</f>
        <v>43.261092257362002</v>
      </c>
      <c r="T142" cm="1">
        <f t="array" ref="T142">MIN(IF((DiscreteStatsTable[GroupByKey]=DiscreteStatsTable[[#This Row],[GroupByKey]]),(DiscreteStatsTable[GroupByKey]=DiscreteStatsTable[[#This Row],[GroupByKey]])*DiscreteStatsTable[Minimum]))</f>
        <v>14.356812659243699</v>
      </c>
      <c r="U142" cm="1">
        <f t="array" ref="U142">MAX(IF((DiscreteStatsTable[GroupByKey]=DiscreteStatsTable[[#This Row],[GroupByKey]]),(DiscreteStatsTable[GroupByKey]=DiscreteStatsTable[[#This Row],[GroupByKey]])*DiscreteStatsTable[Maximum]))</f>
        <v>109.278485088034</v>
      </c>
      <c r="V142" cm="1">
        <f t="array" ref="V142">IFERROR(AVERAGE(IF((DiscreteStatsTable[GroupByKey]=DiscreteStatsTable[[#This Row],[GroupByKey]]),(DiscreteStatsTable[GroupByKey]=DiscreteStatsTable[[#This Row],[GroupByKey]])*DiscreteStatsTable[NumberObservations])),0)</f>
        <v>285.3</v>
      </c>
      <c r="W142">
        <f>IF((DiscreteStatsTable[[#This Row],[RepsRequested]]&gt;1),DiscreteStatsTable[[#This Row],[HalfWidth]],DiscreteStatsTable[[#This Row],[BatchMeansHalfWidth]])</f>
        <v>0.18927867722499744</v>
      </c>
      <c r="X142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>
        <f>IF(DiscreteStatsTable[[#This Row],[RepsRequested]]=DiscreteStatsTable[[#This Row],[RepsWithStatObserved]],1,0)</f>
        <v>1</v>
      </c>
    </row>
    <row r="143" spans="1:25" x14ac:dyDescent="0.2">
      <c r="A143" t="s">
        <v>67</v>
      </c>
      <c r="B143" t="s">
        <v>70</v>
      </c>
      <c r="C143">
        <v>19</v>
      </c>
      <c r="D143" t="s">
        <v>74</v>
      </c>
      <c r="E143" t="s">
        <v>79</v>
      </c>
      <c r="F143" t="s">
        <v>76</v>
      </c>
      <c r="G143">
        <v>0</v>
      </c>
      <c r="H143">
        <v>2E+20</v>
      </c>
      <c r="I143">
        <v>0</v>
      </c>
      <c r="J143">
        <v>0</v>
      </c>
      <c r="K143">
        <v>289</v>
      </c>
      <c r="L14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cm="1">
        <f t="array" ref="V143">IFERROR(AVERAGE(IF((DiscreteStatsTable[GroupByKey]=DiscreteStatsTable[[#This Row],[GroupByKey]]),(DiscreteStatsTable[GroupByKey]=DiscreteStatsTable[[#This Row],[GroupByKey]])*DiscreteStatsTable[NumberObservations])),0)</f>
        <v>285.3</v>
      </c>
      <c r="W143">
        <f>IF((DiscreteStatsTable[[#This Row],[RepsRequested]]&gt;1),DiscreteStatsTable[[#This Row],[HalfWidth]],DiscreteStatsTable[[#This Row],[BatchMeansHalfWidth]])</f>
        <v>0</v>
      </c>
      <c r="X143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>
        <f>IF(DiscreteStatsTable[[#This Row],[RepsRequested]]=DiscreteStatsTable[[#This Row],[RepsWithStatObserved]],1,0)</f>
        <v>1</v>
      </c>
    </row>
    <row r="144" spans="1:25" x14ac:dyDescent="0.2">
      <c r="A144" t="s">
        <v>67</v>
      </c>
      <c r="B144" t="s">
        <v>70</v>
      </c>
      <c r="C144">
        <v>19</v>
      </c>
      <c r="D144" t="s">
        <v>74</v>
      </c>
      <c r="E144" t="s">
        <v>80</v>
      </c>
      <c r="F144" t="s">
        <v>76</v>
      </c>
      <c r="G144">
        <v>36.024618536124798</v>
      </c>
      <c r="H144">
        <v>2E+20</v>
      </c>
      <c r="I144">
        <v>18.572481691055099</v>
      </c>
      <c r="J144">
        <v>56.259144722721402</v>
      </c>
      <c r="K144">
        <v>289</v>
      </c>
      <c r="L14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cm="1">
        <f t="array" ref="N144">IFERROR(AVERAGE(IF((DiscreteStatsTable[GroupByKey]=DiscreteStatsTable[[#This Row],[GroupByKey]]),(DiscreteStatsTable[GroupByKey]=DiscreteStatsTable[[#This Row],[GroupByKey]])*DiscreteStatsTable[Average])),0)</f>
        <v>36.00428777459642</v>
      </c>
      <c r="O144" cm="1">
        <f t="array" ref="O144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44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44" cm="1">
        <f t="array" ref="R144">MIN(IF((DiscreteStatsTable[GroupByKey]=DiscreteStatsTable[[#This Row],[GroupByKey]]),(DiscreteStatsTable[GroupByKey]=DiscreteStatsTable[[#This Row],[GroupByKey]])*DiscreteStatsTable[Average]))</f>
        <v>35.158236096727201</v>
      </c>
      <c r="S144" cm="1">
        <f t="array" ref="S144">MAX(IF((DiscreteStatsTable[GroupByKey]=DiscreteStatsTable[[#This Row],[GroupByKey]]),(DiscreteStatsTable[GroupByKey]=DiscreteStatsTable[[#This Row],[GroupByKey]])*DiscreteStatsTable[Average]))</f>
        <v>36.707690403515898</v>
      </c>
      <c r="T144" cm="1">
        <f t="array" ref="T144">MIN(IF((DiscreteStatsTable[GroupByKey]=DiscreteStatsTable[[#This Row],[GroupByKey]]),(DiscreteStatsTable[GroupByKey]=DiscreteStatsTable[[#This Row],[GroupByKey]])*DiscreteStatsTable[Minimum]))</f>
        <v>14.2518779052622</v>
      </c>
      <c r="U144" cm="1">
        <f t="array" ref="U144">MAX(IF((DiscreteStatsTable[GroupByKey]=DiscreteStatsTable[[#This Row],[GroupByKey]]),(DiscreteStatsTable[GroupByKey]=DiscreteStatsTable[[#This Row],[GroupByKey]])*DiscreteStatsTable[Maximum]))</f>
        <v>59.774077085699403</v>
      </c>
      <c r="V144" cm="1">
        <f t="array" ref="V144">IFERROR(AVERAGE(IF((DiscreteStatsTable[GroupByKey]=DiscreteStatsTable[[#This Row],[GroupByKey]]),(DiscreteStatsTable[GroupByKey]=DiscreteStatsTable[[#This Row],[GroupByKey]])*DiscreteStatsTable[NumberObservations])),0)</f>
        <v>285.3</v>
      </c>
      <c r="W144">
        <f>IF((DiscreteStatsTable[[#This Row],[RepsRequested]]&gt;1),DiscreteStatsTable[[#This Row],[HalfWidth]],DiscreteStatsTable[[#This Row],[BatchMeansHalfWidth]])</f>
        <v>0.12798857311270725</v>
      </c>
      <c r="X144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>
        <f>IF(DiscreteStatsTable[[#This Row],[RepsRequested]]=DiscreteStatsTable[[#This Row],[RepsWithStatObserved]],1,0)</f>
        <v>1</v>
      </c>
    </row>
    <row r="145" spans="1:25" x14ac:dyDescent="0.2">
      <c r="A145" t="s">
        <v>67</v>
      </c>
      <c r="B145" t="s">
        <v>70</v>
      </c>
      <c r="C145">
        <v>19</v>
      </c>
      <c r="D145" t="s">
        <v>74</v>
      </c>
      <c r="E145" t="s">
        <v>81</v>
      </c>
      <c r="F145" t="s">
        <v>76</v>
      </c>
      <c r="G145">
        <v>13.436718065699599</v>
      </c>
      <c r="H145">
        <v>2E+20</v>
      </c>
      <c r="I145">
        <v>0</v>
      </c>
      <c r="J145">
        <v>78.456930382593399</v>
      </c>
      <c r="K145">
        <v>289</v>
      </c>
      <c r="L14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cm="1">
        <f t="array" ref="N145">IFERROR(AVERAGE(IF((DiscreteStatsTable[GroupByKey]=DiscreteStatsTable[[#This Row],[GroupByKey]]),(DiscreteStatsTable[GroupByKey]=DiscreteStatsTable[[#This Row],[GroupByKey]])*DiscreteStatsTable[Average])),0)</f>
        <v>13.621559896422417</v>
      </c>
      <c r="O145" cm="1">
        <f t="array" ref="O145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4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45" cm="1">
        <f t="array" ref="R145">MIN(IF((DiscreteStatsTable[GroupByKey]=DiscreteStatsTable[[#This Row],[GroupByKey]]),(DiscreteStatsTable[GroupByKey]=DiscreteStatsTable[[#This Row],[GroupByKey]])*DiscreteStatsTable[Average]))</f>
        <v>12.598242749972901</v>
      </c>
      <c r="S145" cm="1">
        <f t="array" ref="S145">MAX(IF((DiscreteStatsTable[GroupByKey]=DiscreteStatsTable[[#This Row],[GroupByKey]]),(DiscreteStatsTable[GroupByKey]=DiscreteStatsTable[[#This Row],[GroupByKey]])*DiscreteStatsTable[Average]))</f>
        <v>14.319051591609201</v>
      </c>
      <c r="T14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cm="1">
        <f t="array" ref="U145">MAX(IF((DiscreteStatsTable[GroupByKey]=DiscreteStatsTable[[#This Row],[GroupByKey]]),(DiscreteStatsTable[GroupByKey]=DiscreteStatsTable[[#This Row],[GroupByKey]])*DiscreteStatsTable[Maximum]))</f>
        <v>180.86047487093799</v>
      </c>
      <c r="V145" cm="1">
        <f t="array" ref="V145">IFERROR(AVERAGE(IF((DiscreteStatsTable[GroupByKey]=DiscreteStatsTable[[#This Row],[GroupByKey]]),(DiscreteStatsTable[GroupByKey]=DiscreteStatsTable[[#This Row],[GroupByKey]])*DiscreteStatsTable[NumberObservations])),0)</f>
        <v>285.3</v>
      </c>
      <c r="W145">
        <f>IF((DiscreteStatsTable[[#This Row],[RepsRequested]]&gt;1),DiscreteStatsTable[[#This Row],[HalfWidth]],DiscreteStatsTable[[#This Row],[BatchMeansHalfWidth]])</f>
        <v>0.14806141778332987</v>
      </c>
      <c r="X14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>
        <f>IF(DiscreteStatsTable[[#This Row],[RepsRequested]]=DiscreteStatsTable[[#This Row],[RepsWithStatObserved]],1,0)</f>
        <v>1</v>
      </c>
    </row>
    <row r="146" spans="1:25" x14ac:dyDescent="0.2">
      <c r="A146" t="s">
        <v>67</v>
      </c>
      <c r="B146" t="s">
        <v>70</v>
      </c>
      <c r="C146">
        <v>20</v>
      </c>
      <c r="D146" t="s">
        <v>74</v>
      </c>
      <c r="E146" t="s">
        <v>75</v>
      </c>
      <c r="F146" t="s">
        <v>76</v>
      </c>
      <c r="G146">
        <v>0</v>
      </c>
      <c r="H146">
        <v>2E+20</v>
      </c>
      <c r="I146">
        <v>0</v>
      </c>
      <c r="J146">
        <v>0</v>
      </c>
      <c r="K146">
        <v>273</v>
      </c>
      <c r="L14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cm="1">
        <f t="array" ref="V146">IFERROR(AVERAGE(IF((DiscreteStatsTable[GroupByKey]=DiscreteStatsTable[[#This Row],[GroupByKey]]),(DiscreteStatsTable[GroupByKey]=DiscreteStatsTable[[#This Row],[GroupByKey]])*DiscreteStatsTable[NumberObservations])),0)</f>
        <v>285.3</v>
      </c>
      <c r="W146">
        <f>IF((DiscreteStatsTable[[#This Row],[RepsRequested]]&gt;1),DiscreteStatsTable[[#This Row],[HalfWidth]],DiscreteStatsTable[[#This Row],[BatchMeansHalfWidth]])</f>
        <v>0</v>
      </c>
      <c r="X146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>
        <f>IF(DiscreteStatsTable[[#This Row],[RepsRequested]]=DiscreteStatsTable[[#This Row],[RepsWithStatObserved]],1,0)</f>
        <v>1</v>
      </c>
    </row>
    <row r="147" spans="1:25" x14ac:dyDescent="0.2">
      <c r="A147" t="s">
        <v>67</v>
      </c>
      <c r="B147" t="s">
        <v>70</v>
      </c>
      <c r="C147">
        <v>20</v>
      </c>
      <c r="D147" t="s">
        <v>74</v>
      </c>
      <c r="E147" t="s">
        <v>77</v>
      </c>
      <c r="F147" t="s">
        <v>76</v>
      </c>
      <c r="G147">
        <v>0</v>
      </c>
      <c r="H147">
        <v>2E+20</v>
      </c>
      <c r="I147">
        <v>0</v>
      </c>
      <c r="J147">
        <v>0</v>
      </c>
      <c r="K147">
        <v>273</v>
      </c>
      <c r="L14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cm="1">
        <f t="array" ref="V147">IFERROR(AVERAGE(IF((DiscreteStatsTable[GroupByKey]=DiscreteStatsTable[[#This Row],[GroupByKey]]),(DiscreteStatsTable[GroupByKey]=DiscreteStatsTable[[#This Row],[GroupByKey]])*DiscreteStatsTable[NumberObservations])),0)</f>
        <v>285.3</v>
      </c>
      <c r="W147">
        <f>IF((DiscreteStatsTable[[#This Row],[RepsRequested]]&gt;1),DiscreteStatsTable[[#This Row],[HalfWidth]],DiscreteStatsTable[[#This Row],[BatchMeansHalfWidth]])</f>
        <v>0</v>
      </c>
      <c r="X147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>
        <f>IF(DiscreteStatsTable[[#This Row],[RepsRequested]]=DiscreteStatsTable[[#This Row],[RepsWithStatObserved]],1,0)</f>
        <v>1</v>
      </c>
    </row>
    <row r="148" spans="1:25" x14ac:dyDescent="0.2">
      <c r="A148" t="s">
        <v>67</v>
      </c>
      <c r="B148" t="s">
        <v>70</v>
      </c>
      <c r="C148">
        <v>20</v>
      </c>
      <c r="D148" t="s">
        <v>74</v>
      </c>
      <c r="E148" t="s">
        <v>78</v>
      </c>
      <c r="F148" t="s">
        <v>76</v>
      </c>
      <c r="G148">
        <v>42.413860005454303</v>
      </c>
      <c r="H148">
        <v>2E+20</v>
      </c>
      <c r="I148">
        <v>20.260146316112699</v>
      </c>
      <c r="J148">
        <v>92.292763292348695</v>
      </c>
      <c r="K148">
        <v>273</v>
      </c>
      <c r="L14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cm="1">
        <f t="array" ref="N148">IFERROR(AVERAGE(IF((DiscreteStatsTable[GroupByKey]=DiscreteStatsTable[[#This Row],[GroupByKey]]),(DiscreteStatsTable[GroupByKey]=DiscreteStatsTable[[#This Row],[GroupByKey]])*DiscreteStatsTable[Average])),0)</f>
        <v>42.144608162589741</v>
      </c>
      <c r="O148" cm="1">
        <f t="array" ref="O148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48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48" cm="1">
        <f t="array" ref="R148">MIN(IF((DiscreteStatsTable[GroupByKey]=DiscreteStatsTable[[#This Row],[GroupByKey]]),(DiscreteStatsTable[GroupByKey]=DiscreteStatsTable[[#This Row],[GroupByKey]])*DiscreteStatsTable[Average]))</f>
        <v>41.266839452854697</v>
      </c>
      <c r="S148" cm="1">
        <f t="array" ref="S148">MAX(IF((DiscreteStatsTable[GroupByKey]=DiscreteStatsTable[[#This Row],[GroupByKey]]),(DiscreteStatsTable[GroupByKey]=DiscreteStatsTable[[#This Row],[GroupByKey]])*DiscreteStatsTable[Average]))</f>
        <v>43.261092257362002</v>
      </c>
      <c r="T148" cm="1">
        <f t="array" ref="T148">MIN(IF((DiscreteStatsTable[GroupByKey]=DiscreteStatsTable[[#This Row],[GroupByKey]]),(DiscreteStatsTable[GroupByKey]=DiscreteStatsTable[[#This Row],[GroupByKey]])*DiscreteStatsTable[Minimum]))</f>
        <v>14.356812659243699</v>
      </c>
      <c r="U148" cm="1">
        <f t="array" ref="U148">MAX(IF((DiscreteStatsTable[GroupByKey]=DiscreteStatsTable[[#This Row],[GroupByKey]]),(DiscreteStatsTable[GroupByKey]=DiscreteStatsTable[[#This Row],[GroupByKey]])*DiscreteStatsTable[Maximum]))</f>
        <v>109.278485088034</v>
      </c>
      <c r="V148" cm="1">
        <f t="array" ref="V148">IFERROR(AVERAGE(IF((DiscreteStatsTable[GroupByKey]=DiscreteStatsTable[[#This Row],[GroupByKey]]),(DiscreteStatsTable[GroupByKey]=DiscreteStatsTable[[#This Row],[GroupByKey]])*DiscreteStatsTable[NumberObservations])),0)</f>
        <v>285.3</v>
      </c>
      <c r="W148">
        <f>IF((DiscreteStatsTable[[#This Row],[RepsRequested]]&gt;1),DiscreteStatsTable[[#This Row],[HalfWidth]],DiscreteStatsTable[[#This Row],[BatchMeansHalfWidth]])</f>
        <v>0.18927867722499744</v>
      </c>
      <c r="X148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>
        <f>IF(DiscreteStatsTable[[#This Row],[RepsRequested]]=DiscreteStatsTable[[#This Row],[RepsWithStatObserved]],1,0)</f>
        <v>1</v>
      </c>
    </row>
    <row r="149" spans="1:25" x14ac:dyDescent="0.2">
      <c r="A149" t="s">
        <v>67</v>
      </c>
      <c r="B149" t="s">
        <v>70</v>
      </c>
      <c r="C149">
        <v>20</v>
      </c>
      <c r="D149" t="s">
        <v>74</v>
      </c>
      <c r="E149" t="s">
        <v>79</v>
      </c>
      <c r="F149" t="s">
        <v>76</v>
      </c>
      <c r="G149">
        <v>0</v>
      </c>
      <c r="H149">
        <v>2E+20</v>
      </c>
      <c r="I149">
        <v>0</v>
      </c>
      <c r="J149">
        <v>0</v>
      </c>
      <c r="K149">
        <v>273</v>
      </c>
      <c r="L14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cm="1">
        <f t="array" ref="V149">IFERROR(AVERAGE(IF((DiscreteStatsTable[GroupByKey]=DiscreteStatsTable[[#This Row],[GroupByKey]]),(DiscreteStatsTable[GroupByKey]=DiscreteStatsTable[[#This Row],[GroupByKey]])*DiscreteStatsTable[NumberObservations])),0)</f>
        <v>285.3</v>
      </c>
      <c r="W149">
        <f>IF((DiscreteStatsTable[[#This Row],[RepsRequested]]&gt;1),DiscreteStatsTable[[#This Row],[HalfWidth]],DiscreteStatsTable[[#This Row],[BatchMeansHalfWidth]])</f>
        <v>0</v>
      </c>
      <c r="X149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>
        <f>IF(DiscreteStatsTable[[#This Row],[RepsRequested]]=DiscreteStatsTable[[#This Row],[RepsWithStatObserved]],1,0)</f>
        <v>1</v>
      </c>
    </row>
    <row r="150" spans="1:25" x14ac:dyDescent="0.2">
      <c r="A150" t="s">
        <v>67</v>
      </c>
      <c r="B150" t="s">
        <v>70</v>
      </c>
      <c r="C150">
        <v>20</v>
      </c>
      <c r="D150" t="s">
        <v>74</v>
      </c>
      <c r="E150" t="s">
        <v>80</v>
      </c>
      <c r="F150" t="s">
        <v>76</v>
      </c>
      <c r="G150">
        <v>35.940606656315801</v>
      </c>
      <c r="H150">
        <v>2E+20</v>
      </c>
      <c r="I150">
        <v>19.498244838433799</v>
      </c>
      <c r="J150">
        <v>53.641614654315397</v>
      </c>
      <c r="K150">
        <v>273</v>
      </c>
      <c r="L15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cm="1">
        <f t="array" ref="N150">IFERROR(AVERAGE(IF((DiscreteStatsTable[GroupByKey]=DiscreteStatsTable[[#This Row],[GroupByKey]]),(DiscreteStatsTable[GroupByKey]=DiscreteStatsTable[[#This Row],[GroupByKey]])*DiscreteStatsTable[Average])),0)</f>
        <v>36.00428777459642</v>
      </c>
      <c r="O150" cm="1">
        <f t="array" ref="O150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50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50" cm="1">
        <f t="array" ref="R150">MIN(IF((DiscreteStatsTable[GroupByKey]=DiscreteStatsTable[[#This Row],[GroupByKey]]),(DiscreteStatsTable[GroupByKey]=DiscreteStatsTable[[#This Row],[GroupByKey]])*DiscreteStatsTable[Average]))</f>
        <v>35.158236096727201</v>
      </c>
      <c r="S150" cm="1">
        <f t="array" ref="S150">MAX(IF((DiscreteStatsTable[GroupByKey]=DiscreteStatsTable[[#This Row],[GroupByKey]]),(DiscreteStatsTable[GroupByKey]=DiscreteStatsTable[[#This Row],[GroupByKey]])*DiscreteStatsTable[Average]))</f>
        <v>36.707690403515898</v>
      </c>
      <c r="T150" cm="1">
        <f t="array" ref="T150">MIN(IF((DiscreteStatsTable[GroupByKey]=DiscreteStatsTable[[#This Row],[GroupByKey]]),(DiscreteStatsTable[GroupByKey]=DiscreteStatsTable[[#This Row],[GroupByKey]])*DiscreteStatsTable[Minimum]))</f>
        <v>14.2518779052622</v>
      </c>
      <c r="U150" cm="1">
        <f t="array" ref="U150">MAX(IF((DiscreteStatsTable[GroupByKey]=DiscreteStatsTable[[#This Row],[GroupByKey]]),(DiscreteStatsTable[GroupByKey]=DiscreteStatsTable[[#This Row],[GroupByKey]])*DiscreteStatsTable[Maximum]))</f>
        <v>59.774077085699403</v>
      </c>
      <c r="V150" cm="1">
        <f t="array" ref="V150">IFERROR(AVERAGE(IF((DiscreteStatsTable[GroupByKey]=DiscreteStatsTable[[#This Row],[GroupByKey]]),(DiscreteStatsTable[GroupByKey]=DiscreteStatsTable[[#This Row],[GroupByKey]])*DiscreteStatsTable[NumberObservations])),0)</f>
        <v>285.3</v>
      </c>
      <c r="W150">
        <f>IF((DiscreteStatsTable[[#This Row],[RepsRequested]]&gt;1),DiscreteStatsTable[[#This Row],[HalfWidth]],DiscreteStatsTable[[#This Row],[BatchMeansHalfWidth]])</f>
        <v>0.12798857311270725</v>
      </c>
      <c r="X150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>
        <f>IF(DiscreteStatsTable[[#This Row],[RepsRequested]]=DiscreteStatsTable[[#This Row],[RepsWithStatObserved]],1,0)</f>
        <v>1</v>
      </c>
    </row>
    <row r="151" spans="1:25" x14ac:dyDescent="0.2">
      <c r="A151" t="s">
        <v>67</v>
      </c>
      <c r="B151" t="s">
        <v>70</v>
      </c>
      <c r="C151">
        <v>20</v>
      </c>
      <c r="D151" t="s">
        <v>74</v>
      </c>
      <c r="E151" t="s">
        <v>81</v>
      </c>
      <c r="F151" t="s">
        <v>76</v>
      </c>
      <c r="G151">
        <v>14.1693078742964</v>
      </c>
      <c r="H151">
        <v>2E+20</v>
      </c>
      <c r="I151">
        <v>0</v>
      </c>
      <c r="J151">
        <v>91.829722617138401</v>
      </c>
      <c r="K151">
        <v>273</v>
      </c>
      <c r="L15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cm="1">
        <f t="array" ref="N151">IFERROR(AVERAGE(IF((DiscreteStatsTable[GroupByKey]=DiscreteStatsTable[[#This Row],[GroupByKey]]),(DiscreteStatsTable[GroupByKey]=DiscreteStatsTable[[#This Row],[GroupByKey]])*DiscreteStatsTable[Average])),0)</f>
        <v>13.621559896422417</v>
      </c>
      <c r="O151" cm="1">
        <f t="array" ref="O151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51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51" cm="1">
        <f t="array" ref="R151">MIN(IF((DiscreteStatsTable[GroupByKey]=DiscreteStatsTable[[#This Row],[GroupByKey]]),(DiscreteStatsTable[GroupByKey]=DiscreteStatsTable[[#This Row],[GroupByKey]])*DiscreteStatsTable[Average]))</f>
        <v>12.598242749972901</v>
      </c>
      <c r="S151" cm="1">
        <f t="array" ref="S151">MAX(IF((DiscreteStatsTable[GroupByKey]=DiscreteStatsTable[[#This Row],[GroupByKey]]),(DiscreteStatsTable[GroupByKey]=DiscreteStatsTable[[#This Row],[GroupByKey]])*DiscreteStatsTable[Average]))</f>
        <v>14.319051591609201</v>
      </c>
      <c r="T151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cm="1">
        <f t="array" ref="U151">MAX(IF((DiscreteStatsTable[GroupByKey]=DiscreteStatsTable[[#This Row],[GroupByKey]]),(DiscreteStatsTable[GroupByKey]=DiscreteStatsTable[[#This Row],[GroupByKey]])*DiscreteStatsTable[Maximum]))</f>
        <v>180.86047487093799</v>
      </c>
      <c r="V151" cm="1">
        <f t="array" ref="V151">IFERROR(AVERAGE(IF((DiscreteStatsTable[GroupByKey]=DiscreteStatsTable[[#This Row],[GroupByKey]]),(DiscreteStatsTable[GroupByKey]=DiscreteStatsTable[[#This Row],[GroupByKey]])*DiscreteStatsTable[NumberObservations])),0)</f>
        <v>285.3</v>
      </c>
      <c r="W151">
        <f>IF((DiscreteStatsTable[[#This Row],[RepsRequested]]&gt;1),DiscreteStatsTable[[#This Row],[HalfWidth]],DiscreteStatsTable[[#This Row],[BatchMeansHalfWidth]])</f>
        <v>0.14806141778332987</v>
      </c>
      <c r="X151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>
        <f>IF(DiscreteStatsTable[[#This Row],[RepsRequested]]=DiscreteStatsTable[[#This Row],[RepsWithStatObserved]],1,0)</f>
        <v>1</v>
      </c>
    </row>
    <row r="152" spans="1:25" x14ac:dyDescent="0.2">
      <c r="A152" t="s">
        <v>67</v>
      </c>
      <c r="B152" t="s">
        <v>70</v>
      </c>
      <c r="C152">
        <v>21</v>
      </c>
      <c r="D152" t="s">
        <v>74</v>
      </c>
      <c r="E152" t="s">
        <v>75</v>
      </c>
      <c r="F152" t="s">
        <v>76</v>
      </c>
      <c r="G152">
        <v>0</v>
      </c>
      <c r="H152">
        <v>2E+20</v>
      </c>
      <c r="I152">
        <v>0</v>
      </c>
      <c r="J152">
        <v>0</v>
      </c>
      <c r="K152">
        <v>284</v>
      </c>
      <c r="L15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cm="1">
        <f t="array" ref="V152">IFERROR(AVERAGE(IF((DiscreteStatsTable[GroupByKey]=DiscreteStatsTable[[#This Row],[GroupByKey]]),(DiscreteStatsTable[GroupByKey]=DiscreteStatsTable[[#This Row],[GroupByKey]])*DiscreteStatsTable[NumberObservations])),0)</f>
        <v>285.3</v>
      </c>
      <c r="W152">
        <f>IF((DiscreteStatsTable[[#This Row],[RepsRequested]]&gt;1),DiscreteStatsTable[[#This Row],[HalfWidth]],DiscreteStatsTable[[#This Row],[BatchMeansHalfWidth]])</f>
        <v>0</v>
      </c>
      <c r="X152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>
        <f>IF(DiscreteStatsTable[[#This Row],[RepsRequested]]=DiscreteStatsTable[[#This Row],[RepsWithStatObserved]],1,0)</f>
        <v>1</v>
      </c>
    </row>
    <row r="153" spans="1:25" x14ac:dyDescent="0.2">
      <c r="A153" t="s">
        <v>67</v>
      </c>
      <c r="B153" t="s">
        <v>70</v>
      </c>
      <c r="C153">
        <v>21</v>
      </c>
      <c r="D153" t="s">
        <v>74</v>
      </c>
      <c r="E153" t="s">
        <v>77</v>
      </c>
      <c r="F153" t="s">
        <v>76</v>
      </c>
      <c r="G153">
        <v>0</v>
      </c>
      <c r="H153">
        <v>2E+20</v>
      </c>
      <c r="I153">
        <v>0</v>
      </c>
      <c r="J153">
        <v>0</v>
      </c>
      <c r="K153">
        <v>284</v>
      </c>
      <c r="L15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cm="1">
        <f t="array" ref="V153">IFERROR(AVERAGE(IF((DiscreteStatsTable[GroupByKey]=DiscreteStatsTable[[#This Row],[GroupByKey]]),(DiscreteStatsTable[GroupByKey]=DiscreteStatsTable[[#This Row],[GroupByKey]])*DiscreteStatsTable[NumberObservations])),0)</f>
        <v>285.3</v>
      </c>
      <c r="W153">
        <f>IF((DiscreteStatsTable[[#This Row],[RepsRequested]]&gt;1),DiscreteStatsTable[[#This Row],[HalfWidth]],DiscreteStatsTable[[#This Row],[BatchMeansHalfWidth]])</f>
        <v>0</v>
      </c>
      <c r="X153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>
        <f>IF(DiscreteStatsTable[[#This Row],[RepsRequested]]=DiscreteStatsTable[[#This Row],[RepsWithStatObserved]],1,0)</f>
        <v>1</v>
      </c>
    </row>
    <row r="154" spans="1:25" x14ac:dyDescent="0.2">
      <c r="A154" t="s">
        <v>67</v>
      </c>
      <c r="B154" t="s">
        <v>70</v>
      </c>
      <c r="C154">
        <v>21</v>
      </c>
      <c r="D154" t="s">
        <v>74</v>
      </c>
      <c r="E154" t="s">
        <v>78</v>
      </c>
      <c r="F154" t="s">
        <v>76</v>
      </c>
      <c r="G154">
        <v>42.366604651404302</v>
      </c>
      <c r="H154">
        <v>2E+20</v>
      </c>
      <c r="I154">
        <v>14.5740602771757</v>
      </c>
      <c r="J154">
        <v>69.662374841021105</v>
      </c>
      <c r="K154">
        <v>284</v>
      </c>
      <c r="L15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cm="1">
        <f t="array" ref="N154">IFERROR(AVERAGE(IF((DiscreteStatsTable[GroupByKey]=DiscreteStatsTable[[#This Row],[GroupByKey]]),(DiscreteStatsTable[GroupByKey]=DiscreteStatsTable[[#This Row],[GroupByKey]])*DiscreteStatsTable[Average])),0)</f>
        <v>42.144608162589741</v>
      </c>
      <c r="O154" cm="1">
        <f t="array" ref="O154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54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54" cm="1">
        <f t="array" ref="R154">MIN(IF((DiscreteStatsTable[GroupByKey]=DiscreteStatsTable[[#This Row],[GroupByKey]]),(DiscreteStatsTable[GroupByKey]=DiscreteStatsTable[[#This Row],[GroupByKey]])*DiscreteStatsTable[Average]))</f>
        <v>41.266839452854697</v>
      </c>
      <c r="S154" cm="1">
        <f t="array" ref="S154">MAX(IF((DiscreteStatsTable[GroupByKey]=DiscreteStatsTable[[#This Row],[GroupByKey]]),(DiscreteStatsTable[GroupByKey]=DiscreteStatsTable[[#This Row],[GroupByKey]])*DiscreteStatsTable[Average]))</f>
        <v>43.261092257362002</v>
      </c>
      <c r="T154" cm="1">
        <f t="array" ref="T154">MIN(IF((DiscreteStatsTable[GroupByKey]=DiscreteStatsTable[[#This Row],[GroupByKey]]),(DiscreteStatsTable[GroupByKey]=DiscreteStatsTable[[#This Row],[GroupByKey]])*DiscreteStatsTable[Minimum]))</f>
        <v>14.356812659243699</v>
      </c>
      <c r="U154" cm="1">
        <f t="array" ref="U154">MAX(IF((DiscreteStatsTable[GroupByKey]=DiscreteStatsTable[[#This Row],[GroupByKey]]),(DiscreteStatsTable[GroupByKey]=DiscreteStatsTable[[#This Row],[GroupByKey]])*DiscreteStatsTable[Maximum]))</f>
        <v>109.278485088034</v>
      </c>
      <c r="V154" cm="1">
        <f t="array" ref="V154">IFERROR(AVERAGE(IF((DiscreteStatsTable[GroupByKey]=DiscreteStatsTable[[#This Row],[GroupByKey]]),(DiscreteStatsTable[GroupByKey]=DiscreteStatsTable[[#This Row],[GroupByKey]])*DiscreteStatsTable[NumberObservations])),0)</f>
        <v>285.3</v>
      </c>
      <c r="W154">
        <f>IF((DiscreteStatsTable[[#This Row],[RepsRequested]]&gt;1),DiscreteStatsTable[[#This Row],[HalfWidth]],DiscreteStatsTable[[#This Row],[BatchMeansHalfWidth]])</f>
        <v>0.18927867722499744</v>
      </c>
      <c r="X154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>
        <f>IF(DiscreteStatsTable[[#This Row],[RepsRequested]]=DiscreteStatsTable[[#This Row],[RepsWithStatObserved]],1,0)</f>
        <v>1</v>
      </c>
    </row>
    <row r="155" spans="1:25" x14ac:dyDescent="0.2">
      <c r="A155" t="s">
        <v>67</v>
      </c>
      <c r="B155" t="s">
        <v>70</v>
      </c>
      <c r="C155">
        <v>21</v>
      </c>
      <c r="D155" t="s">
        <v>74</v>
      </c>
      <c r="E155" t="s">
        <v>79</v>
      </c>
      <c r="F155" t="s">
        <v>76</v>
      </c>
      <c r="G155">
        <v>0</v>
      </c>
      <c r="H155">
        <v>2E+20</v>
      </c>
      <c r="I155">
        <v>0</v>
      </c>
      <c r="J155">
        <v>0</v>
      </c>
      <c r="K155">
        <v>284</v>
      </c>
      <c r="L15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cm="1">
        <f t="array" ref="V155">IFERROR(AVERAGE(IF((DiscreteStatsTable[GroupByKey]=DiscreteStatsTable[[#This Row],[GroupByKey]]),(DiscreteStatsTable[GroupByKey]=DiscreteStatsTable[[#This Row],[GroupByKey]])*DiscreteStatsTable[NumberObservations])),0)</f>
        <v>285.3</v>
      </c>
      <c r="W155">
        <f>IF((DiscreteStatsTable[[#This Row],[RepsRequested]]&gt;1),DiscreteStatsTable[[#This Row],[HalfWidth]],DiscreteStatsTable[[#This Row],[BatchMeansHalfWidth]])</f>
        <v>0</v>
      </c>
      <c r="X15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>
        <f>IF(DiscreteStatsTable[[#This Row],[RepsRequested]]=DiscreteStatsTable[[#This Row],[RepsWithStatObserved]],1,0)</f>
        <v>1</v>
      </c>
    </row>
    <row r="156" spans="1:25" x14ac:dyDescent="0.2">
      <c r="A156" t="s">
        <v>67</v>
      </c>
      <c r="B156" t="s">
        <v>70</v>
      </c>
      <c r="C156">
        <v>21</v>
      </c>
      <c r="D156" t="s">
        <v>74</v>
      </c>
      <c r="E156" t="s">
        <v>80</v>
      </c>
      <c r="F156" t="s">
        <v>76</v>
      </c>
      <c r="G156">
        <v>36.127476797005698</v>
      </c>
      <c r="H156">
        <v>2E+20</v>
      </c>
      <c r="I156">
        <v>14.5740602771757</v>
      </c>
      <c r="J156">
        <v>52.703281877830896</v>
      </c>
      <c r="K156">
        <v>284</v>
      </c>
      <c r="L15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cm="1">
        <f t="array" ref="N156">IFERROR(AVERAGE(IF((DiscreteStatsTable[GroupByKey]=DiscreteStatsTable[[#This Row],[GroupByKey]]),(DiscreteStatsTable[GroupByKey]=DiscreteStatsTable[[#This Row],[GroupByKey]])*DiscreteStatsTable[Average])),0)</f>
        <v>36.00428777459642</v>
      </c>
      <c r="O156" cm="1">
        <f t="array" ref="O156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56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56" cm="1">
        <f t="array" ref="R156">MIN(IF((DiscreteStatsTable[GroupByKey]=DiscreteStatsTable[[#This Row],[GroupByKey]]),(DiscreteStatsTable[GroupByKey]=DiscreteStatsTable[[#This Row],[GroupByKey]])*DiscreteStatsTable[Average]))</f>
        <v>35.158236096727201</v>
      </c>
      <c r="S156" cm="1">
        <f t="array" ref="S156">MAX(IF((DiscreteStatsTable[GroupByKey]=DiscreteStatsTable[[#This Row],[GroupByKey]]),(DiscreteStatsTable[GroupByKey]=DiscreteStatsTable[[#This Row],[GroupByKey]])*DiscreteStatsTable[Average]))</f>
        <v>36.707690403515898</v>
      </c>
      <c r="T156" cm="1">
        <f t="array" ref="T156">MIN(IF((DiscreteStatsTable[GroupByKey]=DiscreteStatsTable[[#This Row],[GroupByKey]]),(DiscreteStatsTable[GroupByKey]=DiscreteStatsTable[[#This Row],[GroupByKey]])*DiscreteStatsTable[Minimum]))</f>
        <v>14.2518779052622</v>
      </c>
      <c r="U156" cm="1">
        <f t="array" ref="U156">MAX(IF((DiscreteStatsTable[GroupByKey]=DiscreteStatsTable[[#This Row],[GroupByKey]]),(DiscreteStatsTable[GroupByKey]=DiscreteStatsTable[[#This Row],[GroupByKey]])*DiscreteStatsTable[Maximum]))</f>
        <v>59.774077085699403</v>
      </c>
      <c r="V156" cm="1">
        <f t="array" ref="V156">IFERROR(AVERAGE(IF((DiscreteStatsTable[GroupByKey]=DiscreteStatsTable[[#This Row],[GroupByKey]]),(DiscreteStatsTable[GroupByKey]=DiscreteStatsTable[[#This Row],[GroupByKey]])*DiscreteStatsTable[NumberObservations])),0)</f>
        <v>285.3</v>
      </c>
      <c r="W156">
        <f>IF((DiscreteStatsTable[[#This Row],[RepsRequested]]&gt;1),DiscreteStatsTable[[#This Row],[HalfWidth]],DiscreteStatsTable[[#This Row],[BatchMeansHalfWidth]])</f>
        <v>0.12798857311270725</v>
      </c>
      <c r="X156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>
        <f>IF(DiscreteStatsTable[[#This Row],[RepsRequested]]=DiscreteStatsTable[[#This Row],[RepsWithStatObserved]],1,0)</f>
        <v>1</v>
      </c>
    </row>
    <row r="157" spans="1:25" x14ac:dyDescent="0.2">
      <c r="A157" t="s">
        <v>67</v>
      </c>
      <c r="B157" t="s">
        <v>70</v>
      </c>
      <c r="C157">
        <v>21</v>
      </c>
      <c r="D157" t="s">
        <v>74</v>
      </c>
      <c r="E157" t="s">
        <v>81</v>
      </c>
      <c r="F157" t="s">
        <v>76</v>
      </c>
      <c r="G157">
        <v>13.3810379002655</v>
      </c>
      <c r="H157">
        <v>2E+20</v>
      </c>
      <c r="I157">
        <v>0</v>
      </c>
      <c r="J157">
        <v>63.5134741093093</v>
      </c>
      <c r="K157">
        <v>284</v>
      </c>
      <c r="L15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cm="1">
        <f t="array" ref="N157">IFERROR(AVERAGE(IF((DiscreteStatsTable[GroupByKey]=DiscreteStatsTable[[#This Row],[GroupByKey]]),(DiscreteStatsTable[GroupByKey]=DiscreteStatsTable[[#This Row],[GroupByKey]])*DiscreteStatsTable[Average])),0)</f>
        <v>13.621559896422417</v>
      </c>
      <c r="O157" cm="1">
        <f t="array" ref="O157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57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57" cm="1">
        <f t="array" ref="R157">MIN(IF((DiscreteStatsTable[GroupByKey]=DiscreteStatsTable[[#This Row],[GroupByKey]]),(DiscreteStatsTable[GroupByKey]=DiscreteStatsTable[[#This Row],[GroupByKey]])*DiscreteStatsTable[Average]))</f>
        <v>12.598242749972901</v>
      </c>
      <c r="S157" cm="1">
        <f t="array" ref="S157">MAX(IF((DiscreteStatsTable[GroupByKey]=DiscreteStatsTable[[#This Row],[GroupByKey]]),(DiscreteStatsTable[GroupByKey]=DiscreteStatsTable[[#This Row],[GroupByKey]])*DiscreteStatsTable[Average]))</f>
        <v>14.319051591609201</v>
      </c>
      <c r="T157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cm="1">
        <f t="array" ref="U157">MAX(IF((DiscreteStatsTable[GroupByKey]=DiscreteStatsTable[[#This Row],[GroupByKey]]),(DiscreteStatsTable[GroupByKey]=DiscreteStatsTable[[#This Row],[GroupByKey]])*DiscreteStatsTable[Maximum]))</f>
        <v>180.86047487093799</v>
      </c>
      <c r="V157" cm="1">
        <f t="array" ref="V157">IFERROR(AVERAGE(IF((DiscreteStatsTable[GroupByKey]=DiscreteStatsTable[[#This Row],[GroupByKey]]),(DiscreteStatsTable[GroupByKey]=DiscreteStatsTable[[#This Row],[GroupByKey]])*DiscreteStatsTable[NumberObservations])),0)</f>
        <v>285.3</v>
      </c>
      <c r="W157">
        <f>IF((DiscreteStatsTable[[#This Row],[RepsRequested]]&gt;1),DiscreteStatsTable[[#This Row],[HalfWidth]],DiscreteStatsTable[[#This Row],[BatchMeansHalfWidth]])</f>
        <v>0.14806141778332987</v>
      </c>
      <c r="X157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>
        <f>IF(DiscreteStatsTable[[#This Row],[RepsRequested]]=DiscreteStatsTable[[#This Row],[RepsWithStatObserved]],1,0)</f>
        <v>1</v>
      </c>
    </row>
    <row r="158" spans="1:25" x14ac:dyDescent="0.2">
      <c r="A158" t="s">
        <v>67</v>
      </c>
      <c r="B158" t="s">
        <v>70</v>
      </c>
      <c r="C158">
        <v>22</v>
      </c>
      <c r="D158" t="s">
        <v>74</v>
      </c>
      <c r="E158" t="s">
        <v>75</v>
      </c>
      <c r="F158" t="s">
        <v>76</v>
      </c>
      <c r="G158">
        <v>0</v>
      </c>
      <c r="H158">
        <v>2E+20</v>
      </c>
      <c r="I158">
        <v>0</v>
      </c>
      <c r="J158">
        <v>0</v>
      </c>
      <c r="K158">
        <v>283</v>
      </c>
      <c r="L15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cm="1">
        <f t="array" ref="V158">IFERROR(AVERAGE(IF((DiscreteStatsTable[GroupByKey]=DiscreteStatsTable[[#This Row],[GroupByKey]]),(DiscreteStatsTable[GroupByKey]=DiscreteStatsTable[[#This Row],[GroupByKey]])*DiscreteStatsTable[NumberObservations])),0)</f>
        <v>285.3</v>
      </c>
      <c r="W158">
        <f>IF((DiscreteStatsTable[[#This Row],[RepsRequested]]&gt;1),DiscreteStatsTable[[#This Row],[HalfWidth]],DiscreteStatsTable[[#This Row],[BatchMeansHalfWidth]])</f>
        <v>0</v>
      </c>
      <c r="X158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>
        <f>IF(DiscreteStatsTable[[#This Row],[RepsRequested]]=DiscreteStatsTable[[#This Row],[RepsWithStatObserved]],1,0)</f>
        <v>1</v>
      </c>
    </row>
    <row r="159" spans="1:25" x14ac:dyDescent="0.2">
      <c r="A159" t="s">
        <v>67</v>
      </c>
      <c r="B159" t="s">
        <v>70</v>
      </c>
      <c r="C159">
        <v>22</v>
      </c>
      <c r="D159" t="s">
        <v>74</v>
      </c>
      <c r="E159" t="s">
        <v>77</v>
      </c>
      <c r="F159" t="s">
        <v>76</v>
      </c>
      <c r="G159">
        <v>0</v>
      </c>
      <c r="H159">
        <v>2E+20</v>
      </c>
      <c r="I159">
        <v>0</v>
      </c>
      <c r="J159">
        <v>0</v>
      </c>
      <c r="K159">
        <v>283</v>
      </c>
      <c r="L15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cm="1">
        <f t="array" ref="V159">IFERROR(AVERAGE(IF((DiscreteStatsTable[GroupByKey]=DiscreteStatsTable[[#This Row],[GroupByKey]]),(DiscreteStatsTable[GroupByKey]=DiscreteStatsTable[[#This Row],[GroupByKey]])*DiscreteStatsTable[NumberObservations])),0)</f>
        <v>285.3</v>
      </c>
      <c r="W159">
        <f>IF((DiscreteStatsTable[[#This Row],[RepsRequested]]&gt;1),DiscreteStatsTable[[#This Row],[HalfWidth]],DiscreteStatsTable[[#This Row],[BatchMeansHalfWidth]])</f>
        <v>0</v>
      </c>
      <c r="X159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>
        <f>IF(DiscreteStatsTable[[#This Row],[RepsRequested]]=DiscreteStatsTable[[#This Row],[RepsWithStatObserved]],1,0)</f>
        <v>1</v>
      </c>
    </row>
    <row r="160" spans="1:25" x14ac:dyDescent="0.2">
      <c r="A160" t="s">
        <v>67</v>
      </c>
      <c r="B160" t="s">
        <v>70</v>
      </c>
      <c r="C160">
        <v>22</v>
      </c>
      <c r="D160" t="s">
        <v>74</v>
      </c>
      <c r="E160" t="s">
        <v>78</v>
      </c>
      <c r="F160" t="s">
        <v>76</v>
      </c>
      <c r="G160">
        <v>42.484204561310698</v>
      </c>
      <c r="H160">
        <v>2E+20</v>
      </c>
      <c r="I160">
        <v>18.107448726777399</v>
      </c>
      <c r="J160">
        <v>79.241098892283802</v>
      </c>
      <c r="K160">
        <v>283</v>
      </c>
      <c r="L16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cm="1">
        <f t="array" ref="N160">IFERROR(AVERAGE(IF((DiscreteStatsTable[GroupByKey]=DiscreteStatsTable[[#This Row],[GroupByKey]]),(DiscreteStatsTable[GroupByKey]=DiscreteStatsTable[[#This Row],[GroupByKey]])*DiscreteStatsTable[Average])),0)</f>
        <v>42.144608162589741</v>
      </c>
      <c r="O160" cm="1">
        <f t="array" ref="O160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60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60" cm="1">
        <f t="array" ref="R160">MIN(IF((DiscreteStatsTable[GroupByKey]=DiscreteStatsTable[[#This Row],[GroupByKey]]),(DiscreteStatsTable[GroupByKey]=DiscreteStatsTable[[#This Row],[GroupByKey]])*DiscreteStatsTable[Average]))</f>
        <v>41.266839452854697</v>
      </c>
      <c r="S160" cm="1">
        <f t="array" ref="S160">MAX(IF((DiscreteStatsTable[GroupByKey]=DiscreteStatsTable[[#This Row],[GroupByKey]]),(DiscreteStatsTable[GroupByKey]=DiscreteStatsTable[[#This Row],[GroupByKey]])*DiscreteStatsTable[Average]))</f>
        <v>43.261092257362002</v>
      </c>
      <c r="T160" cm="1">
        <f t="array" ref="T160">MIN(IF((DiscreteStatsTable[GroupByKey]=DiscreteStatsTable[[#This Row],[GroupByKey]]),(DiscreteStatsTable[GroupByKey]=DiscreteStatsTable[[#This Row],[GroupByKey]])*DiscreteStatsTable[Minimum]))</f>
        <v>14.356812659243699</v>
      </c>
      <c r="U160" cm="1">
        <f t="array" ref="U160">MAX(IF((DiscreteStatsTable[GroupByKey]=DiscreteStatsTable[[#This Row],[GroupByKey]]),(DiscreteStatsTable[GroupByKey]=DiscreteStatsTable[[#This Row],[GroupByKey]])*DiscreteStatsTable[Maximum]))</f>
        <v>109.278485088034</v>
      </c>
      <c r="V160" cm="1">
        <f t="array" ref="V160">IFERROR(AVERAGE(IF((DiscreteStatsTable[GroupByKey]=DiscreteStatsTable[[#This Row],[GroupByKey]]),(DiscreteStatsTable[GroupByKey]=DiscreteStatsTable[[#This Row],[GroupByKey]])*DiscreteStatsTable[NumberObservations])),0)</f>
        <v>285.3</v>
      </c>
      <c r="W160">
        <f>IF((DiscreteStatsTable[[#This Row],[RepsRequested]]&gt;1),DiscreteStatsTable[[#This Row],[HalfWidth]],DiscreteStatsTable[[#This Row],[BatchMeansHalfWidth]])</f>
        <v>0.18927867722499744</v>
      </c>
      <c r="X160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>
        <f>IF(DiscreteStatsTable[[#This Row],[RepsRequested]]=DiscreteStatsTable[[#This Row],[RepsWithStatObserved]],1,0)</f>
        <v>1</v>
      </c>
    </row>
    <row r="161" spans="1:25" x14ac:dyDescent="0.2">
      <c r="A161" t="s">
        <v>67</v>
      </c>
      <c r="B161" t="s">
        <v>70</v>
      </c>
      <c r="C161">
        <v>22</v>
      </c>
      <c r="D161" t="s">
        <v>74</v>
      </c>
      <c r="E161" t="s">
        <v>79</v>
      </c>
      <c r="F161" t="s">
        <v>76</v>
      </c>
      <c r="G161">
        <v>0</v>
      </c>
      <c r="H161">
        <v>2E+20</v>
      </c>
      <c r="I161">
        <v>0</v>
      </c>
      <c r="J161">
        <v>0</v>
      </c>
      <c r="K161">
        <v>283</v>
      </c>
      <c r="L16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cm="1">
        <f t="array" ref="V161">IFERROR(AVERAGE(IF((DiscreteStatsTable[GroupByKey]=DiscreteStatsTable[[#This Row],[GroupByKey]]),(DiscreteStatsTable[GroupByKey]=DiscreteStatsTable[[#This Row],[GroupByKey]])*DiscreteStatsTable[NumberObservations])),0)</f>
        <v>285.3</v>
      </c>
      <c r="W161">
        <f>IF((DiscreteStatsTable[[#This Row],[RepsRequested]]&gt;1),DiscreteStatsTable[[#This Row],[HalfWidth]],DiscreteStatsTable[[#This Row],[BatchMeansHalfWidth]])</f>
        <v>0</v>
      </c>
      <c r="X161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>
        <f>IF(DiscreteStatsTable[[#This Row],[RepsRequested]]=DiscreteStatsTable[[#This Row],[RepsWithStatObserved]],1,0)</f>
        <v>1</v>
      </c>
    </row>
    <row r="162" spans="1:25" x14ac:dyDescent="0.2">
      <c r="A162" t="s">
        <v>67</v>
      </c>
      <c r="B162" t="s">
        <v>70</v>
      </c>
      <c r="C162">
        <v>22</v>
      </c>
      <c r="D162" t="s">
        <v>74</v>
      </c>
      <c r="E162" t="s">
        <v>80</v>
      </c>
      <c r="F162" t="s">
        <v>76</v>
      </c>
      <c r="G162">
        <v>36.373908324687598</v>
      </c>
      <c r="H162">
        <v>2E+20</v>
      </c>
      <c r="I162">
        <v>18.107448726777399</v>
      </c>
      <c r="J162">
        <v>53.624332529453604</v>
      </c>
      <c r="K162">
        <v>283</v>
      </c>
      <c r="L16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cm="1">
        <f t="array" ref="N162">IFERROR(AVERAGE(IF((DiscreteStatsTable[GroupByKey]=DiscreteStatsTable[[#This Row],[GroupByKey]]),(DiscreteStatsTable[GroupByKey]=DiscreteStatsTable[[#This Row],[GroupByKey]])*DiscreteStatsTable[Average])),0)</f>
        <v>36.00428777459642</v>
      </c>
      <c r="O162" cm="1">
        <f t="array" ref="O162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62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62" cm="1">
        <f t="array" ref="R162">MIN(IF((DiscreteStatsTable[GroupByKey]=DiscreteStatsTable[[#This Row],[GroupByKey]]),(DiscreteStatsTable[GroupByKey]=DiscreteStatsTable[[#This Row],[GroupByKey]])*DiscreteStatsTable[Average]))</f>
        <v>35.158236096727201</v>
      </c>
      <c r="S162" cm="1">
        <f t="array" ref="S162">MAX(IF((DiscreteStatsTable[GroupByKey]=DiscreteStatsTable[[#This Row],[GroupByKey]]),(DiscreteStatsTable[GroupByKey]=DiscreteStatsTable[[#This Row],[GroupByKey]])*DiscreteStatsTable[Average]))</f>
        <v>36.707690403515898</v>
      </c>
      <c r="T162" cm="1">
        <f t="array" ref="T162">MIN(IF((DiscreteStatsTable[GroupByKey]=DiscreteStatsTable[[#This Row],[GroupByKey]]),(DiscreteStatsTable[GroupByKey]=DiscreteStatsTable[[#This Row],[GroupByKey]])*DiscreteStatsTable[Minimum]))</f>
        <v>14.2518779052622</v>
      </c>
      <c r="U162" cm="1">
        <f t="array" ref="U162">MAX(IF((DiscreteStatsTable[GroupByKey]=DiscreteStatsTable[[#This Row],[GroupByKey]]),(DiscreteStatsTable[GroupByKey]=DiscreteStatsTable[[#This Row],[GroupByKey]])*DiscreteStatsTable[Maximum]))</f>
        <v>59.774077085699403</v>
      </c>
      <c r="V162" cm="1">
        <f t="array" ref="V162">IFERROR(AVERAGE(IF((DiscreteStatsTable[GroupByKey]=DiscreteStatsTable[[#This Row],[GroupByKey]]),(DiscreteStatsTable[GroupByKey]=DiscreteStatsTable[[#This Row],[GroupByKey]])*DiscreteStatsTable[NumberObservations])),0)</f>
        <v>285.3</v>
      </c>
      <c r="W162">
        <f>IF((DiscreteStatsTable[[#This Row],[RepsRequested]]&gt;1),DiscreteStatsTable[[#This Row],[HalfWidth]],DiscreteStatsTable[[#This Row],[BatchMeansHalfWidth]])</f>
        <v>0.12798857311270725</v>
      </c>
      <c r="X162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>
        <f>IF(DiscreteStatsTable[[#This Row],[RepsRequested]]=DiscreteStatsTable[[#This Row],[RepsWithStatObserved]],1,0)</f>
        <v>1</v>
      </c>
    </row>
    <row r="163" spans="1:25" x14ac:dyDescent="0.2">
      <c r="A163" t="s">
        <v>67</v>
      </c>
      <c r="B163" t="s">
        <v>70</v>
      </c>
      <c r="C163">
        <v>22</v>
      </c>
      <c r="D163" t="s">
        <v>74</v>
      </c>
      <c r="E163" t="s">
        <v>81</v>
      </c>
      <c r="F163" t="s">
        <v>76</v>
      </c>
      <c r="G163">
        <v>13.3632633143595</v>
      </c>
      <c r="H163">
        <v>2E+20</v>
      </c>
      <c r="I163">
        <v>0</v>
      </c>
      <c r="J163">
        <v>88.436668895562704</v>
      </c>
      <c r="K163">
        <v>283</v>
      </c>
      <c r="L16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cm="1">
        <f t="array" ref="N163">IFERROR(AVERAGE(IF((DiscreteStatsTable[GroupByKey]=DiscreteStatsTable[[#This Row],[GroupByKey]]),(DiscreteStatsTable[GroupByKey]=DiscreteStatsTable[[#This Row],[GroupByKey]])*DiscreteStatsTable[Average])),0)</f>
        <v>13.621559896422417</v>
      </c>
      <c r="O163" cm="1">
        <f t="array" ref="O163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63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63" cm="1">
        <f t="array" ref="R163">MIN(IF((DiscreteStatsTable[GroupByKey]=DiscreteStatsTable[[#This Row],[GroupByKey]]),(DiscreteStatsTable[GroupByKey]=DiscreteStatsTable[[#This Row],[GroupByKey]])*DiscreteStatsTable[Average]))</f>
        <v>12.598242749972901</v>
      </c>
      <c r="S163" cm="1">
        <f t="array" ref="S163">MAX(IF((DiscreteStatsTable[GroupByKey]=DiscreteStatsTable[[#This Row],[GroupByKey]]),(DiscreteStatsTable[GroupByKey]=DiscreteStatsTable[[#This Row],[GroupByKey]])*DiscreteStatsTable[Average]))</f>
        <v>14.319051591609201</v>
      </c>
      <c r="T163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cm="1">
        <f t="array" ref="U163">MAX(IF((DiscreteStatsTable[GroupByKey]=DiscreteStatsTable[[#This Row],[GroupByKey]]),(DiscreteStatsTable[GroupByKey]=DiscreteStatsTable[[#This Row],[GroupByKey]])*DiscreteStatsTable[Maximum]))</f>
        <v>180.86047487093799</v>
      </c>
      <c r="V163" cm="1">
        <f t="array" ref="V163">IFERROR(AVERAGE(IF((DiscreteStatsTable[GroupByKey]=DiscreteStatsTable[[#This Row],[GroupByKey]]),(DiscreteStatsTable[GroupByKey]=DiscreteStatsTable[[#This Row],[GroupByKey]])*DiscreteStatsTable[NumberObservations])),0)</f>
        <v>285.3</v>
      </c>
      <c r="W163">
        <f>IF((DiscreteStatsTable[[#This Row],[RepsRequested]]&gt;1),DiscreteStatsTable[[#This Row],[HalfWidth]],DiscreteStatsTable[[#This Row],[BatchMeansHalfWidth]])</f>
        <v>0.14806141778332987</v>
      </c>
      <c r="X163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>
        <f>IF(DiscreteStatsTable[[#This Row],[RepsRequested]]=DiscreteStatsTable[[#This Row],[RepsWithStatObserved]],1,0)</f>
        <v>1</v>
      </c>
    </row>
    <row r="164" spans="1:25" x14ac:dyDescent="0.2">
      <c r="A164" t="s">
        <v>67</v>
      </c>
      <c r="B164" t="s">
        <v>70</v>
      </c>
      <c r="C164">
        <v>23</v>
      </c>
      <c r="D164" t="s">
        <v>74</v>
      </c>
      <c r="E164" t="s">
        <v>75</v>
      </c>
      <c r="F164" t="s">
        <v>76</v>
      </c>
      <c r="G164">
        <v>0</v>
      </c>
      <c r="H164">
        <v>2E+20</v>
      </c>
      <c r="I164">
        <v>0</v>
      </c>
      <c r="J164">
        <v>0</v>
      </c>
      <c r="K164">
        <v>280</v>
      </c>
      <c r="L16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cm="1">
        <f t="array" ref="V164">IFERROR(AVERAGE(IF((DiscreteStatsTable[GroupByKey]=DiscreteStatsTable[[#This Row],[GroupByKey]]),(DiscreteStatsTable[GroupByKey]=DiscreteStatsTable[[#This Row],[GroupByKey]])*DiscreteStatsTable[NumberObservations])),0)</f>
        <v>285.3</v>
      </c>
      <c r="W164">
        <f>IF((DiscreteStatsTable[[#This Row],[RepsRequested]]&gt;1),DiscreteStatsTable[[#This Row],[HalfWidth]],DiscreteStatsTable[[#This Row],[BatchMeansHalfWidth]])</f>
        <v>0</v>
      </c>
      <c r="X164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>
        <f>IF(DiscreteStatsTable[[#This Row],[RepsRequested]]=DiscreteStatsTable[[#This Row],[RepsWithStatObserved]],1,0)</f>
        <v>1</v>
      </c>
    </row>
    <row r="165" spans="1:25" x14ac:dyDescent="0.2">
      <c r="A165" t="s">
        <v>67</v>
      </c>
      <c r="B165" t="s">
        <v>70</v>
      </c>
      <c r="C165">
        <v>23</v>
      </c>
      <c r="D165" t="s">
        <v>74</v>
      </c>
      <c r="E165" t="s">
        <v>77</v>
      </c>
      <c r="F165" t="s">
        <v>76</v>
      </c>
      <c r="G165">
        <v>0</v>
      </c>
      <c r="H165">
        <v>2E+20</v>
      </c>
      <c r="I165">
        <v>0</v>
      </c>
      <c r="J165">
        <v>0</v>
      </c>
      <c r="K165">
        <v>280</v>
      </c>
      <c r="L16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cm="1">
        <f t="array" ref="V165">IFERROR(AVERAGE(IF((DiscreteStatsTable[GroupByKey]=DiscreteStatsTable[[#This Row],[GroupByKey]]),(DiscreteStatsTable[GroupByKey]=DiscreteStatsTable[[#This Row],[GroupByKey]])*DiscreteStatsTable[NumberObservations])),0)</f>
        <v>285.3</v>
      </c>
      <c r="W165">
        <f>IF((DiscreteStatsTable[[#This Row],[RepsRequested]]&gt;1),DiscreteStatsTable[[#This Row],[HalfWidth]],DiscreteStatsTable[[#This Row],[BatchMeansHalfWidth]])</f>
        <v>0</v>
      </c>
      <c r="X16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>
        <f>IF(DiscreteStatsTable[[#This Row],[RepsRequested]]=DiscreteStatsTable[[#This Row],[RepsWithStatObserved]],1,0)</f>
        <v>1</v>
      </c>
    </row>
    <row r="166" spans="1:25" x14ac:dyDescent="0.2">
      <c r="A166" t="s">
        <v>67</v>
      </c>
      <c r="B166" t="s">
        <v>70</v>
      </c>
      <c r="C166">
        <v>23</v>
      </c>
      <c r="D166" t="s">
        <v>74</v>
      </c>
      <c r="E166" t="s">
        <v>78</v>
      </c>
      <c r="F166" t="s">
        <v>76</v>
      </c>
      <c r="G166">
        <v>41.864642028230598</v>
      </c>
      <c r="H166">
        <v>2E+20</v>
      </c>
      <c r="I166">
        <v>17.9494189997231</v>
      </c>
      <c r="J166">
        <v>74.810423352549606</v>
      </c>
      <c r="K166">
        <v>280</v>
      </c>
      <c r="L16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cm="1">
        <f t="array" ref="N166">IFERROR(AVERAGE(IF((DiscreteStatsTable[GroupByKey]=DiscreteStatsTable[[#This Row],[GroupByKey]]),(DiscreteStatsTable[GroupByKey]=DiscreteStatsTable[[#This Row],[GroupByKey]])*DiscreteStatsTable[Average])),0)</f>
        <v>42.144608162589741</v>
      </c>
      <c r="O166" cm="1">
        <f t="array" ref="O166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66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66" cm="1">
        <f t="array" ref="R166">MIN(IF((DiscreteStatsTable[GroupByKey]=DiscreteStatsTable[[#This Row],[GroupByKey]]),(DiscreteStatsTable[GroupByKey]=DiscreteStatsTable[[#This Row],[GroupByKey]])*DiscreteStatsTable[Average]))</f>
        <v>41.266839452854697</v>
      </c>
      <c r="S166" cm="1">
        <f t="array" ref="S166">MAX(IF((DiscreteStatsTable[GroupByKey]=DiscreteStatsTable[[#This Row],[GroupByKey]]),(DiscreteStatsTable[GroupByKey]=DiscreteStatsTable[[#This Row],[GroupByKey]])*DiscreteStatsTable[Average]))</f>
        <v>43.261092257362002</v>
      </c>
      <c r="T166" cm="1">
        <f t="array" ref="T166">MIN(IF((DiscreteStatsTable[GroupByKey]=DiscreteStatsTable[[#This Row],[GroupByKey]]),(DiscreteStatsTable[GroupByKey]=DiscreteStatsTable[[#This Row],[GroupByKey]])*DiscreteStatsTable[Minimum]))</f>
        <v>14.356812659243699</v>
      </c>
      <c r="U166" cm="1">
        <f t="array" ref="U166">MAX(IF((DiscreteStatsTable[GroupByKey]=DiscreteStatsTable[[#This Row],[GroupByKey]]),(DiscreteStatsTable[GroupByKey]=DiscreteStatsTable[[#This Row],[GroupByKey]])*DiscreteStatsTable[Maximum]))</f>
        <v>109.278485088034</v>
      </c>
      <c r="V166" cm="1">
        <f t="array" ref="V166">IFERROR(AVERAGE(IF((DiscreteStatsTable[GroupByKey]=DiscreteStatsTable[[#This Row],[GroupByKey]]),(DiscreteStatsTable[GroupByKey]=DiscreteStatsTable[[#This Row],[GroupByKey]])*DiscreteStatsTable[NumberObservations])),0)</f>
        <v>285.3</v>
      </c>
      <c r="W166">
        <f>IF((DiscreteStatsTable[[#This Row],[RepsRequested]]&gt;1),DiscreteStatsTable[[#This Row],[HalfWidth]],DiscreteStatsTable[[#This Row],[BatchMeansHalfWidth]])</f>
        <v>0.18927867722499744</v>
      </c>
      <c r="X166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>
        <f>IF(DiscreteStatsTable[[#This Row],[RepsRequested]]=DiscreteStatsTable[[#This Row],[RepsWithStatObserved]],1,0)</f>
        <v>1</v>
      </c>
    </row>
    <row r="167" spans="1:25" x14ac:dyDescent="0.2">
      <c r="A167" t="s">
        <v>67</v>
      </c>
      <c r="B167" t="s">
        <v>70</v>
      </c>
      <c r="C167">
        <v>23</v>
      </c>
      <c r="D167" t="s">
        <v>74</v>
      </c>
      <c r="E167" t="s">
        <v>79</v>
      </c>
      <c r="F167" t="s">
        <v>76</v>
      </c>
      <c r="G167">
        <v>0</v>
      </c>
      <c r="H167">
        <v>2E+20</v>
      </c>
      <c r="I167">
        <v>0</v>
      </c>
      <c r="J167">
        <v>0</v>
      </c>
      <c r="K167">
        <v>280</v>
      </c>
      <c r="L16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cm="1">
        <f t="array" ref="V167">IFERROR(AVERAGE(IF((DiscreteStatsTable[GroupByKey]=DiscreteStatsTable[[#This Row],[GroupByKey]]),(DiscreteStatsTable[GroupByKey]=DiscreteStatsTable[[#This Row],[GroupByKey]])*DiscreteStatsTable[NumberObservations])),0)</f>
        <v>285.3</v>
      </c>
      <c r="W167">
        <f>IF((DiscreteStatsTable[[#This Row],[RepsRequested]]&gt;1),DiscreteStatsTable[[#This Row],[HalfWidth]],DiscreteStatsTable[[#This Row],[BatchMeansHalfWidth]])</f>
        <v>0</v>
      </c>
      <c r="X167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>
        <f>IF(DiscreteStatsTable[[#This Row],[RepsRequested]]=DiscreteStatsTable[[#This Row],[RepsWithStatObserved]],1,0)</f>
        <v>1</v>
      </c>
    </row>
    <row r="168" spans="1:25" x14ac:dyDescent="0.2">
      <c r="A168" t="s">
        <v>67</v>
      </c>
      <c r="B168" t="s">
        <v>70</v>
      </c>
      <c r="C168">
        <v>23</v>
      </c>
      <c r="D168" t="s">
        <v>74</v>
      </c>
      <c r="E168" t="s">
        <v>80</v>
      </c>
      <c r="F168" t="s">
        <v>76</v>
      </c>
      <c r="G168">
        <v>35.802150566011598</v>
      </c>
      <c r="H168">
        <v>2E+20</v>
      </c>
      <c r="I168">
        <v>17.2770794775975</v>
      </c>
      <c r="J168">
        <v>53.4332832449645</v>
      </c>
      <c r="K168">
        <v>280</v>
      </c>
      <c r="L16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cm="1">
        <f t="array" ref="N168">IFERROR(AVERAGE(IF((DiscreteStatsTable[GroupByKey]=DiscreteStatsTable[[#This Row],[GroupByKey]]),(DiscreteStatsTable[GroupByKey]=DiscreteStatsTable[[#This Row],[GroupByKey]])*DiscreteStatsTable[Average])),0)</f>
        <v>36.00428777459642</v>
      </c>
      <c r="O168" cm="1">
        <f t="array" ref="O168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68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68" cm="1">
        <f t="array" ref="R168">MIN(IF((DiscreteStatsTable[GroupByKey]=DiscreteStatsTable[[#This Row],[GroupByKey]]),(DiscreteStatsTable[GroupByKey]=DiscreteStatsTable[[#This Row],[GroupByKey]])*DiscreteStatsTable[Average]))</f>
        <v>35.158236096727201</v>
      </c>
      <c r="S168" cm="1">
        <f t="array" ref="S168">MAX(IF((DiscreteStatsTable[GroupByKey]=DiscreteStatsTable[[#This Row],[GroupByKey]]),(DiscreteStatsTable[GroupByKey]=DiscreteStatsTable[[#This Row],[GroupByKey]])*DiscreteStatsTable[Average]))</f>
        <v>36.707690403515898</v>
      </c>
      <c r="T168" cm="1">
        <f t="array" ref="T168">MIN(IF((DiscreteStatsTable[GroupByKey]=DiscreteStatsTable[[#This Row],[GroupByKey]]),(DiscreteStatsTable[GroupByKey]=DiscreteStatsTable[[#This Row],[GroupByKey]])*DiscreteStatsTable[Minimum]))</f>
        <v>14.2518779052622</v>
      </c>
      <c r="U168" cm="1">
        <f t="array" ref="U168">MAX(IF((DiscreteStatsTable[GroupByKey]=DiscreteStatsTable[[#This Row],[GroupByKey]]),(DiscreteStatsTable[GroupByKey]=DiscreteStatsTable[[#This Row],[GroupByKey]])*DiscreteStatsTable[Maximum]))</f>
        <v>59.774077085699403</v>
      </c>
      <c r="V168" cm="1">
        <f t="array" ref="V168">IFERROR(AVERAGE(IF((DiscreteStatsTable[GroupByKey]=DiscreteStatsTable[[#This Row],[GroupByKey]]),(DiscreteStatsTable[GroupByKey]=DiscreteStatsTable[[#This Row],[GroupByKey]])*DiscreteStatsTable[NumberObservations])),0)</f>
        <v>285.3</v>
      </c>
      <c r="W168">
        <f>IF((DiscreteStatsTable[[#This Row],[RepsRequested]]&gt;1),DiscreteStatsTable[[#This Row],[HalfWidth]],DiscreteStatsTable[[#This Row],[BatchMeansHalfWidth]])</f>
        <v>0.12798857311270725</v>
      </c>
      <c r="X168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>
        <f>IF(DiscreteStatsTable[[#This Row],[RepsRequested]]=DiscreteStatsTable[[#This Row],[RepsWithStatObserved]],1,0)</f>
        <v>1</v>
      </c>
    </row>
    <row r="169" spans="1:25" x14ac:dyDescent="0.2">
      <c r="A169" t="s">
        <v>67</v>
      </c>
      <c r="B169" t="s">
        <v>70</v>
      </c>
      <c r="C169">
        <v>23</v>
      </c>
      <c r="D169" t="s">
        <v>74</v>
      </c>
      <c r="E169" t="s">
        <v>81</v>
      </c>
      <c r="F169" t="s">
        <v>76</v>
      </c>
      <c r="G169">
        <v>13.6763311799081</v>
      </c>
      <c r="H169">
        <v>2E+20</v>
      </c>
      <c r="I169">
        <v>0</v>
      </c>
      <c r="J169">
        <v>78.609040049624497</v>
      </c>
      <c r="K169">
        <v>280</v>
      </c>
      <c r="L16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cm="1">
        <f t="array" ref="N169">IFERROR(AVERAGE(IF((DiscreteStatsTable[GroupByKey]=DiscreteStatsTable[[#This Row],[GroupByKey]]),(DiscreteStatsTable[GroupByKey]=DiscreteStatsTable[[#This Row],[GroupByKey]])*DiscreteStatsTable[Average])),0)</f>
        <v>13.621559896422417</v>
      </c>
      <c r="O169" cm="1">
        <f t="array" ref="O169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69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69" cm="1">
        <f t="array" ref="R169">MIN(IF((DiscreteStatsTable[GroupByKey]=DiscreteStatsTable[[#This Row],[GroupByKey]]),(DiscreteStatsTable[GroupByKey]=DiscreteStatsTable[[#This Row],[GroupByKey]])*DiscreteStatsTable[Average]))</f>
        <v>12.598242749972901</v>
      </c>
      <c r="S169" cm="1">
        <f t="array" ref="S169">MAX(IF((DiscreteStatsTable[GroupByKey]=DiscreteStatsTable[[#This Row],[GroupByKey]]),(DiscreteStatsTable[GroupByKey]=DiscreteStatsTable[[#This Row],[GroupByKey]])*DiscreteStatsTable[Average]))</f>
        <v>14.319051591609201</v>
      </c>
      <c r="T169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cm="1">
        <f t="array" ref="U169">MAX(IF((DiscreteStatsTable[GroupByKey]=DiscreteStatsTable[[#This Row],[GroupByKey]]),(DiscreteStatsTable[GroupByKey]=DiscreteStatsTable[[#This Row],[GroupByKey]])*DiscreteStatsTable[Maximum]))</f>
        <v>180.86047487093799</v>
      </c>
      <c r="V169" cm="1">
        <f t="array" ref="V169">IFERROR(AVERAGE(IF((DiscreteStatsTable[GroupByKey]=DiscreteStatsTable[[#This Row],[GroupByKey]]),(DiscreteStatsTable[GroupByKey]=DiscreteStatsTable[[#This Row],[GroupByKey]])*DiscreteStatsTable[NumberObservations])),0)</f>
        <v>285.3</v>
      </c>
      <c r="W169">
        <f>IF((DiscreteStatsTable[[#This Row],[RepsRequested]]&gt;1),DiscreteStatsTable[[#This Row],[HalfWidth]],DiscreteStatsTable[[#This Row],[BatchMeansHalfWidth]])</f>
        <v>0.14806141778332987</v>
      </c>
      <c r="X169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>
        <f>IF(DiscreteStatsTable[[#This Row],[RepsRequested]]=DiscreteStatsTable[[#This Row],[RepsWithStatObserved]],1,0)</f>
        <v>1</v>
      </c>
    </row>
    <row r="170" spans="1:25" x14ac:dyDescent="0.2">
      <c r="A170" t="s">
        <v>67</v>
      </c>
      <c r="B170" t="s">
        <v>70</v>
      </c>
      <c r="C170">
        <v>24</v>
      </c>
      <c r="D170" t="s">
        <v>74</v>
      </c>
      <c r="E170" t="s">
        <v>75</v>
      </c>
      <c r="F170" t="s">
        <v>76</v>
      </c>
      <c r="G170">
        <v>0</v>
      </c>
      <c r="H170">
        <v>2E+20</v>
      </c>
      <c r="I170">
        <v>0</v>
      </c>
      <c r="J170">
        <v>0</v>
      </c>
      <c r="K170">
        <v>291</v>
      </c>
      <c r="L17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cm="1">
        <f t="array" ref="V170">IFERROR(AVERAGE(IF((DiscreteStatsTable[GroupByKey]=DiscreteStatsTable[[#This Row],[GroupByKey]]),(DiscreteStatsTable[GroupByKey]=DiscreteStatsTable[[#This Row],[GroupByKey]])*DiscreteStatsTable[NumberObservations])),0)</f>
        <v>285.3</v>
      </c>
      <c r="W170">
        <f>IF((DiscreteStatsTable[[#This Row],[RepsRequested]]&gt;1),DiscreteStatsTable[[#This Row],[HalfWidth]],DiscreteStatsTable[[#This Row],[BatchMeansHalfWidth]])</f>
        <v>0</v>
      </c>
      <c r="X170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>
        <f>IF(DiscreteStatsTable[[#This Row],[RepsRequested]]=DiscreteStatsTable[[#This Row],[RepsWithStatObserved]],1,0)</f>
        <v>1</v>
      </c>
    </row>
    <row r="171" spans="1:25" x14ac:dyDescent="0.2">
      <c r="A171" t="s">
        <v>67</v>
      </c>
      <c r="B171" t="s">
        <v>70</v>
      </c>
      <c r="C171">
        <v>24</v>
      </c>
      <c r="D171" t="s">
        <v>74</v>
      </c>
      <c r="E171" t="s">
        <v>77</v>
      </c>
      <c r="F171" t="s">
        <v>76</v>
      </c>
      <c r="G171">
        <v>0</v>
      </c>
      <c r="H171">
        <v>2E+20</v>
      </c>
      <c r="I171">
        <v>0</v>
      </c>
      <c r="J171">
        <v>0</v>
      </c>
      <c r="K171">
        <v>291</v>
      </c>
      <c r="L17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cm="1">
        <f t="array" ref="V171">IFERROR(AVERAGE(IF((DiscreteStatsTable[GroupByKey]=DiscreteStatsTable[[#This Row],[GroupByKey]]),(DiscreteStatsTable[GroupByKey]=DiscreteStatsTable[[#This Row],[GroupByKey]])*DiscreteStatsTable[NumberObservations])),0)</f>
        <v>285.3</v>
      </c>
      <c r="W171">
        <f>IF((DiscreteStatsTable[[#This Row],[RepsRequested]]&gt;1),DiscreteStatsTable[[#This Row],[HalfWidth]],DiscreteStatsTable[[#This Row],[BatchMeansHalfWidth]])</f>
        <v>0</v>
      </c>
      <c r="X171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>
        <f>IF(DiscreteStatsTable[[#This Row],[RepsRequested]]=DiscreteStatsTable[[#This Row],[RepsWithStatObserved]],1,0)</f>
        <v>1</v>
      </c>
    </row>
    <row r="172" spans="1:25" x14ac:dyDescent="0.2">
      <c r="A172" t="s">
        <v>67</v>
      </c>
      <c r="B172" t="s">
        <v>70</v>
      </c>
      <c r="C172">
        <v>24</v>
      </c>
      <c r="D172" t="s">
        <v>74</v>
      </c>
      <c r="E172" t="s">
        <v>78</v>
      </c>
      <c r="F172" t="s">
        <v>76</v>
      </c>
      <c r="G172">
        <v>43.023556428397399</v>
      </c>
      <c r="H172">
        <v>2E+20</v>
      </c>
      <c r="I172">
        <v>15.529317608629301</v>
      </c>
      <c r="J172">
        <v>101.053920186113</v>
      </c>
      <c r="K172">
        <v>291</v>
      </c>
      <c r="L17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cm="1">
        <f t="array" ref="N172">IFERROR(AVERAGE(IF((DiscreteStatsTable[GroupByKey]=DiscreteStatsTable[[#This Row],[GroupByKey]]),(DiscreteStatsTable[GroupByKey]=DiscreteStatsTable[[#This Row],[GroupByKey]])*DiscreteStatsTable[Average])),0)</f>
        <v>42.144608162589741</v>
      </c>
      <c r="O172" cm="1">
        <f t="array" ref="O172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72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72" cm="1">
        <f t="array" ref="R172">MIN(IF((DiscreteStatsTable[GroupByKey]=DiscreteStatsTable[[#This Row],[GroupByKey]]),(DiscreteStatsTable[GroupByKey]=DiscreteStatsTable[[#This Row],[GroupByKey]])*DiscreteStatsTable[Average]))</f>
        <v>41.266839452854697</v>
      </c>
      <c r="S172" cm="1">
        <f t="array" ref="S172">MAX(IF((DiscreteStatsTable[GroupByKey]=DiscreteStatsTable[[#This Row],[GroupByKey]]),(DiscreteStatsTable[GroupByKey]=DiscreteStatsTable[[#This Row],[GroupByKey]])*DiscreteStatsTable[Average]))</f>
        <v>43.261092257362002</v>
      </c>
      <c r="T172" cm="1">
        <f t="array" ref="T172">MIN(IF((DiscreteStatsTable[GroupByKey]=DiscreteStatsTable[[#This Row],[GroupByKey]]),(DiscreteStatsTable[GroupByKey]=DiscreteStatsTable[[#This Row],[GroupByKey]])*DiscreteStatsTable[Minimum]))</f>
        <v>14.356812659243699</v>
      </c>
      <c r="U172" cm="1">
        <f t="array" ref="U172">MAX(IF((DiscreteStatsTable[GroupByKey]=DiscreteStatsTable[[#This Row],[GroupByKey]]),(DiscreteStatsTable[GroupByKey]=DiscreteStatsTable[[#This Row],[GroupByKey]])*DiscreteStatsTable[Maximum]))</f>
        <v>109.278485088034</v>
      </c>
      <c r="V172" cm="1">
        <f t="array" ref="V172">IFERROR(AVERAGE(IF((DiscreteStatsTable[GroupByKey]=DiscreteStatsTable[[#This Row],[GroupByKey]]),(DiscreteStatsTable[GroupByKey]=DiscreteStatsTable[[#This Row],[GroupByKey]])*DiscreteStatsTable[NumberObservations])),0)</f>
        <v>285.3</v>
      </c>
      <c r="W172">
        <f>IF((DiscreteStatsTable[[#This Row],[RepsRequested]]&gt;1),DiscreteStatsTable[[#This Row],[HalfWidth]],DiscreteStatsTable[[#This Row],[BatchMeansHalfWidth]])</f>
        <v>0.18927867722499744</v>
      </c>
      <c r="X172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>
        <f>IF(DiscreteStatsTable[[#This Row],[RepsRequested]]=DiscreteStatsTable[[#This Row],[RepsWithStatObserved]],1,0)</f>
        <v>1</v>
      </c>
    </row>
    <row r="173" spans="1:25" x14ac:dyDescent="0.2">
      <c r="A173" t="s">
        <v>67</v>
      </c>
      <c r="B173" t="s">
        <v>70</v>
      </c>
      <c r="C173">
        <v>24</v>
      </c>
      <c r="D173" t="s">
        <v>74</v>
      </c>
      <c r="E173" t="s">
        <v>79</v>
      </c>
      <c r="F173" t="s">
        <v>76</v>
      </c>
      <c r="G173">
        <v>0</v>
      </c>
      <c r="H173">
        <v>2E+20</v>
      </c>
      <c r="I173">
        <v>0</v>
      </c>
      <c r="J173">
        <v>0</v>
      </c>
      <c r="K173">
        <v>291</v>
      </c>
      <c r="L17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cm="1">
        <f t="array" ref="V173">IFERROR(AVERAGE(IF((DiscreteStatsTable[GroupByKey]=DiscreteStatsTable[[#This Row],[GroupByKey]]),(DiscreteStatsTable[GroupByKey]=DiscreteStatsTable[[#This Row],[GroupByKey]])*DiscreteStatsTable[NumberObservations])),0)</f>
        <v>285.3</v>
      </c>
      <c r="W173">
        <f>IF((DiscreteStatsTable[[#This Row],[RepsRequested]]&gt;1),DiscreteStatsTable[[#This Row],[HalfWidth]],DiscreteStatsTable[[#This Row],[BatchMeansHalfWidth]])</f>
        <v>0</v>
      </c>
      <c r="X173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>
        <f>IF(DiscreteStatsTable[[#This Row],[RepsRequested]]=DiscreteStatsTable[[#This Row],[RepsWithStatObserved]],1,0)</f>
        <v>1</v>
      </c>
    </row>
    <row r="174" spans="1:25" x14ac:dyDescent="0.2">
      <c r="A174" t="s">
        <v>67</v>
      </c>
      <c r="B174" t="s">
        <v>70</v>
      </c>
      <c r="C174">
        <v>24</v>
      </c>
      <c r="D174" t="s">
        <v>74</v>
      </c>
      <c r="E174" t="s">
        <v>80</v>
      </c>
      <c r="F174" t="s">
        <v>76</v>
      </c>
      <c r="G174">
        <v>36.491995373236797</v>
      </c>
      <c r="H174">
        <v>2E+20</v>
      </c>
      <c r="I174">
        <v>15.529317608629301</v>
      </c>
      <c r="J174">
        <v>51.918456555373297</v>
      </c>
      <c r="K174">
        <v>291</v>
      </c>
      <c r="L17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cm="1">
        <f t="array" ref="N174">IFERROR(AVERAGE(IF((DiscreteStatsTable[GroupByKey]=DiscreteStatsTable[[#This Row],[GroupByKey]]),(DiscreteStatsTable[GroupByKey]=DiscreteStatsTable[[#This Row],[GroupByKey]])*DiscreteStatsTable[Average])),0)</f>
        <v>36.00428777459642</v>
      </c>
      <c r="O174" cm="1">
        <f t="array" ref="O174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74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74" cm="1">
        <f t="array" ref="R174">MIN(IF((DiscreteStatsTable[GroupByKey]=DiscreteStatsTable[[#This Row],[GroupByKey]]),(DiscreteStatsTable[GroupByKey]=DiscreteStatsTable[[#This Row],[GroupByKey]])*DiscreteStatsTable[Average]))</f>
        <v>35.158236096727201</v>
      </c>
      <c r="S174" cm="1">
        <f t="array" ref="S174">MAX(IF((DiscreteStatsTable[GroupByKey]=DiscreteStatsTable[[#This Row],[GroupByKey]]),(DiscreteStatsTable[GroupByKey]=DiscreteStatsTable[[#This Row],[GroupByKey]])*DiscreteStatsTable[Average]))</f>
        <v>36.707690403515898</v>
      </c>
      <c r="T174" cm="1">
        <f t="array" ref="T174">MIN(IF((DiscreteStatsTable[GroupByKey]=DiscreteStatsTable[[#This Row],[GroupByKey]]),(DiscreteStatsTable[GroupByKey]=DiscreteStatsTable[[#This Row],[GroupByKey]])*DiscreteStatsTable[Minimum]))</f>
        <v>14.2518779052622</v>
      </c>
      <c r="U174" cm="1">
        <f t="array" ref="U174">MAX(IF((DiscreteStatsTable[GroupByKey]=DiscreteStatsTable[[#This Row],[GroupByKey]]),(DiscreteStatsTable[GroupByKey]=DiscreteStatsTable[[#This Row],[GroupByKey]])*DiscreteStatsTable[Maximum]))</f>
        <v>59.774077085699403</v>
      </c>
      <c r="V174" cm="1">
        <f t="array" ref="V174">IFERROR(AVERAGE(IF((DiscreteStatsTable[GroupByKey]=DiscreteStatsTable[[#This Row],[GroupByKey]]),(DiscreteStatsTable[GroupByKey]=DiscreteStatsTable[[#This Row],[GroupByKey]])*DiscreteStatsTable[NumberObservations])),0)</f>
        <v>285.3</v>
      </c>
      <c r="W174">
        <f>IF((DiscreteStatsTable[[#This Row],[RepsRequested]]&gt;1),DiscreteStatsTable[[#This Row],[HalfWidth]],DiscreteStatsTable[[#This Row],[BatchMeansHalfWidth]])</f>
        <v>0.12798857311270725</v>
      </c>
      <c r="X174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>
        <f>IF(DiscreteStatsTable[[#This Row],[RepsRequested]]=DiscreteStatsTable[[#This Row],[RepsWithStatObserved]],1,0)</f>
        <v>1</v>
      </c>
    </row>
    <row r="175" spans="1:25" x14ac:dyDescent="0.2">
      <c r="A175" t="s">
        <v>67</v>
      </c>
      <c r="B175" t="s">
        <v>70</v>
      </c>
      <c r="C175">
        <v>24</v>
      </c>
      <c r="D175" t="s">
        <v>74</v>
      </c>
      <c r="E175" t="s">
        <v>81</v>
      </c>
      <c r="F175" t="s">
        <v>76</v>
      </c>
      <c r="G175">
        <v>13.864202822477299</v>
      </c>
      <c r="H175">
        <v>2E+20</v>
      </c>
      <c r="I175">
        <v>0</v>
      </c>
      <c r="J175">
        <v>111.42459066244599</v>
      </c>
      <c r="K175">
        <v>291</v>
      </c>
      <c r="L17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cm="1">
        <f t="array" ref="N175">IFERROR(AVERAGE(IF((DiscreteStatsTable[GroupByKey]=DiscreteStatsTable[[#This Row],[GroupByKey]]),(DiscreteStatsTable[GroupByKey]=DiscreteStatsTable[[#This Row],[GroupByKey]])*DiscreteStatsTable[Average])),0)</f>
        <v>13.621559896422417</v>
      </c>
      <c r="O175" cm="1">
        <f t="array" ref="O175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7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75" cm="1">
        <f t="array" ref="R175">MIN(IF((DiscreteStatsTable[GroupByKey]=DiscreteStatsTable[[#This Row],[GroupByKey]]),(DiscreteStatsTable[GroupByKey]=DiscreteStatsTable[[#This Row],[GroupByKey]])*DiscreteStatsTable[Average]))</f>
        <v>12.598242749972901</v>
      </c>
      <c r="S175" cm="1">
        <f t="array" ref="S175">MAX(IF((DiscreteStatsTable[GroupByKey]=DiscreteStatsTable[[#This Row],[GroupByKey]]),(DiscreteStatsTable[GroupByKey]=DiscreteStatsTable[[#This Row],[GroupByKey]])*DiscreteStatsTable[Average]))</f>
        <v>14.319051591609201</v>
      </c>
      <c r="T17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cm="1">
        <f t="array" ref="U175">MAX(IF((DiscreteStatsTable[GroupByKey]=DiscreteStatsTable[[#This Row],[GroupByKey]]),(DiscreteStatsTable[GroupByKey]=DiscreteStatsTable[[#This Row],[GroupByKey]])*DiscreteStatsTable[Maximum]))</f>
        <v>180.86047487093799</v>
      </c>
      <c r="V175" cm="1">
        <f t="array" ref="V175">IFERROR(AVERAGE(IF((DiscreteStatsTable[GroupByKey]=DiscreteStatsTable[[#This Row],[GroupByKey]]),(DiscreteStatsTable[GroupByKey]=DiscreteStatsTable[[#This Row],[GroupByKey]])*DiscreteStatsTable[NumberObservations])),0)</f>
        <v>285.3</v>
      </c>
      <c r="W175">
        <f>IF((DiscreteStatsTable[[#This Row],[RepsRequested]]&gt;1),DiscreteStatsTable[[#This Row],[HalfWidth]],DiscreteStatsTable[[#This Row],[BatchMeansHalfWidth]])</f>
        <v>0.14806141778332987</v>
      </c>
      <c r="X17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>
        <f>IF(DiscreteStatsTable[[#This Row],[RepsRequested]]=DiscreteStatsTable[[#This Row],[RepsWithStatObserved]],1,0)</f>
        <v>1</v>
      </c>
    </row>
    <row r="176" spans="1:25" x14ac:dyDescent="0.2">
      <c r="A176" t="s">
        <v>67</v>
      </c>
      <c r="B176" t="s">
        <v>70</v>
      </c>
      <c r="C176">
        <v>25</v>
      </c>
      <c r="D176" t="s">
        <v>74</v>
      </c>
      <c r="E176" t="s">
        <v>75</v>
      </c>
      <c r="F176" t="s">
        <v>76</v>
      </c>
      <c r="G176">
        <v>0</v>
      </c>
      <c r="H176">
        <v>2E+20</v>
      </c>
      <c r="I176">
        <v>0</v>
      </c>
      <c r="J176">
        <v>0</v>
      </c>
      <c r="K176">
        <v>302</v>
      </c>
      <c r="L17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cm="1">
        <f t="array" ref="V176">IFERROR(AVERAGE(IF((DiscreteStatsTable[GroupByKey]=DiscreteStatsTable[[#This Row],[GroupByKey]]),(DiscreteStatsTable[GroupByKey]=DiscreteStatsTable[[#This Row],[GroupByKey]])*DiscreteStatsTable[NumberObservations])),0)</f>
        <v>285.3</v>
      </c>
      <c r="W176">
        <f>IF((DiscreteStatsTable[[#This Row],[RepsRequested]]&gt;1),DiscreteStatsTable[[#This Row],[HalfWidth]],DiscreteStatsTable[[#This Row],[BatchMeansHalfWidth]])</f>
        <v>0</v>
      </c>
      <c r="X176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>
        <f>IF(DiscreteStatsTable[[#This Row],[RepsRequested]]=DiscreteStatsTable[[#This Row],[RepsWithStatObserved]],1,0)</f>
        <v>1</v>
      </c>
    </row>
    <row r="177" spans="1:25" x14ac:dyDescent="0.2">
      <c r="A177" t="s">
        <v>67</v>
      </c>
      <c r="B177" t="s">
        <v>70</v>
      </c>
      <c r="C177">
        <v>25</v>
      </c>
      <c r="D177" t="s">
        <v>74</v>
      </c>
      <c r="E177" t="s">
        <v>77</v>
      </c>
      <c r="F177" t="s">
        <v>76</v>
      </c>
      <c r="G177">
        <v>0</v>
      </c>
      <c r="H177">
        <v>2E+20</v>
      </c>
      <c r="I177">
        <v>0</v>
      </c>
      <c r="J177">
        <v>0</v>
      </c>
      <c r="K177">
        <v>302</v>
      </c>
      <c r="L17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cm="1">
        <f t="array" ref="V177">IFERROR(AVERAGE(IF((DiscreteStatsTable[GroupByKey]=DiscreteStatsTable[[#This Row],[GroupByKey]]),(DiscreteStatsTable[GroupByKey]=DiscreteStatsTable[[#This Row],[GroupByKey]])*DiscreteStatsTable[NumberObservations])),0)</f>
        <v>285.3</v>
      </c>
      <c r="W177">
        <f>IF((DiscreteStatsTable[[#This Row],[RepsRequested]]&gt;1),DiscreteStatsTable[[#This Row],[HalfWidth]],DiscreteStatsTable[[#This Row],[BatchMeansHalfWidth]])</f>
        <v>0</v>
      </c>
      <c r="X177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>
        <f>IF(DiscreteStatsTable[[#This Row],[RepsRequested]]=DiscreteStatsTable[[#This Row],[RepsWithStatObserved]],1,0)</f>
        <v>1</v>
      </c>
    </row>
    <row r="178" spans="1:25" x14ac:dyDescent="0.2">
      <c r="A178" t="s">
        <v>67</v>
      </c>
      <c r="B178" t="s">
        <v>70</v>
      </c>
      <c r="C178">
        <v>25</v>
      </c>
      <c r="D178" t="s">
        <v>74</v>
      </c>
      <c r="E178" t="s">
        <v>78</v>
      </c>
      <c r="F178" t="s">
        <v>76</v>
      </c>
      <c r="G178">
        <v>41.278037848851099</v>
      </c>
      <c r="H178">
        <v>2E+20</v>
      </c>
      <c r="I178">
        <v>21.356997215153999</v>
      </c>
      <c r="J178">
        <v>83.170898626337006</v>
      </c>
      <c r="K178">
        <v>302</v>
      </c>
      <c r="L17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cm="1">
        <f t="array" ref="N178">IFERROR(AVERAGE(IF((DiscreteStatsTable[GroupByKey]=DiscreteStatsTable[[#This Row],[GroupByKey]]),(DiscreteStatsTable[GroupByKey]=DiscreteStatsTable[[#This Row],[GroupByKey]])*DiscreteStatsTable[Average])),0)</f>
        <v>42.144608162589741</v>
      </c>
      <c r="O178" cm="1">
        <f t="array" ref="O178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78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78" cm="1">
        <f t="array" ref="R178">MIN(IF((DiscreteStatsTable[GroupByKey]=DiscreteStatsTable[[#This Row],[GroupByKey]]),(DiscreteStatsTable[GroupByKey]=DiscreteStatsTable[[#This Row],[GroupByKey]])*DiscreteStatsTable[Average]))</f>
        <v>41.266839452854697</v>
      </c>
      <c r="S178" cm="1">
        <f t="array" ref="S178">MAX(IF((DiscreteStatsTable[GroupByKey]=DiscreteStatsTable[[#This Row],[GroupByKey]]),(DiscreteStatsTable[GroupByKey]=DiscreteStatsTable[[#This Row],[GroupByKey]])*DiscreteStatsTable[Average]))</f>
        <v>43.261092257362002</v>
      </c>
      <c r="T178" cm="1">
        <f t="array" ref="T178">MIN(IF((DiscreteStatsTable[GroupByKey]=DiscreteStatsTable[[#This Row],[GroupByKey]]),(DiscreteStatsTable[GroupByKey]=DiscreteStatsTable[[#This Row],[GroupByKey]])*DiscreteStatsTable[Minimum]))</f>
        <v>14.356812659243699</v>
      </c>
      <c r="U178" cm="1">
        <f t="array" ref="U178">MAX(IF((DiscreteStatsTable[GroupByKey]=DiscreteStatsTable[[#This Row],[GroupByKey]]),(DiscreteStatsTable[GroupByKey]=DiscreteStatsTable[[#This Row],[GroupByKey]])*DiscreteStatsTable[Maximum]))</f>
        <v>109.278485088034</v>
      </c>
      <c r="V178" cm="1">
        <f t="array" ref="V178">IFERROR(AVERAGE(IF((DiscreteStatsTable[GroupByKey]=DiscreteStatsTable[[#This Row],[GroupByKey]]),(DiscreteStatsTable[GroupByKey]=DiscreteStatsTable[[#This Row],[GroupByKey]])*DiscreteStatsTable[NumberObservations])),0)</f>
        <v>285.3</v>
      </c>
      <c r="W178">
        <f>IF((DiscreteStatsTable[[#This Row],[RepsRequested]]&gt;1),DiscreteStatsTable[[#This Row],[HalfWidth]],DiscreteStatsTable[[#This Row],[BatchMeansHalfWidth]])</f>
        <v>0.18927867722499744</v>
      </c>
      <c r="X178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>
        <f>IF(DiscreteStatsTable[[#This Row],[RepsRequested]]=DiscreteStatsTable[[#This Row],[RepsWithStatObserved]],1,0)</f>
        <v>1</v>
      </c>
    </row>
    <row r="179" spans="1:25" x14ac:dyDescent="0.2">
      <c r="A179" t="s">
        <v>67</v>
      </c>
      <c r="B179" t="s">
        <v>70</v>
      </c>
      <c r="C179">
        <v>25</v>
      </c>
      <c r="D179" t="s">
        <v>74</v>
      </c>
      <c r="E179" t="s">
        <v>79</v>
      </c>
      <c r="F179" t="s">
        <v>76</v>
      </c>
      <c r="G179">
        <v>0</v>
      </c>
      <c r="H179">
        <v>2E+20</v>
      </c>
      <c r="I179">
        <v>0</v>
      </c>
      <c r="J179">
        <v>0</v>
      </c>
      <c r="K179">
        <v>302</v>
      </c>
      <c r="L17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cm="1">
        <f t="array" ref="V179">IFERROR(AVERAGE(IF((DiscreteStatsTable[GroupByKey]=DiscreteStatsTable[[#This Row],[GroupByKey]]),(DiscreteStatsTable[GroupByKey]=DiscreteStatsTable[[#This Row],[GroupByKey]])*DiscreteStatsTable[NumberObservations])),0)</f>
        <v>285.3</v>
      </c>
      <c r="W179">
        <f>IF((DiscreteStatsTable[[#This Row],[RepsRequested]]&gt;1),DiscreteStatsTable[[#This Row],[HalfWidth]],DiscreteStatsTable[[#This Row],[BatchMeansHalfWidth]])</f>
        <v>0</v>
      </c>
      <c r="X179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>
        <f>IF(DiscreteStatsTable[[#This Row],[RepsRequested]]=DiscreteStatsTable[[#This Row],[RepsWithStatObserved]],1,0)</f>
        <v>1</v>
      </c>
    </row>
    <row r="180" spans="1:25" x14ac:dyDescent="0.2">
      <c r="A180" t="s">
        <v>67</v>
      </c>
      <c r="B180" t="s">
        <v>70</v>
      </c>
      <c r="C180">
        <v>25</v>
      </c>
      <c r="D180" t="s">
        <v>74</v>
      </c>
      <c r="E180" t="s">
        <v>80</v>
      </c>
      <c r="F180" t="s">
        <v>76</v>
      </c>
      <c r="G180">
        <v>35.531102524576298</v>
      </c>
      <c r="H180">
        <v>2E+20</v>
      </c>
      <c r="I180">
        <v>19.755083445415799</v>
      </c>
      <c r="J180">
        <v>55.363753473801999</v>
      </c>
      <c r="K180">
        <v>302</v>
      </c>
      <c r="L18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cm="1">
        <f t="array" ref="N180">IFERROR(AVERAGE(IF((DiscreteStatsTable[GroupByKey]=DiscreteStatsTable[[#This Row],[GroupByKey]]),(DiscreteStatsTable[GroupByKey]=DiscreteStatsTable[[#This Row],[GroupByKey]])*DiscreteStatsTable[Average])),0)</f>
        <v>36.00428777459642</v>
      </c>
      <c r="O180" cm="1">
        <f t="array" ref="O180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80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80" cm="1">
        <f t="array" ref="R180">MIN(IF((DiscreteStatsTable[GroupByKey]=DiscreteStatsTable[[#This Row],[GroupByKey]]),(DiscreteStatsTable[GroupByKey]=DiscreteStatsTable[[#This Row],[GroupByKey]])*DiscreteStatsTable[Average]))</f>
        <v>35.158236096727201</v>
      </c>
      <c r="S180" cm="1">
        <f t="array" ref="S180">MAX(IF((DiscreteStatsTable[GroupByKey]=DiscreteStatsTable[[#This Row],[GroupByKey]]),(DiscreteStatsTable[GroupByKey]=DiscreteStatsTable[[#This Row],[GroupByKey]])*DiscreteStatsTable[Average]))</f>
        <v>36.707690403515898</v>
      </c>
      <c r="T180" cm="1">
        <f t="array" ref="T180">MIN(IF((DiscreteStatsTable[GroupByKey]=DiscreteStatsTable[[#This Row],[GroupByKey]]),(DiscreteStatsTable[GroupByKey]=DiscreteStatsTable[[#This Row],[GroupByKey]])*DiscreteStatsTable[Minimum]))</f>
        <v>14.2518779052622</v>
      </c>
      <c r="U180" cm="1">
        <f t="array" ref="U180">MAX(IF((DiscreteStatsTable[GroupByKey]=DiscreteStatsTable[[#This Row],[GroupByKey]]),(DiscreteStatsTable[GroupByKey]=DiscreteStatsTable[[#This Row],[GroupByKey]])*DiscreteStatsTable[Maximum]))</f>
        <v>59.774077085699403</v>
      </c>
      <c r="V180" cm="1">
        <f t="array" ref="V180">IFERROR(AVERAGE(IF((DiscreteStatsTable[GroupByKey]=DiscreteStatsTable[[#This Row],[GroupByKey]]),(DiscreteStatsTable[GroupByKey]=DiscreteStatsTable[[#This Row],[GroupByKey]])*DiscreteStatsTable[NumberObservations])),0)</f>
        <v>285.3</v>
      </c>
      <c r="W180">
        <f>IF((DiscreteStatsTable[[#This Row],[RepsRequested]]&gt;1),DiscreteStatsTable[[#This Row],[HalfWidth]],DiscreteStatsTable[[#This Row],[BatchMeansHalfWidth]])</f>
        <v>0.12798857311270725</v>
      </c>
      <c r="X180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>
        <f>IF(DiscreteStatsTable[[#This Row],[RepsRequested]]=DiscreteStatsTable[[#This Row],[RepsWithStatObserved]],1,0)</f>
        <v>1</v>
      </c>
    </row>
    <row r="181" spans="1:25" x14ac:dyDescent="0.2">
      <c r="A181" t="s">
        <v>67</v>
      </c>
      <c r="B181" t="s">
        <v>70</v>
      </c>
      <c r="C181">
        <v>25</v>
      </c>
      <c r="D181" t="s">
        <v>74</v>
      </c>
      <c r="E181" t="s">
        <v>81</v>
      </c>
      <c r="F181" t="s">
        <v>76</v>
      </c>
      <c r="G181">
        <v>12.598242749972901</v>
      </c>
      <c r="H181">
        <v>2E+20</v>
      </c>
      <c r="I181">
        <v>0</v>
      </c>
      <c r="J181">
        <v>88.878516151092498</v>
      </c>
      <c r="K181">
        <v>302</v>
      </c>
      <c r="L18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cm="1">
        <f t="array" ref="N181">IFERROR(AVERAGE(IF((DiscreteStatsTable[GroupByKey]=DiscreteStatsTable[[#This Row],[GroupByKey]]),(DiscreteStatsTable[GroupByKey]=DiscreteStatsTable[[#This Row],[GroupByKey]])*DiscreteStatsTable[Average])),0)</f>
        <v>13.621559896422417</v>
      </c>
      <c r="O181" cm="1">
        <f t="array" ref="O181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81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81" cm="1">
        <f t="array" ref="R181">MIN(IF((DiscreteStatsTable[GroupByKey]=DiscreteStatsTable[[#This Row],[GroupByKey]]),(DiscreteStatsTable[GroupByKey]=DiscreteStatsTable[[#This Row],[GroupByKey]])*DiscreteStatsTable[Average]))</f>
        <v>12.598242749972901</v>
      </c>
      <c r="S181" cm="1">
        <f t="array" ref="S181">MAX(IF((DiscreteStatsTable[GroupByKey]=DiscreteStatsTable[[#This Row],[GroupByKey]]),(DiscreteStatsTable[GroupByKey]=DiscreteStatsTable[[#This Row],[GroupByKey]])*DiscreteStatsTable[Average]))</f>
        <v>14.319051591609201</v>
      </c>
      <c r="T181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cm="1">
        <f t="array" ref="U181">MAX(IF((DiscreteStatsTable[GroupByKey]=DiscreteStatsTable[[#This Row],[GroupByKey]]),(DiscreteStatsTable[GroupByKey]=DiscreteStatsTable[[#This Row],[GroupByKey]])*DiscreteStatsTable[Maximum]))</f>
        <v>180.86047487093799</v>
      </c>
      <c r="V181" cm="1">
        <f t="array" ref="V181">IFERROR(AVERAGE(IF((DiscreteStatsTable[GroupByKey]=DiscreteStatsTable[[#This Row],[GroupByKey]]),(DiscreteStatsTable[GroupByKey]=DiscreteStatsTable[[#This Row],[GroupByKey]])*DiscreteStatsTable[NumberObservations])),0)</f>
        <v>285.3</v>
      </c>
      <c r="W181">
        <f>IF((DiscreteStatsTable[[#This Row],[RepsRequested]]&gt;1),DiscreteStatsTable[[#This Row],[HalfWidth]],DiscreteStatsTable[[#This Row],[BatchMeansHalfWidth]])</f>
        <v>0.14806141778332987</v>
      </c>
      <c r="X181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>
        <f>IF(DiscreteStatsTable[[#This Row],[RepsRequested]]=DiscreteStatsTable[[#This Row],[RepsWithStatObserved]],1,0)</f>
        <v>1</v>
      </c>
    </row>
    <row r="182" spans="1:25" x14ac:dyDescent="0.2">
      <c r="A182" t="s">
        <v>67</v>
      </c>
      <c r="B182" t="s">
        <v>70</v>
      </c>
      <c r="C182">
        <v>26</v>
      </c>
      <c r="D182" t="s">
        <v>74</v>
      </c>
      <c r="E182" t="s">
        <v>75</v>
      </c>
      <c r="F182" t="s">
        <v>76</v>
      </c>
      <c r="G182">
        <v>0</v>
      </c>
      <c r="H182">
        <v>2E+20</v>
      </c>
      <c r="I182">
        <v>0</v>
      </c>
      <c r="J182">
        <v>0</v>
      </c>
      <c r="K182">
        <v>272</v>
      </c>
      <c r="L18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82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cm="1">
        <f t="array" ref="N182">IFERROR(AVERAGE(IF((DiscreteStatsTable[GroupByKey]=DiscreteStatsTable[[#This Row],[GroupByKey]]),(DiscreteStatsTable[GroupByKey]=DiscreteStatsTable[[#This Row],[GroupByKey]])*DiscreteStatsTable[Average])),0)</f>
        <v>0</v>
      </c>
      <c r="O182" cm="1">
        <f t="array" ref="O182">IFERROR(_xlfn.STDEV.S(IF((DiscreteStatsTable[GroupByKey]=DiscreteStatsTable[[#This Row],[GroupByKey]]),(DiscreteStatsTable[GroupByKey]=DiscreteStatsTable[[#This Row],[GroupByKey]])*DiscreteStatsTable[Average])),0)</f>
        <v>0</v>
      </c>
      <c r="P182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2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cm="1">
        <f t="array" ref="S182">MAX(IF((DiscreteStatsTable[GroupByKey]=DiscreteStatsTable[[#This Row],[GroupByKey]]),(DiscreteStatsTable[GroupByKey]=DiscreteStatsTable[[#This Row],[GroupByKey]])*DiscreteStatsTable[Average]))</f>
        <v>0</v>
      </c>
      <c r="T182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cm="1">
        <f t="array" ref="U182">MAX(IF((DiscreteStatsTable[GroupByKey]=DiscreteStatsTable[[#This Row],[GroupByKey]]),(DiscreteStatsTable[GroupByKey]=DiscreteStatsTable[[#This Row],[GroupByKey]])*DiscreteStatsTable[Maximum]))</f>
        <v>0</v>
      </c>
      <c r="V182" cm="1">
        <f t="array" ref="V182">IFERROR(AVERAGE(IF((DiscreteStatsTable[GroupByKey]=DiscreteStatsTable[[#This Row],[GroupByKey]]),(DiscreteStatsTable[GroupByKey]=DiscreteStatsTable[[#This Row],[GroupByKey]])*DiscreteStatsTable[NumberObservations])),0)</f>
        <v>285.3</v>
      </c>
      <c r="W182">
        <f>IF((DiscreteStatsTable[[#This Row],[RepsRequested]]&gt;1),DiscreteStatsTable[[#This Row],[HalfWidth]],DiscreteStatsTable[[#This Row],[BatchMeansHalfWidth]])</f>
        <v>0</v>
      </c>
      <c r="X182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>
        <f>IF(DiscreteStatsTable[[#This Row],[RepsRequested]]=DiscreteStatsTable[[#This Row],[RepsWithStatObserved]],1,0)</f>
        <v>1</v>
      </c>
    </row>
    <row r="183" spans="1:25" x14ac:dyDescent="0.2">
      <c r="A183" t="s">
        <v>67</v>
      </c>
      <c r="B183" t="s">
        <v>70</v>
      </c>
      <c r="C183">
        <v>26</v>
      </c>
      <c r="D183" t="s">
        <v>74</v>
      </c>
      <c r="E183" t="s">
        <v>77</v>
      </c>
      <c r="F183" t="s">
        <v>76</v>
      </c>
      <c r="G183">
        <v>0</v>
      </c>
      <c r="H183">
        <v>2E+20</v>
      </c>
      <c r="I183">
        <v>0</v>
      </c>
      <c r="J183">
        <v>0</v>
      </c>
      <c r="K183">
        <v>272</v>
      </c>
      <c r="L18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83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cm="1">
        <f t="array" ref="N183">IFERROR(AVERAGE(IF((DiscreteStatsTable[GroupByKey]=DiscreteStatsTable[[#This Row],[GroupByKey]]),(DiscreteStatsTable[GroupByKey]=DiscreteStatsTable[[#This Row],[GroupByKey]])*DiscreteStatsTable[Average])),0)</f>
        <v>0</v>
      </c>
      <c r="O183" cm="1">
        <f t="array" ref="O183">IFERROR(_xlfn.STDEV.S(IF((DiscreteStatsTable[GroupByKey]=DiscreteStatsTable[[#This Row],[GroupByKey]]),(DiscreteStatsTable[GroupByKey]=DiscreteStatsTable[[#This Row],[GroupByKey]])*DiscreteStatsTable[Average])),0)</f>
        <v>0</v>
      </c>
      <c r="P183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cm="1">
        <f t="array" ref="S183">MAX(IF((DiscreteStatsTable[GroupByKey]=DiscreteStatsTable[[#This Row],[GroupByKey]]),(DiscreteStatsTable[GroupByKey]=DiscreteStatsTable[[#This Row],[GroupByKey]])*DiscreteStatsTable[Average]))</f>
        <v>0</v>
      </c>
      <c r="T183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cm="1">
        <f t="array" ref="U183">MAX(IF((DiscreteStatsTable[GroupByKey]=DiscreteStatsTable[[#This Row],[GroupByKey]]),(DiscreteStatsTable[GroupByKey]=DiscreteStatsTable[[#This Row],[GroupByKey]])*DiscreteStatsTable[Maximum]))</f>
        <v>0</v>
      </c>
      <c r="V183" cm="1">
        <f t="array" ref="V183">IFERROR(AVERAGE(IF((DiscreteStatsTable[GroupByKey]=DiscreteStatsTable[[#This Row],[GroupByKey]]),(DiscreteStatsTable[GroupByKey]=DiscreteStatsTable[[#This Row],[GroupByKey]])*DiscreteStatsTable[NumberObservations])),0)</f>
        <v>285.3</v>
      </c>
      <c r="W183">
        <f>IF((DiscreteStatsTable[[#This Row],[RepsRequested]]&gt;1),DiscreteStatsTable[[#This Row],[HalfWidth]],DiscreteStatsTable[[#This Row],[BatchMeansHalfWidth]])</f>
        <v>0</v>
      </c>
      <c r="X183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>
        <f>IF(DiscreteStatsTable[[#This Row],[RepsRequested]]=DiscreteStatsTable[[#This Row],[RepsWithStatObserved]],1,0)</f>
        <v>1</v>
      </c>
    </row>
    <row r="184" spans="1:25" x14ac:dyDescent="0.2">
      <c r="A184" t="s">
        <v>67</v>
      </c>
      <c r="B184" t="s">
        <v>70</v>
      </c>
      <c r="C184">
        <v>26</v>
      </c>
      <c r="D184" t="s">
        <v>74</v>
      </c>
      <c r="E184" t="s">
        <v>78</v>
      </c>
      <c r="F184" t="s">
        <v>76</v>
      </c>
      <c r="G184">
        <v>42.020744016487797</v>
      </c>
      <c r="H184">
        <v>2E+20</v>
      </c>
      <c r="I184">
        <v>21.047821382680699</v>
      </c>
      <c r="J184">
        <v>76.636027817328596</v>
      </c>
      <c r="K184">
        <v>272</v>
      </c>
      <c r="L18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84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cm="1">
        <f t="array" ref="N184">IFERROR(AVERAGE(IF((DiscreteStatsTable[GroupByKey]=DiscreteStatsTable[[#This Row],[GroupByKey]]),(DiscreteStatsTable[GroupByKey]=DiscreteStatsTable[[#This Row],[GroupByKey]])*DiscreteStatsTable[Average])),0)</f>
        <v>42.144608162589741</v>
      </c>
      <c r="O184" cm="1">
        <f t="array" ref="O184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84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84" cm="1">
        <f t="array" ref="R184">MIN(IF((DiscreteStatsTable[GroupByKey]=DiscreteStatsTable[[#This Row],[GroupByKey]]),(DiscreteStatsTable[GroupByKey]=DiscreteStatsTable[[#This Row],[GroupByKey]])*DiscreteStatsTable[Average]))</f>
        <v>41.266839452854697</v>
      </c>
      <c r="S184" cm="1">
        <f t="array" ref="S184">MAX(IF((DiscreteStatsTable[GroupByKey]=DiscreteStatsTable[[#This Row],[GroupByKey]]),(DiscreteStatsTable[GroupByKey]=DiscreteStatsTable[[#This Row],[GroupByKey]])*DiscreteStatsTable[Average]))</f>
        <v>43.261092257362002</v>
      </c>
      <c r="T184" cm="1">
        <f t="array" ref="T184">MIN(IF((DiscreteStatsTable[GroupByKey]=DiscreteStatsTable[[#This Row],[GroupByKey]]),(DiscreteStatsTable[GroupByKey]=DiscreteStatsTable[[#This Row],[GroupByKey]])*DiscreteStatsTable[Minimum]))</f>
        <v>14.356812659243699</v>
      </c>
      <c r="U184" cm="1">
        <f t="array" ref="U184">MAX(IF((DiscreteStatsTable[GroupByKey]=DiscreteStatsTable[[#This Row],[GroupByKey]]),(DiscreteStatsTable[GroupByKey]=DiscreteStatsTable[[#This Row],[GroupByKey]])*DiscreteStatsTable[Maximum]))</f>
        <v>109.278485088034</v>
      </c>
      <c r="V184" cm="1">
        <f t="array" ref="V184">IFERROR(AVERAGE(IF((DiscreteStatsTable[GroupByKey]=DiscreteStatsTable[[#This Row],[GroupByKey]]),(DiscreteStatsTable[GroupByKey]=DiscreteStatsTable[[#This Row],[GroupByKey]])*DiscreteStatsTable[NumberObservations])),0)</f>
        <v>285.3</v>
      </c>
      <c r="W184">
        <f>IF((DiscreteStatsTable[[#This Row],[RepsRequested]]&gt;1),DiscreteStatsTable[[#This Row],[HalfWidth]],DiscreteStatsTable[[#This Row],[BatchMeansHalfWidth]])</f>
        <v>0.18927867722499744</v>
      </c>
      <c r="X184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>
        <f>IF(DiscreteStatsTable[[#This Row],[RepsRequested]]=DiscreteStatsTable[[#This Row],[RepsWithStatObserved]],1,0)</f>
        <v>1</v>
      </c>
    </row>
    <row r="185" spans="1:25" x14ac:dyDescent="0.2">
      <c r="A185" t="s">
        <v>67</v>
      </c>
      <c r="B185" t="s">
        <v>70</v>
      </c>
      <c r="C185">
        <v>26</v>
      </c>
      <c r="D185" t="s">
        <v>74</v>
      </c>
      <c r="E185" t="s">
        <v>79</v>
      </c>
      <c r="F185" t="s">
        <v>76</v>
      </c>
      <c r="G185">
        <v>0</v>
      </c>
      <c r="H185">
        <v>2E+20</v>
      </c>
      <c r="I185">
        <v>0</v>
      </c>
      <c r="J185">
        <v>0</v>
      </c>
      <c r="K185">
        <v>272</v>
      </c>
      <c r="L18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8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cm="1">
        <f t="array" ref="N185">IFERROR(AVERAGE(IF((DiscreteStatsTable[GroupByKey]=DiscreteStatsTable[[#This Row],[GroupByKey]]),(DiscreteStatsTable[GroupByKey]=DiscreteStatsTable[[#This Row],[GroupByKey]])*DiscreteStatsTable[Average])),0)</f>
        <v>0</v>
      </c>
      <c r="O185" cm="1">
        <f t="array" ref="O185">IFERROR(_xlfn.STDEV.S(IF((DiscreteStatsTable[GroupByKey]=DiscreteStatsTable[[#This Row],[GroupByKey]]),(DiscreteStatsTable[GroupByKey]=DiscreteStatsTable[[#This Row],[GroupByKey]])*DiscreteStatsTable[Average])),0)</f>
        <v>0</v>
      </c>
      <c r="P18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cm="1">
        <f t="array" ref="S185">MAX(IF((DiscreteStatsTable[GroupByKey]=DiscreteStatsTable[[#This Row],[GroupByKey]]),(DiscreteStatsTable[GroupByKey]=DiscreteStatsTable[[#This Row],[GroupByKey]])*DiscreteStatsTable[Average]))</f>
        <v>0</v>
      </c>
      <c r="T18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cm="1">
        <f t="array" ref="U185">MAX(IF((DiscreteStatsTable[GroupByKey]=DiscreteStatsTable[[#This Row],[GroupByKey]]),(DiscreteStatsTable[GroupByKey]=DiscreteStatsTable[[#This Row],[GroupByKey]])*DiscreteStatsTable[Maximum]))</f>
        <v>0</v>
      </c>
      <c r="V185" cm="1">
        <f t="array" ref="V185">IFERROR(AVERAGE(IF((DiscreteStatsTable[GroupByKey]=DiscreteStatsTable[[#This Row],[GroupByKey]]),(DiscreteStatsTable[GroupByKey]=DiscreteStatsTable[[#This Row],[GroupByKey]])*DiscreteStatsTable[NumberObservations])),0)</f>
        <v>285.3</v>
      </c>
      <c r="W185">
        <f>IF((DiscreteStatsTable[[#This Row],[RepsRequested]]&gt;1),DiscreteStatsTable[[#This Row],[HalfWidth]],DiscreteStatsTable[[#This Row],[BatchMeansHalfWidth]])</f>
        <v>0</v>
      </c>
      <c r="X18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>
        <f>IF(DiscreteStatsTable[[#This Row],[RepsRequested]]=DiscreteStatsTable[[#This Row],[RepsWithStatObserved]],1,0)</f>
        <v>1</v>
      </c>
    </row>
    <row r="186" spans="1:25" x14ac:dyDescent="0.2">
      <c r="A186" t="s">
        <v>67</v>
      </c>
      <c r="B186" t="s">
        <v>70</v>
      </c>
      <c r="C186">
        <v>26</v>
      </c>
      <c r="D186" t="s">
        <v>74</v>
      </c>
      <c r="E186" t="s">
        <v>80</v>
      </c>
      <c r="F186" t="s">
        <v>76</v>
      </c>
      <c r="G186">
        <v>36.078826089998898</v>
      </c>
      <c r="H186">
        <v>2E+20</v>
      </c>
      <c r="I186">
        <v>19.894842986504401</v>
      </c>
      <c r="J186">
        <v>56.328428947159203</v>
      </c>
      <c r="K186">
        <v>272</v>
      </c>
      <c r="L18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6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cm="1">
        <f t="array" ref="N186">IFERROR(AVERAGE(IF((DiscreteStatsTable[GroupByKey]=DiscreteStatsTable[[#This Row],[GroupByKey]]),(DiscreteStatsTable[GroupByKey]=DiscreteStatsTable[[#This Row],[GroupByKey]])*DiscreteStatsTable[Average])),0)</f>
        <v>36.00428777459642</v>
      </c>
      <c r="O186" cm="1">
        <f t="array" ref="O186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86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86" cm="1">
        <f t="array" ref="R186">MIN(IF((DiscreteStatsTable[GroupByKey]=DiscreteStatsTable[[#This Row],[GroupByKey]]),(DiscreteStatsTable[GroupByKey]=DiscreteStatsTable[[#This Row],[GroupByKey]])*DiscreteStatsTable[Average]))</f>
        <v>35.158236096727201</v>
      </c>
      <c r="S186" cm="1">
        <f t="array" ref="S186">MAX(IF((DiscreteStatsTable[GroupByKey]=DiscreteStatsTable[[#This Row],[GroupByKey]]),(DiscreteStatsTable[GroupByKey]=DiscreteStatsTable[[#This Row],[GroupByKey]])*DiscreteStatsTable[Average]))</f>
        <v>36.707690403515898</v>
      </c>
      <c r="T186" cm="1">
        <f t="array" ref="T186">MIN(IF((DiscreteStatsTable[GroupByKey]=DiscreteStatsTable[[#This Row],[GroupByKey]]),(DiscreteStatsTable[GroupByKey]=DiscreteStatsTable[[#This Row],[GroupByKey]])*DiscreteStatsTable[Minimum]))</f>
        <v>14.2518779052622</v>
      </c>
      <c r="U186" cm="1">
        <f t="array" ref="U186">MAX(IF((DiscreteStatsTable[GroupByKey]=DiscreteStatsTable[[#This Row],[GroupByKey]]),(DiscreteStatsTable[GroupByKey]=DiscreteStatsTable[[#This Row],[GroupByKey]])*DiscreteStatsTable[Maximum]))</f>
        <v>59.774077085699403</v>
      </c>
      <c r="V186" cm="1">
        <f t="array" ref="V186">IFERROR(AVERAGE(IF((DiscreteStatsTable[GroupByKey]=DiscreteStatsTable[[#This Row],[GroupByKey]]),(DiscreteStatsTable[GroupByKey]=DiscreteStatsTable[[#This Row],[GroupByKey]])*DiscreteStatsTable[NumberObservations])),0)</f>
        <v>285.3</v>
      </c>
      <c r="W186">
        <f>IF((DiscreteStatsTable[[#This Row],[RepsRequested]]&gt;1),DiscreteStatsTable[[#This Row],[HalfWidth]],DiscreteStatsTable[[#This Row],[BatchMeansHalfWidth]])</f>
        <v>0.12798857311270725</v>
      </c>
      <c r="X186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>
        <f>IF(DiscreteStatsTable[[#This Row],[RepsRequested]]=DiscreteStatsTable[[#This Row],[RepsWithStatObserved]],1,0)</f>
        <v>1</v>
      </c>
    </row>
    <row r="187" spans="1:25" x14ac:dyDescent="0.2">
      <c r="A187" t="s">
        <v>67</v>
      </c>
      <c r="B187" t="s">
        <v>70</v>
      </c>
      <c r="C187">
        <v>26</v>
      </c>
      <c r="D187" t="s">
        <v>74</v>
      </c>
      <c r="E187" t="s">
        <v>81</v>
      </c>
      <c r="F187" t="s">
        <v>76</v>
      </c>
      <c r="G187">
        <v>13.742897245293999</v>
      </c>
      <c r="H187">
        <v>2E+20</v>
      </c>
      <c r="I187">
        <v>0</v>
      </c>
      <c r="J187">
        <v>69.381624451833204</v>
      </c>
      <c r="K187">
        <v>272</v>
      </c>
      <c r="L18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7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cm="1">
        <f t="array" ref="N187">IFERROR(AVERAGE(IF((DiscreteStatsTable[GroupByKey]=DiscreteStatsTable[[#This Row],[GroupByKey]]),(DiscreteStatsTable[GroupByKey]=DiscreteStatsTable[[#This Row],[GroupByKey]])*DiscreteStatsTable[Average])),0)</f>
        <v>13.621559896422417</v>
      </c>
      <c r="O187" cm="1">
        <f t="array" ref="O187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87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87" cm="1">
        <f t="array" ref="R187">MIN(IF((DiscreteStatsTable[GroupByKey]=DiscreteStatsTable[[#This Row],[GroupByKey]]),(DiscreteStatsTable[GroupByKey]=DiscreteStatsTable[[#This Row],[GroupByKey]])*DiscreteStatsTable[Average]))</f>
        <v>12.598242749972901</v>
      </c>
      <c r="S187" cm="1">
        <f t="array" ref="S187">MAX(IF((DiscreteStatsTable[GroupByKey]=DiscreteStatsTable[[#This Row],[GroupByKey]]),(DiscreteStatsTable[GroupByKey]=DiscreteStatsTable[[#This Row],[GroupByKey]])*DiscreteStatsTable[Average]))</f>
        <v>14.319051591609201</v>
      </c>
      <c r="T187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cm="1">
        <f t="array" ref="U187">MAX(IF((DiscreteStatsTable[GroupByKey]=DiscreteStatsTable[[#This Row],[GroupByKey]]),(DiscreteStatsTable[GroupByKey]=DiscreteStatsTable[[#This Row],[GroupByKey]])*DiscreteStatsTable[Maximum]))</f>
        <v>180.86047487093799</v>
      </c>
      <c r="V187" cm="1">
        <f t="array" ref="V187">IFERROR(AVERAGE(IF((DiscreteStatsTable[GroupByKey]=DiscreteStatsTable[[#This Row],[GroupByKey]]),(DiscreteStatsTable[GroupByKey]=DiscreteStatsTable[[#This Row],[GroupByKey]])*DiscreteStatsTable[NumberObservations])),0)</f>
        <v>285.3</v>
      </c>
      <c r="W187">
        <f>IF((DiscreteStatsTable[[#This Row],[RepsRequested]]&gt;1),DiscreteStatsTable[[#This Row],[HalfWidth]],DiscreteStatsTable[[#This Row],[BatchMeansHalfWidth]])</f>
        <v>0.14806141778332987</v>
      </c>
      <c r="X187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>
        <f>IF(DiscreteStatsTable[[#This Row],[RepsRequested]]=DiscreteStatsTable[[#This Row],[RepsWithStatObserved]],1,0)</f>
        <v>1</v>
      </c>
    </row>
    <row r="188" spans="1:25" x14ac:dyDescent="0.2">
      <c r="A188" t="s">
        <v>67</v>
      </c>
      <c r="B188" t="s">
        <v>70</v>
      </c>
      <c r="C188">
        <v>27</v>
      </c>
      <c r="D188" t="s">
        <v>74</v>
      </c>
      <c r="E188" t="s">
        <v>75</v>
      </c>
      <c r="F188" t="s">
        <v>76</v>
      </c>
      <c r="G188">
        <v>0</v>
      </c>
      <c r="H188">
        <v>2E+20</v>
      </c>
      <c r="I188">
        <v>0</v>
      </c>
      <c r="J188">
        <v>0</v>
      </c>
      <c r="K188">
        <v>270</v>
      </c>
      <c r="L18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88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cm="1">
        <f t="array" ref="N188">IFERROR(AVERAGE(IF((DiscreteStatsTable[GroupByKey]=DiscreteStatsTable[[#This Row],[GroupByKey]]),(DiscreteStatsTable[GroupByKey]=DiscreteStatsTable[[#This Row],[GroupByKey]])*DiscreteStatsTable[Average])),0)</f>
        <v>0</v>
      </c>
      <c r="O188" cm="1">
        <f t="array" ref="O188">IFERROR(_xlfn.STDEV.S(IF((DiscreteStatsTable[GroupByKey]=DiscreteStatsTable[[#This Row],[GroupByKey]]),(DiscreteStatsTable[GroupByKey]=DiscreteStatsTable[[#This Row],[GroupByKey]])*DiscreteStatsTable[Average])),0)</f>
        <v>0</v>
      </c>
      <c r="P188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8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cm="1">
        <f t="array" ref="S188">MAX(IF((DiscreteStatsTable[GroupByKey]=DiscreteStatsTable[[#This Row],[GroupByKey]]),(DiscreteStatsTable[GroupByKey]=DiscreteStatsTable[[#This Row],[GroupByKey]])*DiscreteStatsTable[Average]))</f>
        <v>0</v>
      </c>
      <c r="T188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cm="1">
        <f t="array" ref="U188">MAX(IF((DiscreteStatsTable[GroupByKey]=DiscreteStatsTable[[#This Row],[GroupByKey]]),(DiscreteStatsTable[GroupByKey]=DiscreteStatsTable[[#This Row],[GroupByKey]])*DiscreteStatsTable[Maximum]))</f>
        <v>0</v>
      </c>
      <c r="V188" cm="1">
        <f t="array" ref="V188">IFERROR(AVERAGE(IF((DiscreteStatsTable[GroupByKey]=DiscreteStatsTable[[#This Row],[GroupByKey]]),(DiscreteStatsTable[GroupByKey]=DiscreteStatsTable[[#This Row],[GroupByKey]])*DiscreteStatsTable[NumberObservations])),0)</f>
        <v>285.3</v>
      </c>
      <c r="W188">
        <f>IF((DiscreteStatsTable[[#This Row],[RepsRequested]]&gt;1),DiscreteStatsTable[[#This Row],[HalfWidth]],DiscreteStatsTable[[#This Row],[BatchMeansHalfWidth]])</f>
        <v>0</v>
      </c>
      <c r="X188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>
        <f>IF(DiscreteStatsTable[[#This Row],[RepsRequested]]=DiscreteStatsTable[[#This Row],[RepsWithStatObserved]],1,0)</f>
        <v>1</v>
      </c>
    </row>
    <row r="189" spans="1:25" x14ac:dyDescent="0.2">
      <c r="A189" t="s">
        <v>67</v>
      </c>
      <c r="B189" t="s">
        <v>70</v>
      </c>
      <c r="C189">
        <v>27</v>
      </c>
      <c r="D189" t="s">
        <v>74</v>
      </c>
      <c r="E189" t="s">
        <v>77</v>
      </c>
      <c r="F189" t="s">
        <v>76</v>
      </c>
      <c r="G189">
        <v>0</v>
      </c>
      <c r="H189">
        <v>2E+20</v>
      </c>
      <c r="I189">
        <v>0</v>
      </c>
      <c r="J189">
        <v>0</v>
      </c>
      <c r="K189">
        <v>270</v>
      </c>
      <c r="L18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89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cm="1">
        <f t="array" ref="N189">IFERROR(AVERAGE(IF((DiscreteStatsTable[GroupByKey]=DiscreteStatsTable[[#This Row],[GroupByKey]]),(DiscreteStatsTable[GroupByKey]=DiscreteStatsTable[[#This Row],[GroupByKey]])*DiscreteStatsTable[Average])),0)</f>
        <v>0</v>
      </c>
      <c r="O189" cm="1">
        <f t="array" ref="O189">IFERROR(_xlfn.STDEV.S(IF((DiscreteStatsTable[GroupByKey]=DiscreteStatsTable[[#This Row],[GroupByKey]]),(DiscreteStatsTable[GroupByKey]=DiscreteStatsTable[[#This Row],[GroupByKey]])*DiscreteStatsTable[Average])),0)</f>
        <v>0</v>
      </c>
      <c r="P189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cm="1">
        <f t="array" ref="S189">MAX(IF((DiscreteStatsTable[GroupByKey]=DiscreteStatsTable[[#This Row],[GroupByKey]]),(DiscreteStatsTable[GroupByKey]=DiscreteStatsTable[[#This Row],[GroupByKey]])*DiscreteStatsTable[Average]))</f>
        <v>0</v>
      </c>
      <c r="T189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cm="1">
        <f t="array" ref="U189">MAX(IF((DiscreteStatsTable[GroupByKey]=DiscreteStatsTable[[#This Row],[GroupByKey]]),(DiscreteStatsTable[GroupByKey]=DiscreteStatsTable[[#This Row],[GroupByKey]])*DiscreteStatsTable[Maximum]))</f>
        <v>0</v>
      </c>
      <c r="V189" cm="1">
        <f t="array" ref="V189">IFERROR(AVERAGE(IF((DiscreteStatsTable[GroupByKey]=DiscreteStatsTable[[#This Row],[GroupByKey]]),(DiscreteStatsTable[GroupByKey]=DiscreteStatsTable[[#This Row],[GroupByKey]])*DiscreteStatsTable[NumberObservations])),0)</f>
        <v>285.3</v>
      </c>
      <c r="W189">
        <f>IF((DiscreteStatsTable[[#This Row],[RepsRequested]]&gt;1),DiscreteStatsTable[[#This Row],[HalfWidth]],DiscreteStatsTable[[#This Row],[BatchMeansHalfWidth]])</f>
        <v>0</v>
      </c>
      <c r="X189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>
        <f>IF(DiscreteStatsTable[[#This Row],[RepsRequested]]=DiscreteStatsTable[[#This Row],[RepsWithStatObserved]],1,0)</f>
        <v>1</v>
      </c>
    </row>
    <row r="190" spans="1:25" x14ac:dyDescent="0.2">
      <c r="A190" t="s">
        <v>67</v>
      </c>
      <c r="B190" t="s">
        <v>70</v>
      </c>
      <c r="C190">
        <v>27</v>
      </c>
      <c r="D190" t="s">
        <v>74</v>
      </c>
      <c r="E190" t="s">
        <v>78</v>
      </c>
      <c r="F190" t="s">
        <v>76</v>
      </c>
      <c r="G190">
        <v>41.409559215413303</v>
      </c>
      <c r="H190">
        <v>2E+20</v>
      </c>
      <c r="I190">
        <v>16.529084906126201</v>
      </c>
      <c r="J190">
        <v>73.974376564166107</v>
      </c>
      <c r="K190">
        <v>270</v>
      </c>
      <c r="L19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90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cm="1">
        <f t="array" ref="N190">IFERROR(AVERAGE(IF((DiscreteStatsTable[GroupByKey]=DiscreteStatsTable[[#This Row],[GroupByKey]]),(DiscreteStatsTable[GroupByKey]=DiscreteStatsTable[[#This Row],[GroupByKey]])*DiscreteStatsTable[Average])),0)</f>
        <v>42.144608162589741</v>
      </c>
      <c r="O190" cm="1">
        <f t="array" ref="O190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90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90" cm="1">
        <f t="array" ref="R190">MIN(IF((DiscreteStatsTable[GroupByKey]=DiscreteStatsTable[[#This Row],[GroupByKey]]),(DiscreteStatsTable[GroupByKey]=DiscreteStatsTable[[#This Row],[GroupByKey]])*DiscreteStatsTable[Average]))</f>
        <v>41.266839452854697</v>
      </c>
      <c r="S190" cm="1">
        <f t="array" ref="S190">MAX(IF((DiscreteStatsTable[GroupByKey]=DiscreteStatsTable[[#This Row],[GroupByKey]]),(DiscreteStatsTable[GroupByKey]=DiscreteStatsTable[[#This Row],[GroupByKey]])*DiscreteStatsTable[Average]))</f>
        <v>43.261092257362002</v>
      </c>
      <c r="T190" cm="1">
        <f t="array" ref="T190">MIN(IF((DiscreteStatsTable[GroupByKey]=DiscreteStatsTable[[#This Row],[GroupByKey]]),(DiscreteStatsTable[GroupByKey]=DiscreteStatsTable[[#This Row],[GroupByKey]])*DiscreteStatsTable[Minimum]))</f>
        <v>14.356812659243699</v>
      </c>
      <c r="U190" cm="1">
        <f t="array" ref="U190">MAX(IF((DiscreteStatsTable[GroupByKey]=DiscreteStatsTable[[#This Row],[GroupByKey]]),(DiscreteStatsTable[GroupByKey]=DiscreteStatsTable[[#This Row],[GroupByKey]])*DiscreteStatsTable[Maximum]))</f>
        <v>109.278485088034</v>
      </c>
      <c r="V190" cm="1">
        <f t="array" ref="V190">IFERROR(AVERAGE(IF((DiscreteStatsTable[GroupByKey]=DiscreteStatsTable[[#This Row],[GroupByKey]]),(DiscreteStatsTable[GroupByKey]=DiscreteStatsTable[[#This Row],[GroupByKey]])*DiscreteStatsTable[NumberObservations])),0)</f>
        <v>285.3</v>
      </c>
      <c r="W190">
        <f>IF((DiscreteStatsTable[[#This Row],[RepsRequested]]&gt;1),DiscreteStatsTable[[#This Row],[HalfWidth]],DiscreteStatsTable[[#This Row],[BatchMeansHalfWidth]])</f>
        <v>0.18927867722499744</v>
      </c>
      <c r="X190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>
        <f>IF(DiscreteStatsTable[[#This Row],[RepsRequested]]=DiscreteStatsTable[[#This Row],[RepsWithStatObserved]],1,0)</f>
        <v>1</v>
      </c>
    </row>
    <row r="191" spans="1:25" x14ac:dyDescent="0.2">
      <c r="A191" t="s">
        <v>67</v>
      </c>
      <c r="B191" t="s">
        <v>70</v>
      </c>
      <c r="C191">
        <v>27</v>
      </c>
      <c r="D191" t="s">
        <v>74</v>
      </c>
      <c r="E191" t="s">
        <v>79</v>
      </c>
      <c r="F191" t="s">
        <v>76</v>
      </c>
      <c r="G191">
        <v>0</v>
      </c>
      <c r="H191">
        <v>2E+20</v>
      </c>
      <c r="I191">
        <v>0</v>
      </c>
      <c r="J191">
        <v>0</v>
      </c>
      <c r="K191">
        <v>270</v>
      </c>
      <c r="L19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91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cm="1">
        <f t="array" ref="N191">IFERROR(AVERAGE(IF((DiscreteStatsTable[GroupByKey]=DiscreteStatsTable[[#This Row],[GroupByKey]]),(DiscreteStatsTable[GroupByKey]=DiscreteStatsTable[[#This Row],[GroupByKey]])*DiscreteStatsTable[Average])),0)</f>
        <v>0</v>
      </c>
      <c r="O191" cm="1">
        <f t="array" ref="O191">IFERROR(_xlfn.STDEV.S(IF((DiscreteStatsTable[GroupByKey]=DiscreteStatsTable[[#This Row],[GroupByKey]]),(DiscreteStatsTable[GroupByKey]=DiscreteStatsTable[[#This Row],[GroupByKey]])*DiscreteStatsTable[Average])),0)</f>
        <v>0</v>
      </c>
      <c r="P191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cm="1">
        <f t="array" ref="S191">MAX(IF((DiscreteStatsTable[GroupByKey]=DiscreteStatsTable[[#This Row],[GroupByKey]]),(DiscreteStatsTable[GroupByKey]=DiscreteStatsTable[[#This Row],[GroupByKey]])*DiscreteStatsTable[Average]))</f>
        <v>0</v>
      </c>
      <c r="T191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cm="1">
        <f t="array" ref="U191">MAX(IF((DiscreteStatsTable[GroupByKey]=DiscreteStatsTable[[#This Row],[GroupByKey]]),(DiscreteStatsTable[GroupByKey]=DiscreteStatsTable[[#This Row],[GroupByKey]])*DiscreteStatsTable[Maximum]))</f>
        <v>0</v>
      </c>
      <c r="V191" cm="1">
        <f t="array" ref="V191">IFERROR(AVERAGE(IF((DiscreteStatsTable[GroupByKey]=DiscreteStatsTable[[#This Row],[GroupByKey]]),(DiscreteStatsTable[GroupByKey]=DiscreteStatsTable[[#This Row],[GroupByKey]])*DiscreteStatsTable[NumberObservations])),0)</f>
        <v>285.3</v>
      </c>
      <c r="W191">
        <f>IF((DiscreteStatsTable[[#This Row],[RepsRequested]]&gt;1),DiscreteStatsTable[[#This Row],[HalfWidth]],DiscreteStatsTable[[#This Row],[BatchMeansHalfWidth]])</f>
        <v>0</v>
      </c>
      <c r="X191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>
        <f>IF(DiscreteStatsTable[[#This Row],[RepsRequested]]=DiscreteStatsTable[[#This Row],[RepsWithStatObserved]],1,0)</f>
        <v>1</v>
      </c>
    </row>
    <row r="192" spans="1:25" x14ac:dyDescent="0.2">
      <c r="A192" t="s">
        <v>67</v>
      </c>
      <c r="B192" t="s">
        <v>70</v>
      </c>
      <c r="C192">
        <v>27</v>
      </c>
      <c r="D192" t="s">
        <v>74</v>
      </c>
      <c r="E192" t="s">
        <v>80</v>
      </c>
      <c r="F192" t="s">
        <v>76</v>
      </c>
      <c r="G192">
        <v>35.637415870958897</v>
      </c>
      <c r="H192">
        <v>2E+20</v>
      </c>
      <c r="I192">
        <v>16.319964880775199</v>
      </c>
      <c r="J192">
        <v>59.774077085699403</v>
      </c>
      <c r="K192">
        <v>270</v>
      </c>
      <c r="L19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92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cm="1">
        <f t="array" ref="N192">IFERROR(AVERAGE(IF((DiscreteStatsTable[GroupByKey]=DiscreteStatsTable[[#This Row],[GroupByKey]]),(DiscreteStatsTable[GroupByKey]=DiscreteStatsTable[[#This Row],[GroupByKey]])*DiscreteStatsTable[Average])),0)</f>
        <v>36.00428777459642</v>
      </c>
      <c r="O192" cm="1">
        <f t="array" ref="O192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92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92" cm="1">
        <f t="array" ref="R192">MIN(IF((DiscreteStatsTable[GroupByKey]=DiscreteStatsTable[[#This Row],[GroupByKey]]),(DiscreteStatsTable[GroupByKey]=DiscreteStatsTable[[#This Row],[GroupByKey]])*DiscreteStatsTable[Average]))</f>
        <v>35.158236096727201</v>
      </c>
      <c r="S192" cm="1">
        <f t="array" ref="S192">MAX(IF((DiscreteStatsTable[GroupByKey]=DiscreteStatsTable[[#This Row],[GroupByKey]]),(DiscreteStatsTable[GroupByKey]=DiscreteStatsTable[[#This Row],[GroupByKey]])*DiscreteStatsTable[Average]))</f>
        <v>36.707690403515898</v>
      </c>
      <c r="T192" cm="1">
        <f t="array" ref="T192">MIN(IF((DiscreteStatsTable[GroupByKey]=DiscreteStatsTable[[#This Row],[GroupByKey]]),(DiscreteStatsTable[GroupByKey]=DiscreteStatsTable[[#This Row],[GroupByKey]])*DiscreteStatsTable[Minimum]))</f>
        <v>14.2518779052622</v>
      </c>
      <c r="U192" cm="1">
        <f t="array" ref="U192">MAX(IF((DiscreteStatsTable[GroupByKey]=DiscreteStatsTable[[#This Row],[GroupByKey]]),(DiscreteStatsTable[GroupByKey]=DiscreteStatsTable[[#This Row],[GroupByKey]])*DiscreteStatsTable[Maximum]))</f>
        <v>59.774077085699403</v>
      </c>
      <c r="V192" cm="1">
        <f t="array" ref="V192">IFERROR(AVERAGE(IF((DiscreteStatsTable[GroupByKey]=DiscreteStatsTable[[#This Row],[GroupByKey]]),(DiscreteStatsTable[GroupByKey]=DiscreteStatsTable[[#This Row],[GroupByKey]])*DiscreteStatsTable[NumberObservations])),0)</f>
        <v>285.3</v>
      </c>
      <c r="W192">
        <f>IF((DiscreteStatsTable[[#This Row],[RepsRequested]]&gt;1),DiscreteStatsTable[[#This Row],[HalfWidth]],DiscreteStatsTable[[#This Row],[BatchMeansHalfWidth]])</f>
        <v>0.12798857311270725</v>
      </c>
      <c r="X192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>
        <f>IF(DiscreteStatsTable[[#This Row],[RepsRequested]]=DiscreteStatsTable[[#This Row],[RepsWithStatObserved]],1,0)</f>
        <v>1</v>
      </c>
    </row>
    <row r="193" spans="1:25" x14ac:dyDescent="0.2">
      <c r="A193" t="s">
        <v>67</v>
      </c>
      <c r="B193" t="s">
        <v>70</v>
      </c>
      <c r="C193">
        <v>27</v>
      </c>
      <c r="D193" t="s">
        <v>74</v>
      </c>
      <c r="E193" t="s">
        <v>81</v>
      </c>
      <c r="F193" t="s">
        <v>76</v>
      </c>
      <c r="G193">
        <v>13.4078903860411</v>
      </c>
      <c r="H193">
        <v>2E+20</v>
      </c>
      <c r="I193">
        <v>0</v>
      </c>
      <c r="J193">
        <v>67.736201886535497</v>
      </c>
      <c r="K193">
        <v>270</v>
      </c>
      <c r="L19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3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cm="1">
        <f t="array" ref="N193">IFERROR(AVERAGE(IF((DiscreteStatsTable[GroupByKey]=DiscreteStatsTable[[#This Row],[GroupByKey]]),(DiscreteStatsTable[GroupByKey]=DiscreteStatsTable[[#This Row],[GroupByKey]])*DiscreteStatsTable[Average])),0)</f>
        <v>13.621559896422417</v>
      </c>
      <c r="O193" cm="1">
        <f t="array" ref="O193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93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93" cm="1">
        <f t="array" ref="R193">MIN(IF((DiscreteStatsTable[GroupByKey]=DiscreteStatsTable[[#This Row],[GroupByKey]]),(DiscreteStatsTable[GroupByKey]=DiscreteStatsTable[[#This Row],[GroupByKey]])*DiscreteStatsTable[Average]))</f>
        <v>12.598242749972901</v>
      </c>
      <c r="S193" cm="1">
        <f t="array" ref="S193">MAX(IF((DiscreteStatsTable[GroupByKey]=DiscreteStatsTable[[#This Row],[GroupByKey]]),(DiscreteStatsTable[GroupByKey]=DiscreteStatsTable[[#This Row],[GroupByKey]])*DiscreteStatsTable[Average]))</f>
        <v>14.319051591609201</v>
      </c>
      <c r="T193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cm="1">
        <f t="array" ref="U193">MAX(IF((DiscreteStatsTable[GroupByKey]=DiscreteStatsTable[[#This Row],[GroupByKey]]),(DiscreteStatsTable[GroupByKey]=DiscreteStatsTable[[#This Row],[GroupByKey]])*DiscreteStatsTable[Maximum]))</f>
        <v>180.86047487093799</v>
      </c>
      <c r="V193" cm="1">
        <f t="array" ref="V193">IFERROR(AVERAGE(IF((DiscreteStatsTable[GroupByKey]=DiscreteStatsTable[[#This Row],[GroupByKey]]),(DiscreteStatsTable[GroupByKey]=DiscreteStatsTable[[#This Row],[GroupByKey]])*DiscreteStatsTable[NumberObservations])),0)</f>
        <v>285.3</v>
      </c>
      <c r="W193">
        <f>IF((DiscreteStatsTable[[#This Row],[RepsRequested]]&gt;1),DiscreteStatsTable[[#This Row],[HalfWidth]],DiscreteStatsTable[[#This Row],[BatchMeansHalfWidth]])</f>
        <v>0.14806141778332987</v>
      </c>
      <c r="X193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>
        <f>IF(DiscreteStatsTable[[#This Row],[RepsRequested]]=DiscreteStatsTable[[#This Row],[RepsWithStatObserved]],1,0)</f>
        <v>1</v>
      </c>
    </row>
    <row r="194" spans="1:25" x14ac:dyDescent="0.2">
      <c r="A194" t="s">
        <v>67</v>
      </c>
      <c r="B194" t="s">
        <v>70</v>
      </c>
      <c r="C194">
        <v>28</v>
      </c>
      <c r="D194" t="s">
        <v>74</v>
      </c>
      <c r="E194" t="s">
        <v>75</v>
      </c>
      <c r="F194" t="s">
        <v>76</v>
      </c>
      <c r="G194">
        <v>0</v>
      </c>
      <c r="H194">
        <v>2E+20</v>
      </c>
      <c r="I194">
        <v>0</v>
      </c>
      <c r="J194">
        <v>0</v>
      </c>
      <c r="K194">
        <v>267</v>
      </c>
      <c r="L19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94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cm="1">
        <f t="array" ref="N194">IFERROR(AVERAGE(IF((DiscreteStatsTable[GroupByKey]=DiscreteStatsTable[[#This Row],[GroupByKey]]),(DiscreteStatsTable[GroupByKey]=DiscreteStatsTable[[#This Row],[GroupByKey]])*DiscreteStatsTable[Average])),0)</f>
        <v>0</v>
      </c>
      <c r="O194" cm="1">
        <f t="array" ref="O194">IFERROR(_xlfn.STDEV.S(IF((DiscreteStatsTable[GroupByKey]=DiscreteStatsTable[[#This Row],[GroupByKey]]),(DiscreteStatsTable[GroupByKey]=DiscreteStatsTable[[#This Row],[GroupByKey]])*DiscreteStatsTable[Average])),0)</f>
        <v>0</v>
      </c>
      <c r="P194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4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cm="1">
        <f t="array" ref="S194">MAX(IF((DiscreteStatsTable[GroupByKey]=DiscreteStatsTable[[#This Row],[GroupByKey]]),(DiscreteStatsTable[GroupByKey]=DiscreteStatsTable[[#This Row],[GroupByKey]])*DiscreteStatsTable[Average]))</f>
        <v>0</v>
      </c>
      <c r="T194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cm="1">
        <f t="array" ref="U194">MAX(IF((DiscreteStatsTable[GroupByKey]=DiscreteStatsTable[[#This Row],[GroupByKey]]),(DiscreteStatsTable[GroupByKey]=DiscreteStatsTable[[#This Row],[GroupByKey]])*DiscreteStatsTable[Maximum]))</f>
        <v>0</v>
      </c>
      <c r="V194" cm="1">
        <f t="array" ref="V194">IFERROR(AVERAGE(IF((DiscreteStatsTable[GroupByKey]=DiscreteStatsTable[[#This Row],[GroupByKey]]),(DiscreteStatsTable[GroupByKey]=DiscreteStatsTable[[#This Row],[GroupByKey]])*DiscreteStatsTable[NumberObservations])),0)</f>
        <v>285.3</v>
      </c>
      <c r="W194">
        <f>IF((DiscreteStatsTable[[#This Row],[RepsRequested]]&gt;1),DiscreteStatsTable[[#This Row],[HalfWidth]],DiscreteStatsTable[[#This Row],[BatchMeansHalfWidth]])</f>
        <v>0</v>
      </c>
      <c r="X194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>
        <f>IF(DiscreteStatsTable[[#This Row],[RepsRequested]]=DiscreteStatsTable[[#This Row],[RepsWithStatObserved]],1,0)</f>
        <v>1</v>
      </c>
    </row>
    <row r="195" spans="1:25" x14ac:dyDescent="0.2">
      <c r="A195" t="s">
        <v>67</v>
      </c>
      <c r="B195" t="s">
        <v>70</v>
      </c>
      <c r="C195">
        <v>28</v>
      </c>
      <c r="D195" t="s">
        <v>74</v>
      </c>
      <c r="E195" t="s">
        <v>77</v>
      </c>
      <c r="F195" t="s">
        <v>76</v>
      </c>
      <c r="G195">
        <v>0</v>
      </c>
      <c r="H195">
        <v>2E+20</v>
      </c>
      <c r="I195">
        <v>0</v>
      </c>
      <c r="J195">
        <v>0</v>
      </c>
      <c r="K195">
        <v>267</v>
      </c>
      <c r="L19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9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cm="1">
        <f t="array" ref="N195">IFERROR(AVERAGE(IF((DiscreteStatsTable[GroupByKey]=DiscreteStatsTable[[#This Row],[GroupByKey]]),(DiscreteStatsTable[GroupByKey]=DiscreteStatsTable[[#This Row],[GroupByKey]])*DiscreteStatsTable[Average])),0)</f>
        <v>0</v>
      </c>
      <c r="O195" cm="1">
        <f t="array" ref="O195">IFERROR(_xlfn.STDEV.S(IF((DiscreteStatsTable[GroupByKey]=DiscreteStatsTable[[#This Row],[GroupByKey]]),(DiscreteStatsTable[GroupByKey]=DiscreteStatsTable[[#This Row],[GroupByKey]])*DiscreteStatsTable[Average])),0)</f>
        <v>0</v>
      </c>
      <c r="P19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cm="1">
        <f t="array" ref="S195">MAX(IF((DiscreteStatsTable[GroupByKey]=DiscreteStatsTable[[#This Row],[GroupByKey]]),(DiscreteStatsTable[GroupByKey]=DiscreteStatsTable[[#This Row],[GroupByKey]])*DiscreteStatsTable[Average]))</f>
        <v>0</v>
      </c>
      <c r="T19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cm="1">
        <f t="array" ref="U195">MAX(IF((DiscreteStatsTable[GroupByKey]=DiscreteStatsTable[[#This Row],[GroupByKey]]),(DiscreteStatsTable[GroupByKey]=DiscreteStatsTable[[#This Row],[GroupByKey]])*DiscreteStatsTable[Maximum]))</f>
        <v>0</v>
      </c>
      <c r="V195" cm="1">
        <f t="array" ref="V195">IFERROR(AVERAGE(IF((DiscreteStatsTable[GroupByKey]=DiscreteStatsTable[[#This Row],[GroupByKey]]),(DiscreteStatsTable[GroupByKey]=DiscreteStatsTable[[#This Row],[GroupByKey]])*DiscreteStatsTable[NumberObservations])),0)</f>
        <v>285.3</v>
      </c>
      <c r="W195">
        <f>IF((DiscreteStatsTable[[#This Row],[RepsRequested]]&gt;1),DiscreteStatsTable[[#This Row],[HalfWidth]],DiscreteStatsTable[[#This Row],[BatchMeansHalfWidth]])</f>
        <v>0</v>
      </c>
      <c r="X19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>
        <f>IF(DiscreteStatsTable[[#This Row],[RepsRequested]]=DiscreteStatsTable[[#This Row],[RepsWithStatObserved]],1,0)</f>
        <v>1</v>
      </c>
    </row>
    <row r="196" spans="1:25" x14ac:dyDescent="0.2">
      <c r="A196" t="s">
        <v>67</v>
      </c>
      <c r="B196" t="s">
        <v>70</v>
      </c>
      <c r="C196">
        <v>28</v>
      </c>
      <c r="D196" t="s">
        <v>74</v>
      </c>
      <c r="E196" t="s">
        <v>78</v>
      </c>
      <c r="F196" t="s">
        <v>76</v>
      </c>
      <c r="G196">
        <v>42.8742711693546</v>
      </c>
      <c r="H196">
        <v>2E+20</v>
      </c>
      <c r="I196">
        <v>21.047762871578499</v>
      </c>
      <c r="J196">
        <v>82.698907441322504</v>
      </c>
      <c r="K196">
        <v>267</v>
      </c>
      <c r="L19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96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cm="1">
        <f t="array" ref="N196">IFERROR(AVERAGE(IF((DiscreteStatsTable[GroupByKey]=DiscreteStatsTable[[#This Row],[GroupByKey]]),(DiscreteStatsTable[GroupByKey]=DiscreteStatsTable[[#This Row],[GroupByKey]])*DiscreteStatsTable[Average])),0)</f>
        <v>42.144608162589741</v>
      </c>
      <c r="O196" cm="1">
        <f t="array" ref="O196">IFERROR(_xlfn.STDEV.S(IF((DiscreteStatsTable[GroupByKey]=DiscreteStatsTable[[#This Row],[GroupByKey]]),(DiscreteStatsTable[GroupByKey]=DiscreteStatsTable[[#This Row],[GroupByKey]])*DiscreteStatsTable[Average])),0)</f>
        <v>0.50689760716925758</v>
      </c>
      <c r="P196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196" cm="1">
        <f t="array" ref="R196">MIN(IF((DiscreteStatsTable[GroupByKey]=DiscreteStatsTable[[#This Row],[GroupByKey]]),(DiscreteStatsTable[GroupByKey]=DiscreteStatsTable[[#This Row],[GroupByKey]])*DiscreteStatsTable[Average]))</f>
        <v>41.266839452854697</v>
      </c>
      <c r="S196" cm="1">
        <f t="array" ref="S196">MAX(IF((DiscreteStatsTable[GroupByKey]=DiscreteStatsTable[[#This Row],[GroupByKey]]),(DiscreteStatsTable[GroupByKey]=DiscreteStatsTable[[#This Row],[GroupByKey]])*DiscreteStatsTable[Average]))</f>
        <v>43.261092257362002</v>
      </c>
      <c r="T196" cm="1">
        <f t="array" ref="T196">MIN(IF((DiscreteStatsTable[GroupByKey]=DiscreteStatsTable[[#This Row],[GroupByKey]]),(DiscreteStatsTable[GroupByKey]=DiscreteStatsTable[[#This Row],[GroupByKey]])*DiscreteStatsTable[Minimum]))</f>
        <v>14.356812659243699</v>
      </c>
      <c r="U196" cm="1">
        <f t="array" ref="U196">MAX(IF((DiscreteStatsTable[GroupByKey]=DiscreteStatsTable[[#This Row],[GroupByKey]]),(DiscreteStatsTable[GroupByKey]=DiscreteStatsTable[[#This Row],[GroupByKey]])*DiscreteStatsTable[Maximum]))</f>
        <v>109.278485088034</v>
      </c>
      <c r="V196" cm="1">
        <f t="array" ref="V196">IFERROR(AVERAGE(IF((DiscreteStatsTable[GroupByKey]=DiscreteStatsTable[[#This Row],[GroupByKey]]),(DiscreteStatsTable[GroupByKey]=DiscreteStatsTable[[#This Row],[GroupByKey]])*DiscreteStatsTable[NumberObservations])),0)</f>
        <v>285.3</v>
      </c>
      <c r="W196">
        <f>IF((DiscreteStatsTable[[#This Row],[RepsRequested]]&gt;1),DiscreteStatsTable[[#This Row],[HalfWidth]],DiscreteStatsTable[[#This Row],[BatchMeansHalfWidth]])</f>
        <v>0.18927867722499744</v>
      </c>
      <c r="X196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>
        <f>IF(DiscreteStatsTable[[#This Row],[RepsRequested]]=DiscreteStatsTable[[#This Row],[RepsWithStatObserved]],1,0)</f>
        <v>1</v>
      </c>
    </row>
    <row r="197" spans="1:25" x14ac:dyDescent="0.2">
      <c r="A197" t="s">
        <v>67</v>
      </c>
      <c r="B197" t="s">
        <v>70</v>
      </c>
      <c r="C197">
        <v>28</v>
      </c>
      <c r="D197" t="s">
        <v>74</v>
      </c>
      <c r="E197" t="s">
        <v>79</v>
      </c>
      <c r="F197" t="s">
        <v>76</v>
      </c>
      <c r="G197">
        <v>0</v>
      </c>
      <c r="H197">
        <v>2E+20</v>
      </c>
      <c r="I197">
        <v>0</v>
      </c>
      <c r="J197">
        <v>0</v>
      </c>
      <c r="K197">
        <v>267</v>
      </c>
      <c r="L19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97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cm="1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cm="1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cm="1">
        <f t="array" ref="S197">MAX(IF((DiscreteStatsTable[GroupByKey]=DiscreteStatsTable[[#This Row],[GroupByKey]]),(DiscreteStatsTable[GroupByKey]=DiscreteStatsTable[[#This Row],[GroupByKey]])*DiscreteStatsTable[Average]))</f>
        <v>0</v>
      </c>
      <c r="T197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cm="1">
        <f t="array" ref="U197">MAX(IF((DiscreteStatsTable[GroupByKey]=DiscreteStatsTable[[#This Row],[GroupByKey]]),(DiscreteStatsTable[GroupByKey]=DiscreteStatsTable[[#This Row],[GroupByKey]])*DiscreteStatsTable[Maximum]))</f>
        <v>0</v>
      </c>
      <c r="V197" cm="1">
        <f t="array" ref="V197">IFERROR(AVERAGE(IF((DiscreteStatsTable[GroupByKey]=DiscreteStatsTable[[#This Row],[GroupByKey]]),(DiscreteStatsTable[GroupByKey]=DiscreteStatsTable[[#This Row],[GroupByKey]])*DiscreteStatsTable[NumberObservations])),0)</f>
        <v>285.3</v>
      </c>
      <c r="W197">
        <f>IF((DiscreteStatsTable[[#This Row],[RepsRequested]]&gt;1),DiscreteStatsTable[[#This Row],[HalfWidth]],DiscreteStatsTable[[#This Row],[BatchMeansHalfWidth]])</f>
        <v>0</v>
      </c>
      <c r="X197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>
        <f>IF(DiscreteStatsTable[[#This Row],[RepsRequested]]=DiscreteStatsTable[[#This Row],[RepsWithStatObserved]],1,0)</f>
        <v>1</v>
      </c>
    </row>
    <row r="198" spans="1:25" x14ac:dyDescent="0.2">
      <c r="A198" t="s">
        <v>67</v>
      </c>
      <c r="B198" t="s">
        <v>70</v>
      </c>
      <c r="C198">
        <v>28</v>
      </c>
      <c r="D198" t="s">
        <v>74</v>
      </c>
      <c r="E198" t="s">
        <v>80</v>
      </c>
      <c r="F198" t="s">
        <v>76</v>
      </c>
      <c r="G198">
        <v>36.373358120192002</v>
      </c>
      <c r="H198">
        <v>2E+20</v>
      </c>
      <c r="I198">
        <v>21.047762871578499</v>
      </c>
      <c r="J198">
        <v>51.476014589677</v>
      </c>
      <c r="K198">
        <v>267</v>
      </c>
      <c r="L19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98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cm="1">
        <f t="array" ref="N198">IFERROR(AVERAGE(IF((DiscreteStatsTable[GroupByKey]=DiscreteStatsTable[[#This Row],[GroupByKey]]),(DiscreteStatsTable[GroupByKey]=DiscreteStatsTable[[#This Row],[GroupByKey]])*DiscreteStatsTable[Average])),0)</f>
        <v>36.00428777459642</v>
      </c>
      <c r="O198" cm="1">
        <f t="array" ref="O198">IFERROR(_xlfn.STDEV.S(IF((DiscreteStatsTable[GroupByKey]=DiscreteStatsTable[[#This Row],[GroupByKey]]),(DiscreteStatsTable[GroupByKey]=DiscreteStatsTable[[#This Row],[GroupByKey]])*DiscreteStatsTable[Average])),0)</f>
        <v>0.34275969383872451</v>
      </c>
      <c r="P198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198" cm="1">
        <f t="array" ref="R198">MIN(IF((DiscreteStatsTable[GroupByKey]=DiscreteStatsTable[[#This Row],[GroupByKey]]),(DiscreteStatsTable[GroupByKey]=DiscreteStatsTable[[#This Row],[GroupByKey]])*DiscreteStatsTable[Average]))</f>
        <v>35.158236096727201</v>
      </c>
      <c r="S198" cm="1">
        <f t="array" ref="S198">MAX(IF((DiscreteStatsTable[GroupByKey]=DiscreteStatsTable[[#This Row],[GroupByKey]]),(DiscreteStatsTable[GroupByKey]=DiscreteStatsTable[[#This Row],[GroupByKey]])*DiscreteStatsTable[Average]))</f>
        <v>36.707690403515898</v>
      </c>
      <c r="T198" cm="1">
        <f t="array" ref="T198">MIN(IF((DiscreteStatsTable[GroupByKey]=DiscreteStatsTable[[#This Row],[GroupByKey]]),(DiscreteStatsTable[GroupByKey]=DiscreteStatsTable[[#This Row],[GroupByKey]])*DiscreteStatsTable[Minimum]))</f>
        <v>14.2518779052622</v>
      </c>
      <c r="U198" cm="1">
        <f t="array" ref="U198">MAX(IF((DiscreteStatsTable[GroupByKey]=DiscreteStatsTable[[#This Row],[GroupByKey]]),(DiscreteStatsTable[GroupByKey]=DiscreteStatsTable[[#This Row],[GroupByKey]])*DiscreteStatsTable[Maximum]))</f>
        <v>59.774077085699403</v>
      </c>
      <c r="V198" cm="1">
        <f t="array" ref="V198">IFERROR(AVERAGE(IF((DiscreteStatsTable[GroupByKey]=DiscreteStatsTable[[#This Row],[GroupByKey]]),(DiscreteStatsTable[GroupByKey]=DiscreteStatsTable[[#This Row],[GroupByKey]])*DiscreteStatsTable[NumberObservations])),0)</f>
        <v>285.3</v>
      </c>
      <c r="W198">
        <f>IF((DiscreteStatsTable[[#This Row],[RepsRequested]]&gt;1),DiscreteStatsTable[[#This Row],[HalfWidth]],DiscreteStatsTable[[#This Row],[BatchMeansHalfWidth]])</f>
        <v>0.12798857311270725</v>
      </c>
      <c r="X198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>
        <f>IF(DiscreteStatsTable[[#This Row],[RepsRequested]]=DiscreteStatsTable[[#This Row],[RepsWithStatObserved]],1,0)</f>
        <v>1</v>
      </c>
    </row>
    <row r="199" spans="1:25" x14ac:dyDescent="0.2">
      <c r="A199" t="s">
        <v>67</v>
      </c>
      <c r="B199" t="s">
        <v>70</v>
      </c>
      <c r="C199">
        <v>28</v>
      </c>
      <c r="D199" t="s">
        <v>74</v>
      </c>
      <c r="E199" t="s">
        <v>81</v>
      </c>
      <c r="F199" t="s">
        <v>76</v>
      </c>
      <c r="G199">
        <v>13.9647391446101</v>
      </c>
      <c r="H199">
        <v>2E+20</v>
      </c>
      <c r="I199">
        <v>0</v>
      </c>
      <c r="J199">
        <v>87.118291032804194</v>
      </c>
      <c r="K199">
        <v>267</v>
      </c>
      <c r="L19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9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cm="1">
        <f t="array" ref="N199">IFERROR(AVERAGE(IF((DiscreteStatsTable[GroupByKey]=DiscreteStatsTable[[#This Row],[GroupByKey]]),(DiscreteStatsTable[GroupByKey]=DiscreteStatsTable[[#This Row],[GroupByKey]])*DiscreteStatsTable[Average])),0)</f>
        <v>13.621559896422417</v>
      </c>
      <c r="O199" cm="1">
        <f t="array" ref="O199">IFERROR(_xlfn.STDEV.S(IF((DiscreteStatsTable[GroupByKey]=DiscreteStatsTable[[#This Row],[GroupByKey]]),(DiscreteStatsTable[GroupByKey]=DiscreteStatsTable[[#This Row],[GroupByKey]])*DiscreteStatsTable[Average])),0)</f>
        <v>0.39651575913774295</v>
      </c>
      <c r="P199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199" cm="1">
        <f t="array" ref="R199">MIN(IF((DiscreteStatsTable[GroupByKey]=DiscreteStatsTable[[#This Row],[GroupByKey]]),(DiscreteStatsTable[GroupByKey]=DiscreteStatsTable[[#This Row],[GroupByKey]])*DiscreteStatsTable[Average]))</f>
        <v>12.598242749972901</v>
      </c>
      <c r="S199" cm="1">
        <f t="array" ref="S199">MAX(IF((DiscreteStatsTable[GroupByKey]=DiscreteStatsTable[[#This Row],[GroupByKey]]),(DiscreteStatsTable[GroupByKey]=DiscreteStatsTable[[#This Row],[GroupByKey]])*DiscreteStatsTable[Average]))</f>
        <v>14.319051591609201</v>
      </c>
      <c r="T199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cm="1">
        <f t="array" ref="U199">MAX(IF((DiscreteStatsTable[GroupByKey]=DiscreteStatsTable[[#This Row],[GroupByKey]]),(DiscreteStatsTable[GroupByKey]=DiscreteStatsTable[[#This Row],[GroupByKey]])*DiscreteStatsTable[Maximum]))</f>
        <v>180.86047487093799</v>
      </c>
      <c r="V199" cm="1">
        <f t="array" ref="V199">IFERROR(AVERAGE(IF((DiscreteStatsTable[GroupByKey]=DiscreteStatsTable[[#This Row],[GroupByKey]]),(DiscreteStatsTable[GroupByKey]=DiscreteStatsTable[[#This Row],[GroupByKey]])*DiscreteStatsTable[NumberObservations])),0)</f>
        <v>285.3</v>
      </c>
      <c r="W199">
        <f>IF((DiscreteStatsTable[[#This Row],[RepsRequested]]&gt;1),DiscreteStatsTable[[#This Row],[HalfWidth]],DiscreteStatsTable[[#This Row],[BatchMeansHalfWidth]])</f>
        <v>0.14806141778332987</v>
      </c>
      <c r="X199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>
        <f>IF(DiscreteStatsTable[[#This Row],[RepsRequested]]=DiscreteStatsTable[[#This Row],[RepsWithStatObserved]],1,0)</f>
        <v>1</v>
      </c>
    </row>
    <row r="200" spans="1:25" x14ac:dyDescent="0.2">
      <c r="A200" t="s">
        <v>67</v>
      </c>
      <c r="B200" t="s">
        <v>70</v>
      </c>
      <c r="C200">
        <v>29</v>
      </c>
      <c r="D200" t="s">
        <v>74</v>
      </c>
      <c r="E200" t="s">
        <v>75</v>
      </c>
      <c r="F200" t="s">
        <v>76</v>
      </c>
      <c r="G200">
        <v>0</v>
      </c>
      <c r="H200">
        <v>2E+20</v>
      </c>
      <c r="I200">
        <v>0</v>
      </c>
      <c r="J200">
        <v>0</v>
      </c>
      <c r="K200">
        <v>305</v>
      </c>
      <c r="L20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0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cm="1">
        <f t="array" ref="N200">IFERROR(AVERAGE(IF((DiscreteStatsTable[GroupByKey]=DiscreteStatsTable[[#This Row],[GroupByKey]]),(DiscreteStatsTable[GroupByKey]=DiscreteStatsTable[[#This Row],[GroupByKey]])*DiscreteStatsTable[Average])),0)</f>
        <v>0</v>
      </c>
      <c r="O200" cm="1">
        <f t="array" ref="O200">IFERROR(_xlfn.STDEV.S(IF((DiscreteStatsTable[GroupByKey]=DiscreteStatsTable[[#This Row],[GroupByKey]]),(DiscreteStatsTable[GroupByKey]=DiscreteStatsTable[[#This Row],[GroupByKey]])*DiscreteStatsTable[Average])),0)</f>
        <v>0</v>
      </c>
      <c r="P200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0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cm="1">
        <f t="array" ref="S200">MAX(IF((DiscreteStatsTable[GroupByKey]=DiscreteStatsTable[[#This Row],[GroupByKey]]),(DiscreteStatsTable[GroupByKey]=DiscreteStatsTable[[#This Row],[GroupByKey]])*DiscreteStatsTable[Average]))</f>
        <v>0</v>
      </c>
      <c r="T200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cm="1">
        <f t="array" ref="U200">MAX(IF((DiscreteStatsTable[GroupByKey]=DiscreteStatsTable[[#This Row],[GroupByKey]]),(DiscreteStatsTable[GroupByKey]=DiscreteStatsTable[[#This Row],[GroupByKey]])*DiscreteStatsTable[Maximum]))</f>
        <v>0</v>
      </c>
      <c r="V200" cm="1">
        <f t="array" ref="V200">IFERROR(AVERAGE(IF((DiscreteStatsTable[GroupByKey]=DiscreteStatsTable[[#This Row],[GroupByKey]]),(DiscreteStatsTable[GroupByKey]=DiscreteStatsTable[[#This Row],[GroupByKey]])*DiscreteStatsTable[NumberObservations])),0)</f>
        <v>285.3</v>
      </c>
      <c r="W200">
        <f>IF((DiscreteStatsTable[[#This Row],[RepsRequested]]&gt;1),DiscreteStatsTable[[#This Row],[HalfWidth]],DiscreteStatsTable[[#This Row],[BatchMeansHalfWidth]])</f>
        <v>0</v>
      </c>
      <c r="X200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>
        <f>IF(DiscreteStatsTable[[#This Row],[RepsRequested]]=DiscreteStatsTable[[#This Row],[RepsWithStatObserved]],1,0)</f>
        <v>1</v>
      </c>
    </row>
    <row r="201" spans="1:25" x14ac:dyDescent="0.2">
      <c r="A201" t="s">
        <v>67</v>
      </c>
      <c r="B201" t="s">
        <v>70</v>
      </c>
      <c r="C201">
        <v>29</v>
      </c>
      <c r="D201" t="s">
        <v>74</v>
      </c>
      <c r="E201" t="s">
        <v>77</v>
      </c>
      <c r="F201" t="s">
        <v>76</v>
      </c>
      <c r="G201">
        <v>0</v>
      </c>
      <c r="H201">
        <v>2E+20</v>
      </c>
      <c r="I201">
        <v>0</v>
      </c>
      <c r="J201">
        <v>0</v>
      </c>
      <c r="K201">
        <v>305</v>
      </c>
      <c r="L20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01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cm="1">
        <f t="array" ref="N201">IFERROR(AVERAGE(IF((DiscreteStatsTable[GroupByKey]=DiscreteStatsTable[[#This Row],[GroupByKey]]),(DiscreteStatsTable[GroupByKey]=DiscreteStatsTable[[#This Row],[GroupByKey]])*DiscreteStatsTable[Average])),0)</f>
        <v>0</v>
      </c>
      <c r="O201" cm="1">
        <f t="array" ref="O201">IFERROR(_xlfn.STDEV.S(IF((DiscreteStatsTable[GroupByKey]=DiscreteStatsTable[[#This Row],[GroupByKey]]),(DiscreteStatsTable[GroupByKey]=DiscreteStatsTable[[#This Row],[GroupByKey]])*DiscreteStatsTable[Average])),0)</f>
        <v>0</v>
      </c>
      <c r="P201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1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cm="1">
        <f t="array" ref="S201">MAX(IF((DiscreteStatsTable[GroupByKey]=DiscreteStatsTable[[#This Row],[GroupByKey]]),(DiscreteStatsTable[GroupByKey]=DiscreteStatsTable[[#This Row],[GroupByKey]])*DiscreteStatsTable[Average]))</f>
        <v>0</v>
      </c>
      <c r="T201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cm="1">
        <f t="array" ref="U201">MAX(IF((DiscreteStatsTable[GroupByKey]=DiscreteStatsTable[[#This Row],[GroupByKey]]),(DiscreteStatsTable[GroupByKey]=DiscreteStatsTable[[#This Row],[GroupByKey]])*DiscreteStatsTable[Maximum]))</f>
        <v>0</v>
      </c>
      <c r="V201" cm="1">
        <f t="array" ref="V201">IFERROR(AVERAGE(IF((DiscreteStatsTable[GroupByKey]=DiscreteStatsTable[[#This Row],[GroupByKey]]),(DiscreteStatsTable[GroupByKey]=DiscreteStatsTable[[#This Row],[GroupByKey]])*DiscreteStatsTable[NumberObservations])),0)</f>
        <v>285.3</v>
      </c>
      <c r="W201">
        <f>IF((DiscreteStatsTable[[#This Row],[RepsRequested]]&gt;1),DiscreteStatsTable[[#This Row],[HalfWidth]],DiscreteStatsTable[[#This Row],[BatchMeansHalfWidth]])</f>
        <v>0</v>
      </c>
      <c r="X201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>
        <f>IF(DiscreteStatsTable[[#This Row],[RepsRequested]]=DiscreteStatsTable[[#This Row],[RepsWithStatObserved]],1,0)</f>
        <v>1</v>
      </c>
    </row>
    <row r="202" spans="1:25" x14ac:dyDescent="0.2">
      <c r="A202" t="s">
        <v>67</v>
      </c>
      <c r="B202" t="s">
        <v>70</v>
      </c>
      <c r="C202">
        <v>29</v>
      </c>
      <c r="D202" t="s">
        <v>74</v>
      </c>
      <c r="E202" t="s">
        <v>78</v>
      </c>
      <c r="F202" t="s">
        <v>76</v>
      </c>
      <c r="G202">
        <v>42.163432896656701</v>
      </c>
      <c r="H202">
        <v>2E+20</v>
      </c>
      <c r="I202">
        <v>19.036252073657401</v>
      </c>
      <c r="J202">
        <v>72.224012180245794</v>
      </c>
      <c r="K202">
        <v>305</v>
      </c>
      <c r="L20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02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cm="1">
        <f t="array" ref="N202">IFERROR(AVERAGE(IF((DiscreteStatsTable[GroupByKey]=DiscreteStatsTable[[#This Row],[GroupByKey]]),(DiscreteStatsTable[GroupByKey]=DiscreteStatsTable[[#This Row],[GroupByKey]])*DiscreteStatsTable[Average])),0)</f>
        <v>42.144608162589741</v>
      </c>
      <c r="O202" cm="1">
        <f t="array" ref="O202">IFERROR(_xlfn.STDEV.S(IF((DiscreteStatsTable[GroupByKey]=DiscreteStatsTable[[#This Row],[GroupByKey]]),(DiscreteStatsTable[GroupByKey]=DiscreteStatsTable[[#This Row],[GroupByKey]])*DiscreteStatsTable[Average])),0)</f>
        <v>0.50689760716925758</v>
      </c>
      <c r="P202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202" cm="1">
        <f t="array" ref="R202">MIN(IF((DiscreteStatsTable[GroupByKey]=DiscreteStatsTable[[#This Row],[GroupByKey]]),(DiscreteStatsTable[GroupByKey]=DiscreteStatsTable[[#This Row],[GroupByKey]])*DiscreteStatsTable[Average]))</f>
        <v>41.266839452854697</v>
      </c>
      <c r="S202" cm="1">
        <f t="array" ref="S202">MAX(IF((DiscreteStatsTable[GroupByKey]=DiscreteStatsTable[[#This Row],[GroupByKey]]),(DiscreteStatsTable[GroupByKey]=DiscreteStatsTable[[#This Row],[GroupByKey]])*DiscreteStatsTable[Average]))</f>
        <v>43.261092257362002</v>
      </c>
      <c r="T202" cm="1">
        <f t="array" ref="T202">MIN(IF((DiscreteStatsTable[GroupByKey]=DiscreteStatsTable[[#This Row],[GroupByKey]]),(DiscreteStatsTable[GroupByKey]=DiscreteStatsTable[[#This Row],[GroupByKey]])*DiscreteStatsTable[Minimum]))</f>
        <v>14.356812659243699</v>
      </c>
      <c r="U202" cm="1">
        <f t="array" ref="U202">MAX(IF((DiscreteStatsTable[GroupByKey]=DiscreteStatsTable[[#This Row],[GroupByKey]]),(DiscreteStatsTable[GroupByKey]=DiscreteStatsTable[[#This Row],[GroupByKey]])*DiscreteStatsTable[Maximum]))</f>
        <v>109.278485088034</v>
      </c>
      <c r="V202" cm="1">
        <f t="array" ref="V202">IFERROR(AVERAGE(IF((DiscreteStatsTable[GroupByKey]=DiscreteStatsTable[[#This Row],[GroupByKey]]),(DiscreteStatsTable[GroupByKey]=DiscreteStatsTable[[#This Row],[GroupByKey]])*DiscreteStatsTable[NumberObservations])),0)</f>
        <v>285.3</v>
      </c>
      <c r="W202">
        <f>IF((DiscreteStatsTable[[#This Row],[RepsRequested]]&gt;1),DiscreteStatsTable[[#This Row],[HalfWidth]],DiscreteStatsTable[[#This Row],[BatchMeansHalfWidth]])</f>
        <v>0.18927867722499744</v>
      </c>
      <c r="X202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>
        <f>IF(DiscreteStatsTable[[#This Row],[RepsRequested]]=DiscreteStatsTable[[#This Row],[RepsWithStatObserved]],1,0)</f>
        <v>1</v>
      </c>
    </row>
    <row r="203" spans="1:25" x14ac:dyDescent="0.2">
      <c r="A203" t="s">
        <v>67</v>
      </c>
      <c r="B203" t="s">
        <v>70</v>
      </c>
      <c r="C203">
        <v>29</v>
      </c>
      <c r="D203" t="s">
        <v>74</v>
      </c>
      <c r="E203" t="s">
        <v>79</v>
      </c>
      <c r="F203" t="s">
        <v>76</v>
      </c>
      <c r="G203">
        <v>0</v>
      </c>
      <c r="H203">
        <v>2E+20</v>
      </c>
      <c r="I203">
        <v>0</v>
      </c>
      <c r="J203">
        <v>0</v>
      </c>
      <c r="K203">
        <v>305</v>
      </c>
      <c r="L20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03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cm="1">
        <f t="array" ref="N203">IFERROR(AVERAGE(IF((DiscreteStatsTable[GroupByKey]=DiscreteStatsTable[[#This Row],[GroupByKey]]),(DiscreteStatsTable[GroupByKey]=DiscreteStatsTable[[#This Row],[GroupByKey]])*DiscreteStatsTable[Average])),0)</f>
        <v>0</v>
      </c>
      <c r="O203" cm="1">
        <f t="array" ref="O203">IFERROR(_xlfn.STDEV.S(IF((DiscreteStatsTable[GroupByKey]=DiscreteStatsTable[[#This Row],[GroupByKey]]),(DiscreteStatsTable[GroupByKey]=DiscreteStatsTable[[#This Row],[GroupByKey]])*DiscreteStatsTable[Average])),0)</f>
        <v>0</v>
      </c>
      <c r="P203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cm="1">
        <f t="array" ref="S203">MAX(IF((DiscreteStatsTable[GroupByKey]=DiscreteStatsTable[[#This Row],[GroupByKey]]),(DiscreteStatsTable[GroupByKey]=DiscreteStatsTable[[#This Row],[GroupByKey]])*DiscreteStatsTable[Average]))</f>
        <v>0</v>
      </c>
      <c r="T203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cm="1">
        <f t="array" ref="U203">MAX(IF((DiscreteStatsTable[GroupByKey]=DiscreteStatsTable[[#This Row],[GroupByKey]]),(DiscreteStatsTable[GroupByKey]=DiscreteStatsTable[[#This Row],[GroupByKey]])*DiscreteStatsTable[Maximum]))</f>
        <v>0</v>
      </c>
      <c r="V203" cm="1">
        <f t="array" ref="V203">IFERROR(AVERAGE(IF((DiscreteStatsTable[GroupByKey]=DiscreteStatsTable[[#This Row],[GroupByKey]]),(DiscreteStatsTable[GroupByKey]=DiscreteStatsTable[[#This Row],[GroupByKey]])*DiscreteStatsTable[NumberObservations])),0)</f>
        <v>285.3</v>
      </c>
      <c r="W203">
        <f>IF((DiscreteStatsTable[[#This Row],[RepsRequested]]&gt;1),DiscreteStatsTable[[#This Row],[HalfWidth]],DiscreteStatsTable[[#This Row],[BatchMeansHalfWidth]])</f>
        <v>0</v>
      </c>
      <c r="X203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>
        <f>IF(DiscreteStatsTable[[#This Row],[RepsRequested]]=DiscreteStatsTable[[#This Row],[RepsWithStatObserved]],1,0)</f>
        <v>1</v>
      </c>
    </row>
    <row r="204" spans="1:25" x14ac:dyDescent="0.2">
      <c r="A204" t="s">
        <v>67</v>
      </c>
      <c r="B204" t="s">
        <v>70</v>
      </c>
      <c r="C204">
        <v>29</v>
      </c>
      <c r="D204" t="s">
        <v>74</v>
      </c>
      <c r="E204" t="s">
        <v>80</v>
      </c>
      <c r="F204" t="s">
        <v>76</v>
      </c>
      <c r="G204">
        <v>36.188759381521102</v>
      </c>
      <c r="H204">
        <v>2E+20</v>
      </c>
      <c r="I204">
        <v>17.264322416714801</v>
      </c>
      <c r="J204">
        <v>57.194098287968899</v>
      </c>
      <c r="K204">
        <v>305</v>
      </c>
      <c r="L20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04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cm="1">
        <f t="array" ref="N204">IFERROR(AVERAGE(IF((DiscreteStatsTable[GroupByKey]=DiscreteStatsTable[[#This Row],[GroupByKey]]),(DiscreteStatsTable[GroupByKey]=DiscreteStatsTable[[#This Row],[GroupByKey]])*DiscreteStatsTable[Average])),0)</f>
        <v>36.00428777459642</v>
      </c>
      <c r="O204" cm="1">
        <f t="array" ref="O204">IFERROR(_xlfn.STDEV.S(IF((DiscreteStatsTable[GroupByKey]=DiscreteStatsTable[[#This Row],[GroupByKey]]),(DiscreteStatsTable[GroupByKey]=DiscreteStatsTable[[#This Row],[GroupByKey]])*DiscreteStatsTable[Average])),0)</f>
        <v>0.34275969383872451</v>
      </c>
      <c r="P204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204" cm="1">
        <f t="array" ref="R204">MIN(IF((DiscreteStatsTable[GroupByKey]=DiscreteStatsTable[[#This Row],[GroupByKey]]),(DiscreteStatsTable[GroupByKey]=DiscreteStatsTable[[#This Row],[GroupByKey]])*DiscreteStatsTable[Average]))</f>
        <v>35.158236096727201</v>
      </c>
      <c r="S204" cm="1">
        <f t="array" ref="S204">MAX(IF((DiscreteStatsTable[GroupByKey]=DiscreteStatsTable[[#This Row],[GroupByKey]]),(DiscreteStatsTable[GroupByKey]=DiscreteStatsTable[[#This Row],[GroupByKey]])*DiscreteStatsTable[Average]))</f>
        <v>36.707690403515898</v>
      </c>
      <c r="T204" cm="1">
        <f t="array" ref="T204">MIN(IF((DiscreteStatsTable[GroupByKey]=DiscreteStatsTable[[#This Row],[GroupByKey]]),(DiscreteStatsTable[GroupByKey]=DiscreteStatsTable[[#This Row],[GroupByKey]])*DiscreteStatsTable[Minimum]))</f>
        <v>14.2518779052622</v>
      </c>
      <c r="U204" cm="1">
        <f t="array" ref="U204">MAX(IF((DiscreteStatsTable[GroupByKey]=DiscreteStatsTable[[#This Row],[GroupByKey]]),(DiscreteStatsTable[GroupByKey]=DiscreteStatsTable[[#This Row],[GroupByKey]])*DiscreteStatsTable[Maximum]))</f>
        <v>59.774077085699403</v>
      </c>
      <c r="V204" cm="1">
        <f t="array" ref="V204">IFERROR(AVERAGE(IF((DiscreteStatsTable[GroupByKey]=DiscreteStatsTable[[#This Row],[GroupByKey]]),(DiscreteStatsTable[GroupByKey]=DiscreteStatsTable[[#This Row],[GroupByKey]])*DiscreteStatsTable[NumberObservations])),0)</f>
        <v>285.3</v>
      </c>
      <c r="W204">
        <f>IF((DiscreteStatsTable[[#This Row],[RepsRequested]]&gt;1),DiscreteStatsTable[[#This Row],[HalfWidth]],DiscreteStatsTable[[#This Row],[BatchMeansHalfWidth]])</f>
        <v>0.12798857311270725</v>
      </c>
      <c r="X204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>
        <f>IF(DiscreteStatsTable[[#This Row],[RepsRequested]]=DiscreteStatsTable[[#This Row],[RepsWithStatObserved]],1,0)</f>
        <v>1</v>
      </c>
    </row>
    <row r="205" spans="1:25" x14ac:dyDescent="0.2">
      <c r="A205" t="s">
        <v>67</v>
      </c>
      <c r="B205" t="s">
        <v>70</v>
      </c>
      <c r="C205">
        <v>29</v>
      </c>
      <c r="D205" t="s">
        <v>74</v>
      </c>
      <c r="E205" t="s">
        <v>81</v>
      </c>
      <c r="F205" t="s">
        <v>76</v>
      </c>
      <c r="G205">
        <v>12.7746087327083</v>
      </c>
      <c r="H205">
        <v>2E+20</v>
      </c>
      <c r="I205">
        <v>0</v>
      </c>
      <c r="J205">
        <v>82.851356611276699</v>
      </c>
      <c r="K205">
        <v>305</v>
      </c>
      <c r="L20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0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cm="1">
        <f t="array" ref="N205">IFERROR(AVERAGE(IF((DiscreteStatsTable[GroupByKey]=DiscreteStatsTable[[#This Row],[GroupByKey]]),(DiscreteStatsTable[GroupByKey]=DiscreteStatsTable[[#This Row],[GroupByKey]])*DiscreteStatsTable[Average])),0)</f>
        <v>13.621559896422417</v>
      </c>
      <c r="O205" cm="1">
        <f t="array" ref="O205">IFERROR(_xlfn.STDEV.S(IF((DiscreteStatsTable[GroupByKey]=DiscreteStatsTable[[#This Row],[GroupByKey]]),(DiscreteStatsTable[GroupByKey]=DiscreteStatsTable[[#This Row],[GroupByKey]])*DiscreteStatsTable[Average])),0)</f>
        <v>0.39651575913774295</v>
      </c>
      <c r="P20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205" cm="1">
        <f t="array" ref="R205">MIN(IF((DiscreteStatsTable[GroupByKey]=DiscreteStatsTable[[#This Row],[GroupByKey]]),(DiscreteStatsTable[GroupByKey]=DiscreteStatsTable[[#This Row],[GroupByKey]])*DiscreteStatsTable[Average]))</f>
        <v>12.598242749972901</v>
      </c>
      <c r="S205" cm="1">
        <f t="array" ref="S205">MAX(IF((DiscreteStatsTable[GroupByKey]=DiscreteStatsTable[[#This Row],[GroupByKey]]),(DiscreteStatsTable[GroupByKey]=DiscreteStatsTable[[#This Row],[GroupByKey]])*DiscreteStatsTable[Average]))</f>
        <v>14.319051591609201</v>
      </c>
      <c r="T20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cm="1">
        <f t="array" ref="U205">MAX(IF((DiscreteStatsTable[GroupByKey]=DiscreteStatsTable[[#This Row],[GroupByKey]]),(DiscreteStatsTable[GroupByKey]=DiscreteStatsTable[[#This Row],[GroupByKey]])*DiscreteStatsTable[Maximum]))</f>
        <v>180.86047487093799</v>
      </c>
      <c r="V205" cm="1">
        <f t="array" ref="V205">IFERROR(AVERAGE(IF((DiscreteStatsTable[GroupByKey]=DiscreteStatsTable[[#This Row],[GroupByKey]]),(DiscreteStatsTable[GroupByKey]=DiscreteStatsTable[[#This Row],[GroupByKey]])*DiscreteStatsTable[NumberObservations])),0)</f>
        <v>285.3</v>
      </c>
      <c r="W205">
        <f>IF((DiscreteStatsTable[[#This Row],[RepsRequested]]&gt;1),DiscreteStatsTable[[#This Row],[HalfWidth]],DiscreteStatsTable[[#This Row],[BatchMeansHalfWidth]])</f>
        <v>0.14806141778332987</v>
      </c>
      <c r="X20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>
        <f>IF(DiscreteStatsTable[[#This Row],[RepsRequested]]=DiscreteStatsTable[[#This Row],[RepsWithStatObserved]],1,0)</f>
        <v>1</v>
      </c>
    </row>
    <row r="206" spans="1:25" x14ac:dyDescent="0.2">
      <c r="A206" t="s">
        <v>67</v>
      </c>
      <c r="B206" t="s">
        <v>70</v>
      </c>
      <c r="C206">
        <v>30</v>
      </c>
      <c r="D206" t="s">
        <v>74</v>
      </c>
      <c r="E206" t="s">
        <v>75</v>
      </c>
      <c r="F206" t="s">
        <v>76</v>
      </c>
      <c r="G206">
        <v>0</v>
      </c>
      <c r="H206">
        <v>2E+20</v>
      </c>
      <c r="I206">
        <v>0</v>
      </c>
      <c r="J206">
        <v>0</v>
      </c>
      <c r="K206">
        <v>270</v>
      </c>
      <c r="L20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6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cm="1">
        <f t="array" ref="N206">IFERROR(AVERAGE(IF((DiscreteStatsTable[GroupByKey]=DiscreteStatsTable[[#This Row],[GroupByKey]]),(DiscreteStatsTable[GroupByKey]=DiscreteStatsTable[[#This Row],[GroupByKey]])*DiscreteStatsTable[Average])),0)</f>
        <v>0</v>
      </c>
      <c r="O206" cm="1">
        <f t="array" ref="O206">IFERROR(_xlfn.STDEV.S(IF((DiscreteStatsTable[GroupByKey]=DiscreteStatsTable[[#This Row],[GroupByKey]]),(DiscreteStatsTable[GroupByKey]=DiscreteStatsTable[[#This Row],[GroupByKey]])*DiscreteStatsTable[Average])),0)</f>
        <v>0</v>
      </c>
      <c r="P206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6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cm="1">
        <f t="array" ref="S206">MAX(IF((DiscreteStatsTable[GroupByKey]=DiscreteStatsTable[[#This Row],[GroupByKey]]),(DiscreteStatsTable[GroupByKey]=DiscreteStatsTable[[#This Row],[GroupByKey]])*DiscreteStatsTable[Average]))</f>
        <v>0</v>
      </c>
      <c r="T206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cm="1">
        <f t="array" ref="U206">MAX(IF((DiscreteStatsTable[GroupByKey]=DiscreteStatsTable[[#This Row],[GroupByKey]]),(DiscreteStatsTable[GroupByKey]=DiscreteStatsTable[[#This Row],[GroupByKey]])*DiscreteStatsTable[Maximum]))</f>
        <v>0</v>
      </c>
      <c r="V206" cm="1">
        <f t="array" ref="V206">IFERROR(AVERAGE(IF((DiscreteStatsTable[GroupByKey]=DiscreteStatsTable[[#This Row],[GroupByKey]]),(DiscreteStatsTable[GroupByKey]=DiscreteStatsTable[[#This Row],[GroupByKey]])*DiscreteStatsTable[NumberObservations])),0)</f>
        <v>285.3</v>
      </c>
      <c r="W206">
        <f>IF((DiscreteStatsTable[[#This Row],[RepsRequested]]&gt;1),DiscreteStatsTable[[#This Row],[HalfWidth]],DiscreteStatsTable[[#This Row],[BatchMeansHalfWidth]])</f>
        <v>0</v>
      </c>
      <c r="X206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>
        <f>IF(DiscreteStatsTable[[#This Row],[RepsRequested]]=DiscreteStatsTable[[#This Row],[RepsWithStatObserved]],1,0)</f>
        <v>1</v>
      </c>
    </row>
    <row r="207" spans="1:25" x14ac:dyDescent="0.2">
      <c r="A207" t="s">
        <v>67</v>
      </c>
      <c r="B207" t="s">
        <v>70</v>
      </c>
      <c r="C207">
        <v>30</v>
      </c>
      <c r="D207" t="s">
        <v>74</v>
      </c>
      <c r="E207" t="s">
        <v>77</v>
      </c>
      <c r="F207" t="s">
        <v>76</v>
      </c>
      <c r="G207">
        <v>0</v>
      </c>
      <c r="H207">
        <v>2E+20</v>
      </c>
      <c r="I207">
        <v>0</v>
      </c>
      <c r="J207">
        <v>0</v>
      </c>
      <c r="K207">
        <v>270</v>
      </c>
      <c r="L20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07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cm="1">
        <f t="array" ref="N207">IFERROR(AVERAGE(IF((DiscreteStatsTable[GroupByKey]=DiscreteStatsTable[[#This Row],[GroupByKey]]),(DiscreteStatsTable[GroupByKey]=DiscreteStatsTable[[#This Row],[GroupByKey]])*DiscreteStatsTable[Average])),0)</f>
        <v>0</v>
      </c>
      <c r="O207" cm="1">
        <f t="array" ref="O207">IFERROR(_xlfn.STDEV.S(IF((DiscreteStatsTable[GroupByKey]=DiscreteStatsTable[[#This Row],[GroupByKey]]),(DiscreteStatsTable[GroupByKey]=DiscreteStatsTable[[#This Row],[GroupByKey]])*DiscreteStatsTable[Average])),0)</f>
        <v>0</v>
      </c>
      <c r="P207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7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cm="1">
        <f t="array" ref="S207">MAX(IF((DiscreteStatsTable[GroupByKey]=DiscreteStatsTable[[#This Row],[GroupByKey]]),(DiscreteStatsTable[GroupByKey]=DiscreteStatsTable[[#This Row],[GroupByKey]])*DiscreteStatsTable[Average]))</f>
        <v>0</v>
      </c>
      <c r="T207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cm="1">
        <f t="array" ref="U207">MAX(IF((DiscreteStatsTable[GroupByKey]=DiscreteStatsTable[[#This Row],[GroupByKey]]),(DiscreteStatsTable[GroupByKey]=DiscreteStatsTable[[#This Row],[GroupByKey]])*DiscreteStatsTable[Maximum]))</f>
        <v>0</v>
      </c>
      <c r="V207" cm="1">
        <f t="array" ref="V207">IFERROR(AVERAGE(IF((DiscreteStatsTable[GroupByKey]=DiscreteStatsTable[[#This Row],[GroupByKey]]),(DiscreteStatsTable[GroupByKey]=DiscreteStatsTable[[#This Row],[GroupByKey]])*DiscreteStatsTable[NumberObservations])),0)</f>
        <v>285.3</v>
      </c>
      <c r="W207">
        <f>IF((DiscreteStatsTable[[#This Row],[RepsRequested]]&gt;1),DiscreteStatsTable[[#This Row],[HalfWidth]],DiscreteStatsTable[[#This Row],[BatchMeansHalfWidth]])</f>
        <v>0</v>
      </c>
      <c r="X207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>
        <f>IF(DiscreteStatsTable[[#This Row],[RepsRequested]]=DiscreteStatsTable[[#This Row],[RepsWithStatObserved]],1,0)</f>
        <v>1</v>
      </c>
    </row>
    <row r="208" spans="1:25" x14ac:dyDescent="0.2">
      <c r="A208" t="s">
        <v>67</v>
      </c>
      <c r="B208" t="s">
        <v>70</v>
      </c>
      <c r="C208">
        <v>30</v>
      </c>
      <c r="D208" t="s">
        <v>74</v>
      </c>
      <c r="E208" t="s">
        <v>78</v>
      </c>
      <c r="F208" t="s">
        <v>76</v>
      </c>
      <c r="G208">
        <v>42.420428929815202</v>
      </c>
      <c r="H208">
        <v>2E+20</v>
      </c>
      <c r="I208">
        <v>22.019452018570899</v>
      </c>
      <c r="J208">
        <v>75.935977692423904</v>
      </c>
      <c r="K208">
        <v>270</v>
      </c>
      <c r="L20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08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cm="1">
        <f t="array" ref="N208">IFERROR(AVERAGE(IF((DiscreteStatsTable[GroupByKey]=DiscreteStatsTable[[#This Row],[GroupByKey]]),(DiscreteStatsTable[GroupByKey]=DiscreteStatsTable[[#This Row],[GroupByKey]])*DiscreteStatsTable[Average])),0)</f>
        <v>42.144608162589741</v>
      </c>
      <c r="O208" cm="1">
        <f t="array" ref="O208">IFERROR(_xlfn.STDEV.S(IF((DiscreteStatsTable[GroupByKey]=DiscreteStatsTable[[#This Row],[GroupByKey]]),(DiscreteStatsTable[GroupByKey]=DiscreteStatsTable[[#This Row],[GroupByKey]])*DiscreteStatsTable[Average])),0)</f>
        <v>0.50689760716925758</v>
      </c>
      <c r="P208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0.18927867722499744</v>
      </c>
      <c r="R208" cm="1">
        <f t="array" ref="R208">MIN(IF((DiscreteStatsTable[GroupByKey]=DiscreteStatsTable[[#This Row],[GroupByKey]]),(DiscreteStatsTable[GroupByKey]=DiscreteStatsTable[[#This Row],[GroupByKey]])*DiscreteStatsTable[Average]))</f>
        <v>41.266839452854697</v>
      </c>
      <c r="S208" cm="1">
        <f t="array" ref="S208">MAX(IF((DiscreteStatsTable[GroupByKey]=DiscreteStatsTable[[#This Row],[GroupByKey]]),(DiscreteStatsTable[GroupByKey]=DiscreteStatsTable[[#This Row],[GroupByKey]])*DiscreteStatsTable[Average]))</f>
        <v>43.261092257362002</v>
      </c>
      <c r="T208" cm="1">
        <f t="array" ref="T208">MIN(IF((DiscreteStatsTable[GroupByKey]=DiscreteStatsTable[[#This Row],[GroupByKey]]),(DiscreteStatsTable[GroupByKey]=DiscreteStatsTable[[#This Row],[GroupByKey]])*DiscreteStatsTable[Minimum]))</f>
        <v>14.356812659243699</v>
      </c>
      <c r="U208" cm="1">
        <f t="array" ref="U208">MAX(IF((DiscreteStatsTable[GroupByKey]=DiscreteStatsTable[[#This Row],[GroupByKey]]),(DiscreteStatsTable[GroupByKey]=DiscreteStatsTable[[#This Row],[GroupByKey]])*DiscreteStatsTable[Maximum]))</f>
        <v>109.278485088034</v>
      </c>
      <c r="V208" cm="1">
        <f t="array" ref="V208">IFERROR(AVERAGE(IF((DiscreteStatsTable[GroupByKey]=DiscreteStatsTable[[#This Row],[GroupByKey]]),(DiscreteStatsTable[GroupByKey]=DiscreteStatsTable[[#This Row],[GroupByKey]])*DiscreteStatsTable[NumberObservations])),0)</f>
        <v>285.3</v>
      </c>
      <c r="W208">
        <f>IF((DiscreteStatsTable[[#This Row],[RepsRequested]]&gt;1),DiscreteStatsTable[[#This Row],[HalfWidth]],DiscreteStatsTable[[#This Row],[BatchMeansHalfWidth]])</f>
        <v>0.18927867722499744</v>
      </c>
      <c r="X208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>
        <f>IF(DiscreteStatsTable[[#This Row],[RepsRequested]]=DiscreteStatsTable[[#This Row],[RepsWithStatObserved]],1,0)</f>
        <v>1</v>
      </c>
    </row>
    <row r="209" spans="1:25" x14ac:dyDescent="0.2">
      <c r="A209" t="s">
        <v>67</v>
      </c>
      <c r="B209" t="s">
        <v>70</v>
      </c>
      <c r="C209">
        <v>30</v>
      </c>
      <c r="D209" t="s">
        <v>74</v>
      </c>
      <c r="E209" t="s">
        <v>79</v>
      </c>
      <c r="F209" t="s">
        <v>76</v>
      </c>
      <c r="G209">
        <v>0</v>
      </c>
      <c r="H209">
        <v>2E+20</v>
      </c>
      <c r="I209">
        <v>0</v>
      </c>
      <c r="J209">
        <v>0</v>
      </c>
      <c r="K209">
        <v>270</v>
      </c>
      <c r="L20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09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cm="1">
        <f t="array" ref="N209">IFERROR(AVERAGE(IF((DiscreteStatsTable[GroupByKey]=DiscreteStatsTable[[#This Row],[GroupByKey]]),(DiscreteStatsTable[GroupByKey]=DiscreteStatsTable[[#This Row],[GroupByKey]])*DiscreteStatsTable[Average])),0)</f>
        <v>0</v>
      </c>
      <c r="O209" cm="1">
        <f t="array" ref="O209">IFERROR(_xlfn.STDEV.S(IF((DiscreteStatsTable[GroupByKey]=DiscreteStatsTable[[#This Row],[GroupByKey]]),(DiscreteStatsTable[GroupByKey]=DiscreteStatsTable[[#This Row],[GroupByKey]])*DiscreteStatsTable[Average])),0)</f>
        <v>0</v>
      </c>
      <c r="P209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cm="1">
        <f t="array" ref="S209">MAX(IF((DiscreteStatsTable[GroupByKey]=DiscreteStatsTable[[#This Row],[GroupByKey]]),(DiscreteStatsTable[GroupByKey]=DiscreteStatsTable[[#This Row],[GroupByKey]])*DiscreteStatsTable[Average]))</f>
        <v>0</v>
      </c>
      <c r="T209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cm="1">
        <f t="array" ref="U209">MAX(IF((DiscreteStatsTable[GroupByKey]=DiscreteStatsTable[[#This Row],[GroupByKey]]),(DiscreteStatsTable[GroupByKey]=DiscreteStatsTable[[#This Row],[GroupByKey]])*DiscreteStatsTable[Maximum]))</f>
        <v>0</v>
      </c>
      <c r="V209" cm="1">
        <f t="array" ref="V209">IFERROR(AVERAGE(IF((DiscreteStatsTable[GroupByKey]=DiscreteStatsTable[[#This Row],[GroupByKey]]),(DiscreteStatsTable[GroupByKey]=DiscreteStatsTable[[#This Row],[GroupByKey]])*DiscreteStatsTable[NumberObservations])),0)</f>
        <v>285.3</v>
      </c>
      <c r="W209">
        <f>IF((DiscreteStatsTable[[#This Row],[RepsRequested]]&gt;1),DiscreteStatsTable[[#This Row],[HalfWidth]],DiscreteStatsTable[[#This Row],[BatchMeansHalfWidth]])</f>
        <v>0</v>
      </c>
      <c r="X209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>
        <f>IF(DiscreteStatsTable[[#This Row],[RepsRequested]]=DiscreteStatsTable[[#This Row],[RepsWithStatObserved]],1,0)</f>
        <v>1</v>
      </c>
    </row>
    <row r="210" spans="1:25" x14ac:dyDescent="0.2">
      <c r="A210" t="s">
        <v>67</v>
      </c>
      <c r="B210" t="s">
        <v>70</v>
      </c>
      <c r="C210">
        <v>30</v>
      </c>
      <c r="D210" t="s">
        <v>74</v>
      </c>
      <c r="E210" t="s">
        <v>80</v>
      </c>
      <c r="F210" t="s">
        <v>76</v>
      </c>
      <c r="G210">
        <v>36.033343428145599</v>
      </c>
      <c r="H210">
        <v>2E+20</v>
      </c>
      <c r="I210">
        <v>21.048270490406601</v>
      </c>
      <c r="J210">
        <v>53.195115314238599</v>
      </c>
      <c r="K210">
        <v>270</v>
      </c>
      <c r="L21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10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cm="1">
        <f t="array" ref="N210">IFERROR(AVERAGE(IF((DiscreteStatsTable[GroupByKey]=DiscreteStatsTable[[#This Row],[GroupByKey]]),(DiscreteStatsTable[GroupByKey]=DiscreteStatsTable[[#This Row],[GroupByKey]])*DiscreteStatsTable[Average])),0)</f>
        <v>36.00428777459642</v>
      </c>
      <c r="O210" cm="1">
        <f t="array" ref="O210">IFERROR(_xlfn.STDEV.S(IF((DiscreteStatsTable[GroupByKey]=DiscreteStatsTable[[#This Row],[GroupByKey]]),(DiscreteStatsTable[GroupByKey]=DiscreteStatsTable[[#This Row],[GroupByKey]])*DiscreteStatsTable[Average])),0)</f>
        <v>0.34275969383872451</v>
      </c>
      <c r="P210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0.12798857311270725</v>
      </c>
      <c r="R210" cm="1">
        <f t="array" ref="R210">MIN(IF((DiscreteStatsTable[GroupByKey]=DiscreteStatsTable[[#This Row],[GroupByKey]]),(DiscreteStatsTable[GroupByKey]=DiscreteStatsTable[[#This Row],[GroupByKey]])*DiscreteStatsTable[Average]))</f>
        <v>35.158236096727201</v>
      </c>
      <c r="S210" cm="1">
        <f t="array" ref="S210">MAX(IF((DiscreteStatsTable[GroupByKey]=DiscreteStatsTable[[#This Row],[GroupByKey]]),(DiscreteStatsTable[GroupByKey]=DiscreteStatsTable[[#This Row],[GroupByKey]])*DiscreteStatsTable[Average]))</f>
        <v>36.707690403515898</v>
      </c>
      <c r="T210" cm="1">
        <f t="array" ref="T210">MIN(IF((DiscreteStatsTable[GroupByKey]=DiscreteStatsTable[[#This Row],[GroupByKey]]),(DiscreteStatsTable[GroupByKey]=DiscreteStatsTable[[#This Row],[GroupByKey]])*DiscreteStatsTable[Minimum]))</f>
        <v>14.2518779052622</v>
      </c>
      <c r="U210" cm="1">
        <f t="array" ref="U210">MAX(IF((DiscreteStatsTable[GroupByKey]=DiscreteStatsTable[[#This Row],[GroupByKey]]),(DiscreteStatsTable[GroupByKey]=DiscreteStatsTable[[#This Row],[GroupByKey]])*DiscreteStatsTable[Maximum]))</f>
        <v>59.774077085699403</v>
      </c>
      <c r="V210" cm="1">
        <f t="array" ref="V210">IFERROR(AVERAGE(IF((DiscreteStatsTable[GroupByKey]=DiscreteStatsTable[[#This Row],[GroupByKey]]),(DiscreteStatsTable[GroupByKey]=DiscreteStatsTable[[#This Row],[GroupByKey]])*DiscreteStatsTable[NumberObservations])),0)</f>
        <v>285.3</v>
      </c>
      <c r="W210">
        <f>IF((DiscreteStatsTable[[#This Row],[RepsRequested]]&gt;1),DiscreteStatsTable[[#This Row],[HalfWidth]],DiscreteStatsTable[[#This Row],[BatchMeansHalfWidth]])</f>
        <v>0.12798857311270725</v>
      </c>
      <c r="X210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>
        <f>IF(DiscreteStatsTable[[#This Row],[RepsRequested]]=DiscreteStatsTable[[#This Row],[RepsWithStatObserved]],1,0)</f>
        <v>1</v>
      </c>
    </row>
    <row r="211" spans="1:25" x14ac:dyDescent="0.2">
      <c r="A211" t="s">
        <v>67</v>
      </c>
      <c r="B211" t="s">
        <v>70</v>
      </c>
      <c r="C211">
        <v>30</v>
      </c>
      <c r="D211" t="s">
        <v>74</v>
      </c>
      <c r="E211" t="s">
        <v>81</v>
      </c>
      <c r="F211" t="s">
        <v>76</v>
      </c>
      <c r="G211">
        <v>14.0367881895269</v>
      </c>
      <c r="H211">
        <v>2E+20</v>
      </c>
      <c r="I211">
        <v>0</v>
      </c>
      <c r="J211">
        <v>79.647033917249502</v>
      </c>
      <c r="K211">
        <v>270</v>
      </c>
      <c r="L21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11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cm="1">
        <f t="array" ref="N211">IFERROR(AVERAGE(IF((DiscreteStatsTable[GroupByKey]=DiscreteStatsTable[[#This Row],[GroupByKey]]),(DiscreteStatsTable[GroupByKey]=DiscreteStatsTable[[#This Row],[GroupByKey]])*DiscreteStatsTable[Average])),0)</f>
        <v>13.621559896422417</v>
      </c>
      <c r="O211" cm="1">
        <f t="array" ref="O211">IFERROR(_xlfn.STDEV.S(IF((DiscreteStatsTable[GroupByKey]=DiscreteStatsTable[[#This Row],[GroupByKey]]),(DiscreteStatsTable[GroupByKey]=DiscreteStatsTable[[#This Row],[GroupByKey]])*DiscreteStatsTable[Average])),0)</f>
        <v>0.39651575913774295</v>
      </c>
      <c r="P211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0.14806141778332987</v>
      </c>
      <c r="R211" cm="1">
        <f t="array" ref="R211">MIN(IF((DiscreteStatsTable[GroupByKey]=DiscreteStatsTable[[#This Row],[GroupByKey]]),(DiscreteStatsTable[GroupByKey]=DiscreteStatsTable[[#This Row],[GroupByKey]])*DiscreteStatsTable[Average]))</f>
        <v>12.598242749972901</v>
      </c>
      <c r="S211" cm="1">
        <f t="array" ref="S211">MAX(IF((DiscreteStatsTable[GroupByKey]=DiscreteStatsTable[[#This Row],[GroupByKey]]),(DiscreteStatsTable[GroupByKey]=DiscreteStatsTable[[#This Row],[GroupByKey]])*DiscreteStatsTable[Average]))</f>
        <v>14.319051591609201</v>
      </c>
      <c r="T211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cm="1">
        <f t="array" ref="U211">MAX(IF((DiscreteStatsTable[GroupByKey]=DiscreteStatsTable[[#This Row],[GroupByKey]]),(DiscreteStatsTable[GroupByKey]=DiscreteStatsTable[[#This Row],[GroupByKey]])*DiscreteStatsTable[Maximum]))</f>
        <v>180.86047487093799</v>
      </c>
      <c r="V211" cm="1">
        <f t="array" ref="V211">IFERROR(AVERAGE(IF((DiscreteStatsTable[GroupByKey]=DiscreteStatsTable[[#This Row],[GroupByKey]]),(DiscreteStatsTable[GroupByKey]=DiscreteStatsTable[[#This Row],[GroupByKey]])*DiscreteStatsTable[NumberObservations])),0)</f>
        <v>285.3</v>
      </c>
      <c r="W211">
        <f>IF((DiscreteStatsTable[[#This Row],[RepsRequested]]&gt;1),DiscreteStatsTable[[#This Row],[HalfWidth]],DiscreteStatsTable[[#This Row],[BatchMeansHalfWidth]])</f>
        <v>0.14806141778332987</v>
      </c>
      <c r="X211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>
        <f>IF(DiscreteStatsTable[[#This Row],[RepsRequested]]=DiscreteStatsTable[[#This Row],[RepsWithStatObserved]],1,0)</f>
        <v>1</v>
      </c>
    </row>
    <row r="212" spans="1:25" x14ac:dyDescent="0.2">
      <c r="A212" t="s">
        <v>67</v>
      </c>
      <c r="B212" t="s">
        <v>70</v>
      </c>
      <c r="C212">
        <v>1</v>
      </c>
      <c r="D212" t="s">
        <v>82</v>
      </c>
      <c r="E212" t="s">
        <v>72</v>
      </c>
      <c r="F212" t="s">
        <v>73</v>
      </c>
      <c r="G212">
        <v>1.6619984355859001</v>
      </c>
      <c r="H212">
        <v>2E+20</v>
      </c>
      <c r="I212">
        <v>0</v>
      </c>
      <c r="J212">
        <v>15.940328295319899</v>
      </c>
      <c r="K212">
        <v>286</v>
      </c>
      <c r="L212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12" cm="1">
        <f t="array" ref="M212">MAX(IF((ProjectInfoTable[ProjectName]=DiscreteStatsTable[[#This Row],[ProjectName]]),(ProjectInfoTable[ProjectName]=DiscreteStatsTable[[#This Row],[ProjectName]])*ProjectInfoTable[NumberOfReplications]))</f>
        <v>30</v>
      </c>
      <c r="N212" cm="1">
        <f t="array" ref="N212">IFERROR(AVERAGE(IF((DiscreteStatsTable[GroupByKey]=DiscreteStatsTable[[#This Row],[GroupByKey]]),(DiscreteStatsTable[GroupByKey]=DiscreteStatsTable[[#This Row],[GroupByKey]])*DiscreteStatsTable[Average])),0)</f>
        <v>1.3983369990297625</v>
      </c>
      <c r="O212" cm="1">
        <f t="array" ref="O212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12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12" cm="1">
        <f t="array" ref="R212">MIN(IF((DiscreteStatsTable[GroupByKey]=DiscreteStatsTable[[#This Row],[GroupByKey]]),(DiscreteStatsTable[GroupByKey]=DiscreteStatsTable[[#This Row],[GroupByKey]])*DiscreteStatsTable[Average]))</f>
        <v>0.62370245189172402</v>
      </c>
      <c r="S212" cm="1">
        <f t="array" ref="S212">MAX(IF((DiscreteStatsTable[GroupByKey]=DiscreteStatsTable[[#This Row],[GroupByKey]]),(DiscreteStatsTable[GroupByKey]=DiscreteStatsTable[[#This Row],[GroupByKey]])*DiscreteStatsTable[Average]))</f>
        <v>2.2729191308574102</v>
      </c>
      <c r="T212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cm="1">
        <f t="array" ref="U212">MAX(IF((DiscreteStatsTable[GroupByKey]=DiscreteStatsTable[[#This Row],[GroupByKey]]),(DiscreteStatsTable[GroupByKey]=DiscreteStatsTable[[#This Row],[GroupByKey]])*DiscreteStatsTable[Maximum]))</f>
        <v>30.239944815467201</v>
      </c>
      <c r="V212" cm="1">
        <f t="array" ref="V212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12">
        <f>IF((DiscreteStatsTable[[#This Row],[RepsRequested]]&gt;1),DiscreteStatsTable[[#This Row],[HalfWidth]],DiscreteStatsTable[[#This Row],[BatchMeansHalfWidth]])</f>
        <v>0.14224351254961343</v>
      </c>
      <c r="X212" cm="1">
        <f t="array" ref="X212">COUNT(IF((DiscreteStatsTable[GroupByKey]=DiscreteStatsTable[[#This Row],[GroupByKey]]),(DiscreteStatsTable[GroupByKey]=DiscreteStatsTable[[#This Row],[GroupByKey]])*DiscreteStatsTable[Replication]))</f>
        <v>30</v>
      </c>
      <c r="Y212">
        <f>IF(DiscreteStatsTable[[#This Row],[RepsRequested]]=DiscreteStatsTable[[#This Row],[RepsWithStatObserved]],1,0)</f>
        <v>1</v>
      </c>
    </row>
    <row r="213" spans="1:25" x14ac:dyDescent="0.2">
      <c r="A213" t="s">
        <v>67</v>
      </c>
      <c r="B213" t="s">
        <v>70</v>
      </c>
      <c r="C213">
        <v>2</v>
      </c>
      <c r="D213" t="s">
        <v>82</v>
      </c>
      <c r="E213" t="s">
        <v>72</v>
      </c>
      <c r="F213" t="s">
        <v>73</v>
      </c>
      <c r="G213">
        <v>1.0693593599656801</v>
      </c>
      <c r="H213">
        <v>2E+20</v>
      </c>
      <c r="I213">
        <v>0</v>
      </c>
      <c r="J213">
        <v>9.9658446658779702</v>
      </c>
      <c r="K213">
        <v>292</v>
      </c>
      <c r="L213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13" cm="1">
        <f t="array" ref="M213">MAX(IF((ProjectInfoTable[ProjectName]=DiscreteStatsTable[[#This Row],[ProjectName]]),(ProjectInfoTable[ProjectName]=DiscreteStatsTable[[#This Row],[ProjectName]])*ProjectInfoTable[NumberOfReplications]))</f>
        <v>30</v>
      </c>
      <c r="N213" cm="1">
        <f t="array" ref="N213">IFERROR(AVERAGE(IF((DiscreteStatsTable[GroupByKey]=DiscreteStatsTable[[#This Row],[GroupByKey]]),(DiscreteStatsTable[GroupByKey]=DiscreteStatsTable[[#This Row],[GroupByKey]])*DiscreteStatsTable[Average])),0)</f>
        <v>1.3983369990297625</v>
      </c>
      <c r="O213" cm="1">
        <f t="array" ref="O213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13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13" cm="1">
        <f t="array" ref="R213">MIN(IF((DiscreteStatsTable[GroupByKey]=DiscreteStatsTable[[#This Row],[GroupByKey]]),(DiscreteStatsTable[GroupByKey]=DiscreteStatsTable[[#This Row],[GroupByKey]])*DiscreteStatsTable[Average]))</f>
        <v>0.62370245189172402</v>
      </c>
      <c r="S213" cm="1">
        <f t="array" ref="S213">MAX(IF((DiscreteStatsTable[GroupByKey]=DiscreteStatsTable[[#This Row],[GroupByKey]]),(DiscreteStatsTable[GroupByKey]=DiscreteStatsTable[[#This Row],[GroupByKey]])*DiscreteStatsTable[Average]))</f>
        <v>2.2729191308574102</v>
      </c>
      <c r="T213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cm="1">
        <f t="array" ref="U213">MAX(IF((DiscreteStatsTable[GroupByKey]=DiscreteStatsTable[[#This Row],[GroupByKey]]),(DiscreteStatsTable[GroupByKey]=DiscreteStatsTable[[#This Row],[GroupByKey]])*DiscreteStatsTable[Maximum]))</f>
        <v>30.239944815467201</v>
      </c>
      <c r="V213" cm="1">
        <f t="array" ref="V213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13">
        <f>IF((DiscreteStatsTable[[#This Row],[RepsRequested]]&gt;1),DiscreteStatsTable[[#This Row],[HalfWidth]],DiscreteStatsTable[[#This Row],[BatchMeansHalfWidth]])</f>
        <v>0.14224351254961343</v>
      </c>
      <c r="X213" cm="1">
        <f t="array" ref="X213">COUNT(IF((DiscreteStatsTable[GroupByKey]=DiscreteStatsTable[[#This Row],[GroupByKey]]),(DiscreteStatsTable[GroupByKey]=DiscreteStatsTable[[#This Row],[GroupByKey]])*DiscreteStatsTable[Replication]))</f>
        <v>30</v>
      </c>
      <c r="Y213">
        <f>IF(DiscreteStatsTable[[#This Row],[RepsRequested]]=DiscreteStatsTable[[#This Row],[RepsWithStatObserved]],1,0)</f>
        <v>1</v>
      </c>
    </row>
    <row r="214" spans="1:25" x14ac:dyDescent="0.2">
      <c r="A214" t="s">
        <v>67</v>
      </c>
      <c r="B214" t="s">
        <v>70</v>
      </c>
      <c r="C214">
        <v>3</v>
      </c>
      <c r="D214" t="s">
        <v>82</v>
      </c>
      <c r="E214" t="s">
        <v>72</v>
      </c>
      <c r="F214" t="s">
        <v>73</v>
      </c>
      <c r="G214">
        <v>1.42058942420927</v>
      </c>
      <c r="H214">
        <v>2E+20</v>
      </c>
      <c r="I214">
        <v>0</v>
      </c>
      <c r="J214">
        <v>11.9801343005565</v>
      </c>
      <c r="K214">
        <v>282</v>
      </c>
      <c r="L214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14" cm="1">
        <f t="array" ref="M214">MAX(IF((ProjectInfoTable[ProjectName]=DiscreteStatsTable[[#This Row],[ProjectName]]),(ProjectInfoTable[ProjectName]=DiscreteStatsTable[[#This Row],[ProjectName]])*ProjectInfoTable[NumberOfReplications]))</f>
        <v>30</v>
      </c>
      <c r="N214" cm="1">
        <f t="array" ref="N214">IFERROR(AVERAGE(IF((DiscreteStatsTable[GroupByKey]=DiscreteStatsTable[[#This Row],[GroupByKey]]),(DiscreteStatsTable[GroupByKey]=DiscreteStatsTable[[#This Row],[GroupByKey]])*DiscreteStatsTable[Average])),0)</f>
        <v>1.3983369990297625</v>
      </c>
      <c r="O214" cm="1">
        <f t="array" ref="O214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14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14" cm="1">
        <f t="array" ref="R214">MIN(IF((DiscreteStatsTable[GroupByKey]=DiscreteStatsTable[[#This Row],[GroupByKey]]),(DiscreteStatsTable[GroupByKey]=DiscreteStatsTable[[#This Row],[GroupByKey]])*DiscreteStatsTable[Average]))</f>
        <v>0.62370245189172402</v>
      </c>
      <c r="S214" cm="1">
        <f t="array" ref="S214">MAX(IF((DiscreteStatsTable[GroupByKey]=DiscreteStatsTable[[#This Row],[GroupByKey]]),(DiscreteStatsTable[GroupByKey]=DiscreteStatsTable[[#This Row],[GroupByKey]])*DiscreteStatsTable[Average]))</f>
        <v>2.2729191308574102</v>
      </c>
      <c r="T214" cm="1">
        <f t="array" ref="T214">MIN(IF((DiscreteStatsTable[GroupByKey]=DiscreteStatsTable[[#This Row],[GroupByKey]]),(DiscreteStatsTable[GroupByKey]=DiscreteStatsTable[[#This Row],[GroupByKey]])*DiscreteStatsTable[Minimum]))</f>
        <v>0</v>
      </c>
      <c r="U214" cm="1">
        <f t="array" ref="U214">MAX(IF((DiscreteStatsTable[GroupByKey]=DiscreteStatsTable[[#This Row],[GroupByKey]]),(DiscreteStatsTable[GroupByKey]=DiscreteStatsTable[[#This Row],[GroupByKey]])*DiscreteStatsTable[Maximum]))</f>
        <v>30.239944815467201</v>
      </c>
      <c r="V214" cm="1">
        <f t="array" ref="V214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14">
        <f>IF((DiscreteStatsTable[[#This Row],[RepsRequested]]&gt;1),DiscreteStatsTable[[#This Row],[HalfWidth]],DiscreteStatsTable[[#This Row],[BatchMeansHalfWidth]])</f>
        <v>0.14224351254961343</v>
      </c>
      <c r="X214" cm="1">
        <f t="array" ref="X214">COUNT(IF((DiscreteStatsTable[GroupByKey]=DiscreteStatsTable[[#This Row],[GroupByKey]]),(DiscreteStatsTable[GroupByKey]=DiscreteStatsTable[[#This Row],[GroupByKey]])*DiscreteStatsTable[Replication]))</f>
        <v>30</v>
      </c>
      <c r="Y214">
        <f>IF(DiscreteStatsTable[[#This Row],[RepsRequested]]=DiscreteStatsTable[[#This Row],[RepsWithStatObserved]],1,0)</f>
        <v>1</v>
      </c>
    </row>
    <row r="215" spans="1:25" x14ac:dyDescent="0.2">
      <c r="A215" t="s">
        <v>67</v>
      </c>
      <c r="B215" t="s">
        <v>70</v>
      </c>
      <c r="C215">
        <v>4</v>
      </c>
      <c r="D215" t="s">
        <v>82</v>
      </c>
      <c r="E215" t="s">
        <v>72</v>
      </c>
      <c r="F215" t="s">
        <v>73</v>
      </c>
      <c r="G215">
        <v>1.6839193562913699</v>
      </c>
      <c r="H215">
        <v>2E+20</v>
      </c>
      <c r="I215">
        <v>0</v>
      </c>
      <c r="J215">
        <v>11.8676377184033</v>
      </c>
      <c r="K215">
        <v>312</v>
      </c>
      <c r="L215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15" cm="1">
        <f t="array" ref="M215">MAX(IF((ProjectInfoTable[ProjectName]=DiscreteStatsTable[[#This Row],[ProjectName]]),(ProjectInfoTable[ProjectName]=DiscreteStatsTable[[#This Row],[ProjectName]])*ProjectInfoTable[NumberOfReplications]))</f>
        <v>30</v>
      </c>
      <c r="N215" cm="1">
        <f t="array" ref="N215">IFERROR(AVERAGE(IF((DiscreteStatsTable[GroupByKey]=DiscreteStatsTable[[#This Row],[GroupByKey]]),(DiscreteStatsTable[GroupByKey]=DiscreteStatsTable[[#This Row],[GroupByKey]])*DiscreteStatsTable[Average])),0)</f>
        <v>1.3983369990297625</v>
      </c>
      <c r="O215" cm="1">
        <f t="array" ref="O215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1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15" cm="1">
        <f t="array" ref="R215">MIN(IF((DiscreteStatsTable[GroupByKey]=DiscreteStatsTable[[#This Row],[GroupByKey]]),(DiscreteStatsTable[GroupByKey]=DiscreteStatsTable[[#This Row],[GroupByKey]])*DiscreteStatsTable[Average]))</f>
        <v>0.62370245189172402</v>
      </c>
      <c r="S215" cm="1">
        <f t="array" ref="S215">MAX(IF((DiscreteStatsTable[GroupByKey]=DiscreteStatsTable[[#This Row],[GroupByKey]]),(DiscreteStatsTable[GroupByKey]=DiscreteStatsTable[[#This Row],[GroupByKey]])*DiscreteStatsTable[Average]))</f>
        <v>2.2729191308574102</v>
      </c>
      <c r="T21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cm="1">
        <f t="array" ref="U215">MAX(IF((DiscreteStatsTable[GroupByKey]=DiscreteStatsTable[[#This Row],[GroupByKey]]),(DiscreteStatsTable[GroupByKey]=DiscreteStatsTable[[#This Row],[GroupByKey]])*DiscreteStatsTable[Maximum]))</f>
        <v>30.239944815467201</v>
      </c>
      <c r="V215" cm="1">
        <f t="array" ref="V215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15">
        <f>IF((DiscreteStatsTable[[#This Row],[RepsRequested]]&gt;1),DiscreteStatsTable[[#This Row],[HalfWidth]],DiscreteStatsTable[[#This Row],[BatchMeansHalfWidth]])</f>
        <v>0.14224351254961343</v>
      </c>
      <c r="X215" cm="1">
        <f t="array" ref="X215">COUNT(IF((DiscreteStatsTable[GroupByKey]=DiscreteStatsTable[[#This Row],[GroupByKey]]),(DiscreteStatsTable[GroupByKey]=DiscreteStatsTable[[#This Row],[GroupByKey]])*DiscreteStatsTable[Replication]))</f>
        <v>30</v>
      </c>
      <c r="Y215">
        <f>IF(DiscreteStatsTable[[#This Row],[RepsRequested]]=DiscreteStatsTable[[#This Row],[RepsWithStatObserved]],1,0)</f>
        <v>1</v>
      </c>
    </row>
    <row r="216" spans="1:25" x14ac:dyDescent="0.2">
      <c r="A216" t="s">
        <v>67</v>
      </c>
      <c r="B216" t="s">
        <v>70</v>
      </c>
      <c r="C216">
        <v>5</v>
      </c>
      <c r="D216" t="s">
        <v>82</v>
      </c>
      <c r="E216" t="s">
        <v>72</v>
      </c>
      <c r="F216" t="s">
        <v>73</v>
      </c>
      <c r="G216">
        <v>2.12227338288143</v>
      </c>
      <c r="H216">
        <v>2E+20</v>
      </c>
      <c r="I216">
        <v>0</v>
      </c>
      <c r="J216">
        <v>18.744949050386101</v>
      </c>
      <c r="K216">
        <v>287</v>
      </c>
      <c r="L216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16" cm="1">
        <f t="array" ref="M216">MAX(IF((ProjectInfoTable[ProjectName]=DiscreteStatsTable[[#This Row],[ProjectName]]),(ProjectInfoTable[ProjectName]=DiscreteStatsTable[[#This Row],[ProjectName]])*ProjectInfoTable[NumberOfReplications]))</f>
        <v>30</v>
      </c>
      <c r="N216" cm="1">
        <f t="array" ref="N216">IFERROR(AVERAGE(IF((DiscreteStatsTable[GroupByKey]=DiscreteStatsTable[[#This Row],[GroupByKey]]),(DiscreteStatsTable[GroupByKey]=DiscreteStatsTable[[#This Row],[GroupByKey]])*DiscreteStatsTable[Average])),0)</f>
        <v>1.3983369990297625</v>
      </c>
      <c r="O216" cm="1">
        <f t="array" ref="O216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16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16" cm="1">
        <f t="array" ref="R216">MIN(IF((DiscreteStatsTable[GroupByKey]=DiscreteStatsTable[[#This Row],[GroupByKey]]),(DiscreteStatsTable[GroupByKey]=DiscreteStatsTable[[#This Row],[GroupByKey]])*DiscreteStatsTable[Average]))</f>
        <v>0.62370245189172402</v>
      </c>
      <c r="S216" cm="1">
        <f t="array" ref="S216">MAX(IF((DiscreteStatsTable[GroupByKey]=DiscreteStatsTable[[#This Row],[GroupByKey]]),(DiscreteStatsTable[GroupByKey]=DiscreteStatsTable[[#This Row],[GroupByKey]])*DiscreteStatsTable[Average]))</f>
        <v>2.2729191308574102</v>
      </c>
      <c r="T216" cm="1">
        <f t="array" ref="T216">MIN(IF((DiscreteStatsTable[GroupByKey]=DiscreteStatsTable[[#This Row],[GroupByKey]]),(DiscreteStatsTable[GroupByKey]=DiscreteStatsTable[[#This Row],[GroupByKey]])*DiscreteStatsTable[Minimum]))</f>
        <v>0</v>
      </c>
      <c r="U216" cm="1">
        <f t="array" ref="U216">MAX(IF((DiscreteStatsTable[GroupByKey]=DiscreteStatsTable[[#This Row],[GroupByKey]]),(DiscreteStatsTable[GroupByKey]=DiscreteStatsTable[[#This Row],[GroupByKey]])*DiscreteStatsTable[Maximum]))</f>
        <v>30.239944815467201</v>
      </c>
      <c r="V216" cm="1">
        <f t="array" ref="V216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16">
        <f>IF((DiscreteStatsTable[[#This Row],[RepsRequested]]&gt;1),DiscreteStatsTable[[#This Row],[HalfWidth]],DiscreteStatsTable[[#This Row],[BatchMeansHalfWidth]])</f>
        <v>0.14224351254961343</v>
      </c>
      <c r="X216" cm="1">
        <f t="array" ref="X216">COUNT(IF((DiscreteStatsTable[GroupByKey]=DiscreteStatsTable[[#This Row],[GroupByKey]]),(DiscreteStatsTable[GroupByKey]=DiscreteStatsTable[[#This Row],[GroupByKey]])*DiscreteStatsTable[Replication]))</f>
        <v>30</v>
      </c>
      <c r="Y216">
        <f>IF(DiscreteStatsTable[[#This Row],[RepsRequested]]=DiscreteStatsTable[[#This Row],[RepsWithStatObserved]],1,0)</f>
        <v>1</v>
      </c>
    </row>
    <row r="217" spans="1:25" x14ac:dyDescent="0.2">
      <c r="A217" t="s">
        <v>67</v>
      </c>
      <c r="B217" t="s">
        <v>70</v>
      </c>
      <c r="C217">
        <v>6</v>
      </c>
      <c r="D217" t="s">
        <v>82</v>
      </c>
      <c r="E217" t="s">
        <v>72</v>
      </c>
      <c r="F217" t="s">
        <v>73</v>
      </c>
      <c r="G217">
        <v>2.1285453504012799</v>
      </c>
      <c r="H217">
        <v>0.90439126344018905</v>
      </c>
      <c r="I217">
        <v>0</v>
      </c>
      <c r="J217">
        <v>19.573636820365799</v>
      </c>
      <c r="K217">
        <v>320</v>
      </c>
      <c r="L217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17" cm="1">
        <f t="array" ref="M217">MAX(IF((ProjectInfoTable[ProjectName]=DiscreteStatsTable[[#This Row],[ProjectName]]),(ProjectInfoTable[ProjectName]=DiscreteStatsTable[[#This Row],[ProjectName]])*ProjectInfoTable[NumberOfReplications]))</f>
        <v>30</v>
      </c>
      <c r="N217" cm="1">
        <f t="array" ref="N217">IFERROR(AVERAGE(IF((DiscreteStatsTable[GroupByKey]=DiscreteStatsTable[[#This Row],[GroupByKey]]),(DiscreteStatsTable[GroupByKey]=DiscreteStatsTable[[#This Row],[GroupByKey]])*DiscreteStatsTable[Average])),0)</f>
        <v>1.3983369990297625</v>
      </c>
      <c r="O217" cm="1">
        <f t="array" ref="O217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17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17" cm="1">
        <f t="array" ref="R217">MIN(IF((DiscreteStatsTable[GroupByKey]=DiscreteStatsTable[[#This Row],[GroupByKey]]),(DiscreteStatsTable[GroupByKey]=DiscreteStatsTable[[#This Row],[GroupByKey]])*DiscreteStatsTable[Average]))</f>
        <v>0.62370245189172402</v>
      </c>
      <c r="S217" cm="1">
        <f t="array" ref="S217">MAX(IF((DiscreteStatsTable[GroupByKey]=DiscreteStatsTable[[#This Row],[GroupByKey]]),(DiscreteStatsTable[GroupByKey]=DiscreteStatsTable[[#This Row],[GroupByKey]])*DiscreteStatsTable[Average]))</f>
        <v>2.2729191308574102</v>
      </c>
      <c r="T217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cm="1">
        <f t="array" ref="U217">MAX(IF((DiscreteStatsTable[GroupByKey]=DiscreteStatsTable[[#This Row],[GroupByKey]]),(DiscreteStatsTable[GroupByKey]=DiscreteStatsTable[[#This Row],[GroupByKey]])*DiscreteStatsTable[Maximum]))</f>
        <v>30.239944815467201</v>
      </c>
      <c r="V217" cm="1">
        <f t="array" ref="V217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17">
        <f>IF((DiscreteStatsTable[[#This Row],[RepsRequested]]&gt;1),DiscreteStatsTable[[#This Row],[HalfWidth]],DiscreteStatsTable[[#This Row],[BatchMeansHalfWidth]])</f>
        <v>0.14224351254961343</v>
      </c>
      <c r="X217" cm="1">
        <f t="array" ref="X217">COUNT(IF((DiscreteStatsTable[GroupByKey]=DiscreteStatsTable[[#This Row],[GroupByKey]]),(DiscreteStatsTable[GroupByKey]=DiscreteStatsTable[[#This Row],[GroupByKey]])*DiscreteStatsTable[Replication]))</f>
        <v>30</v>
      </c>
      <c r="Y217">
        <f>IF(DiscreteStatsTable[[#This Row],[RepsRequested]]=DiscreteStatsTable[[#This Row],[RepsWithStatObserved]],1,0)</f>
        <v>1</v>
      </c>
    </row>
    <row r="218" spans="1:25" x14ac:dyDescent="0.2">
      <c r="A218" t="s">
        <v>67</v>
      </c>
      <c r="B218" t="s">
        <v>70</v>
      </c>
      <c r="C218">
        <v>7</v>
      </c>
      <c r="D218" t="s">
        <v>82</v>
      </c>
      <c r="E218" t="s">
        <v>72</v>
      </c>
      <c r="F218" t="s">
        <v>73</v>
      </c>
      <c r="G218">
        <v>1.0108895958150601</v>
      </c>
      <c r="H218">
        <v>2E+20</v>
      </c>
      <c r="I218">
        <v>0</v>
      </c>
      <c r="J218">
        <v>13.4625378282042</v>
      </c>
      <c r="K218">
        <v>264</v>
      </c>
      <c r="L218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18" cm="1">
        <f t="array" ref="M218">MAX(IF((ProjectInfoTable[ProjectName]=DiscreteStatsTable[[#This Row],[ProjectName]]),(ProjectInfoTable[ProjectName]=DiscreteStatsTable[[#This Row],[ProjectName]])*ProjectInfoTable[NumberOfReplications]))</f>
        <v>30</v>
      </c>
      <c r="N218" cm="1">
        <f t="array" ref="N218">IFERROR(AVERAGE(IF((DiscreteStatsTable[GroupByKey]=DiscreteStatsTable[[#This Row],[GroupByKey]]),(DiscreteStatsTable[GroupByKey]=DiscreteStatsTable[[#This Row],[GroupByKey]])*DiscreteStatsTable[Average])),0)</f>
        <v>1.3983369990297625</v>
      </c>
      <c r="O218" cm="1">
        <f t="array" ref="O218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18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18" cm="1">
        <f t="array" ref="R218">MIN(IF((DiscreteStatsTable[GroupByKey]=DiscreteStatsTable[[#This Row],[GroupByKey]]),(DiscreteStatsTable[GroupByKey]=DiscreteStatsTable[[#This Row],[GroupByKey]])*DiscreteStatsTable[Average]))</f>
        <v>0.62370245189172402</v>
      </c>
      <c r="S218" cm="1">
        <f t="array" ref="S218">MAX(IF((DiscreteStatsTable[GroupByKey]=DiscreteStatsTable[[#This Row],[GroupByKey]]),(DiscreteStatsTable[GroupByKey]=DiscreteStatsTable[[#This Row],[GroupByKey]])*DiscreteStatsTable[Average]))</f>
        <v>2.2729191308574102</v>
      </c>
      <c r="T218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cm="1">
        <f t="array" ref="U218">MAX(IF((DiscreteStatsTable[GroupByKey]=DiscreteStatsTable[[#This Row],[GroupByKey]]),(DiscreteStatsTable[GroupByKey]=DiscreteStatsTable[[#This Row],[GroupByKey]])*DiscreteStatsTable[Maximum]))</f>
        <v>30.239944815467201</v>
      </c>
      <c r="V218" cm="1">
        <f t="array" ref="V218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18">
        <f>IF((DiscreteStatsTable[[#This Row],[RepsRequested]]&gt;1),DiscreteStatsTable[[#This Row],[HalfWidth]],DiscreteStatsTable[[#This Row],[BatchMeansHalfWidth]])</f>
        <v>0.14224351254961343</v>
      </c>
      <c r="X218" cm="1">
        <f t="array" ref="X218">COUNT(IF((DiscreteStatsTable[GroupByKey]=DiscreteStatsTable[[#This Row],[GroupByKey]]),(DiscreteStatsTable[GroupByKey]=DiscreteStatsTable[[#This Row],[GroupByKey]])*DiscreteStatsTable[Replication]))</f>
        <v>30</v>
      </c>
      <c r="Y218">
        <f>IF(DiscreteStatsTable[[#This Row],[RepsRequested]]=DiscreteStatsTable[[#This Row],[RepsWithStatObserved]],1,0)</f>
        <v>1</v>
      </c>
    </row>
    <row r="219" spans="1:25" x14ac:dyDescent="0.2">
      <c r="A219" t="s">
        <v>67</v>
      </c>
      <c r="B219" t="s">
        <v>70</v>
      </c>
      <c r="C219">
        <v>8</v>
      </c>
      <c r="D219" t="s">
        <v>82</v>
      </c>
      <c r="E219" t="s">
        <v>72</v>
      </c>
      <c r="F219" t="s">
        <v>73</v>
      </c>
      <c r="G219">
        <v>1.1507743408261</v>
      </c>
      <c r="H219">
        <v>2E+20</v>
      </c>
      <c r="I219">
        <v>0</v>
      </c>
      <c r="J219">
        <v>15.5741257187392</v>
      </c>
      <c r="K219">
        <v>284</v>
      </c>
      <c r="L219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19" cm="1">
        <f t="array" ref="M219">MAX(IF((ProjectInfoTable[ProjectName]=DiscreteStatsTable[[#This Row],[ProjectName]]),(ProjectInfoTable[ProjectName]=DiscreteStatsTable[[#This Row],[ProjectName]])*ProjectInfoTable[NumberOfReplications]))</f>
        <v>30</v>
      </c>
      <c r="N219" cm="1">
        <f t="array" ref="N219">IFERROR(AVERAGE(IF((DiscreteStatsTable[GroupByKey]=DiscreteStatsTable[[#This Row],[GroupByKey]]),(DiscreteStatsTable[GroupByKey]=DiscreteStatsTable[[#This Row],[GroupByKey]])*DiscreteStatsTable[Average])),0)</f>
        <v>1.3983369990297625</v>
      </c>
      <c r="O219" cm="1">
        <f t="array" ref="O219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19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19" cm="1">
        <f t="array" ref="R219">MIN(IF((DiscreteStatsTable[GroupByKey]=DiscreteStatsTable[[#This Row],[GroupByKey]]),(DiscreteStatsTable[GroupByKey]=DiscreteStatsTable[[#This Row],[GroupByKey]])*DiscreteStatsTable[Average]))</f>
        <v>0.62370245189172402</v>
      </c>
      <c r="S219" cm="1">
        <f t="array" ref="S219">MAX(IF((DiscreteStatsTable[GroupByKey]=DiscreteStatsTable[[#This Row],[GroupByKey]]),(DiscreteStatsTable[GroupByKey]=DiscreteStatsTable[[#This Row],[GroupByKey]])*DiscreteStatsTable[Average]))</f>
        <v>2.2729191308574102</v>
      </c>
      <c r="T219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cm="1">
        <f t="array" ref="U219">MAX(IF((DiscreteStatsTable[GroupByKey]=DiscreteStatsTable[[#This Row],[GroupByKey]]),(DiscreteStatsTable[GroupByKey]=DiscreteStatsTable[[#This Row],[GroupByKey]])*DiscreteStatsTable[Maximum]))</f>
        <v>30.239944815467201</v>
      </c>
      <c r="V219" cm="1">
        <f t="array" ref="V219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19">
        <f>IF((DiscreteStatsTable[[#This Row],[RepsRequested]]&gt;1),DiscreteStatsTable[[#This Row],[HalfWidth]],DiscreteStatsTable[[#This Row],[BatchMeansHalfWidth]])</f>
        <v>0.14224351254961343</v>
      </c>
      <c r="X219" cm="1">
        <f t="array" ref="X219">COUNT(IF((DiscreteStatsTable[GroupByKey]=DiscreteStatsTable[[#This Row],[GroupByKey]]),(DiscreteStatsTable[GroupByKey]=DiscreteStatsTable[[#This Row],[GroupByKey]])*DiscreteStatsTable[Replication]))</f>
        <v>30</v>
      </c>
      <c r="Y219">
        <f>IF(DiscreteStatsTable[[#This Row],[RepsRequested]]=DiscreteStatsTable[[#This Row],[RepsWithStatObserved]],1,0)</f>
        <v>1</v>
      </c>
    </row>
    <row r="220" spans="1:25" x14ac:dyDescent="0.2">
      <c r="A220" t="s">
        <v>67</v>
      </c>
      <c r="B220" t="s">
        <v>70</v>
      </c>
      <c r="C220">
        <v>9</v>
      </c>
      <c r="D220" t="s">
        <v>82</v>
      </c>
      <c r="E220" t="s">
        <v>72</v>
      </c>
      <c r="F220" t="s">
        <v>73</v>
      </c>
      <c r="G220">
        <v>1.27237517108077</v>
      </c>
      <c r="H220">
        <v>2E+20</v>
      </c>
      <c r="I220">
        <v>0</v>
      </c>
      <c r="J220">
        <v>19.299840662535001</v>
      </c>
      <c r="K220">
        <v>288</v>
      </c>
      <c r="L220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20" cm="1">
        <f t="array" ref="M220">MAX(IF((ProjectInfoTable[ProjectName]=DiscreteStatsTable[[#This Row],[ProjectName]]),(ProjectInfoTable[ProjectName]=DiscreteStatsTable[[#This Row],[ProjectName]])*ProjectInfoTable[NumberOfReplications]))</f>
        <v>30</v>
      </c>
      <c r="N220" cm="1">
        <f t="array" ref="N220">IFERROR(AVERAGE(IF((DiscreteStatsTable[GroupByKey]=DiscreteStatsTable[[#This Row],[GroupByKey]]),(DiscreteStatsTable[GroupByKey]=DiscreteStatsTable[[#This Row],[GroupByKey]])*DiscreteStatsTable[Average])),0)</f>
        <v>1.3983369990297625</v>
      </c>
      <c r="O220" cm="1">
        <f t="array" ref="O220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20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20" cm="1">
        <f t="array" ref="R220">MIN(IF((DiscreteStatsTable[GroupByKey]=DiscreteStatsTable[[#This Row],[GroupByKey]]),(DiscreteStatsTable[GroupByKey]=DiscreteStatsTable[[#This Row],[GroupByKey]])*DiscreteStatsTable[Average]))</f>
        <v>0.62370245189172402</v>
      </c>
      <c r="S220" cm="1">
        <f t="array" ref="S220">MAX(IF((DiscreteStatsTable[GroupByKey]=DiscreteStatsTable[[#This Row],[GroupByKey]]),(DiscreteStatsTable[GroupByKey]=DiscreteStatsTable[[#This Row],[GroupByKey]])*DiscreteStatsTable[Average]))</f>
        <v>2.2729191308574102</v>
      </c>
      <c r="T220" cm="1">
        <f t="array" ref="T220">MIN(IF((DiscreteStatsTable[GroupByKey]=DiscreteStatsTable[[#This Row],[GroupByKey]]),(DiscreteStatsTable[GroupByKey]=DiscreteStatsTable[[#This Row],[GroupByKey]])*DiscreteStatsTable[Minimum]))</f>
        <v>0</v>
      </c>
      <c r="U220" cm="1">
        <f t="array" ref="U220">MAX(IF((DiscreteStatsTable[GroupByKey]=DiscreteStatsTable[[#This Row],[GroupByKey]]),(DiscreteStatsTable[GroupByKey]=DiscreteStatsTable[[#This Row],[GroupByKey]])*DiscreteStatsTable[Maximum]))</f>
        <v>30.239944815467201</v>
      </c>
      <c r="V220" cm="1">
        <f t="array" ref="V220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20">
        <f>IF((DiscreteStatsTable[[#This Row],[RepsRequested]]&gt;1),DiscreteStatsTable[[#This Row],[HalfWidth]],DiscreteStatsTable[[#This Row],[BatchMeansHalfWidth]])</f>
        <v>0.14224351254961343</v>
      </c>
      <c r="X220" cm="1">
        <f t="array" ref="X220">COUNT(IF((DiscreteStatsTable[GroupByKey]=DiscreteStatsTable[[#This Row],[GroupByKey]]),(DiscreteStatsTable[GroupByKey]=DiscreteStatsTable[[#This Row],[GroupByKey]])*DiscreteStatsTable[Replication]))</f>
        <v>30</v>
      </c>
      <c r="Y220">
        <f>IF(DiscreteStatsTable[[#This Row],[RepsRequested]]=DiscreteStatsTable[[#This Row],[RepsWithStatObserved]],1,0)</f>
        <v>1</v>
      </c>
    </row>
    <row r="221" spans="1:25" x14ac:dyDescent="0.2">
      <c r="A221" t="s">
        <v>67</v>
      </c>
      <c r="B221" t="s">
        <v>70</v>
      </c>
      <c r="C221">
        <v>10</v>
      </c>
      <c r="D221" t="s">
        <v>82</v>
      </c>
      <c r="E221" t="s">
        <v>72</v>
      </c>
      <c r="F221" t="s">
        <v>73</v>
      </c>
      <c r="G221">
        <v>0.87993622398139104</v>
      </c>
      <c r="H221">
        <v>2E+20</v>
      </c>
      <c r="I221">
        <v>0</v>
      </c>
      <c r="J221">
        <v>13.5072680300946</v>
      </c>
      <c r="K221">
        <v>276</v>
      </c>
      <c r="L221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21" cm="1">
        <f t="array" ref="M221">MAX(IF((ProjectInfoTable[ProjectName]=DiscreteStatsTable[[#This Row],[ProjectName]]),(ProjectInfoTable[ProjectName]=DiscreteStatsTable[[#This Row],[ProjectName]])*ProjectInfoTable[NumberOfReplications]))</f>
        <v>30</v>
      </c>
      <c r="N221" cm="1">
        <f t="array" ref="N221">IFERROR(AVERAGE(IF((DiscreteStatsTable[GroupByKey]=DiscreteStatsTable[[#This Row],[GroupByKey]]),(DiscreteStatsTable[GroupByKey]=DiscreteStatsTable[[#This Row],[GroupByKey]])*DiscreteStatsTable[Average])),0)</f>
        <v>1.3983369990297625</v>
      </c>
      <c r="O221" cm="1">
        <f t="array" ref="O221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21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21" cm="1">
        <f t="array" ref="R221">MIN(IF((DiscreteStatsTable[GroupByKey]=DiscreteStatsTable[[#This Row],[GroupByKey]]),(DiscreteStatsTable[GroupByKey]=DiscreteStatsTable[[#This Row],[GroupByKey]])*DiscreteStatsTable[Average]))</f>
        <v>0.62370245189172402</v>
      </c>
      <c r="S221" cm="1">
        <f t="array" ref="S221">MAX(IF((DiscreteStatsTable[GroupByKey]=DiscreteStatsTable[[#This Row],[GroupByKey]]),(DiscreteStatsTable[GroupByKey]=DiscreteStatsTable[[#This Row],[GroupByKey]])*DiscreteStatsTable[Average]))</f>
        <v>2.2729191308574102</v>
      </c>
      <c r="T221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cm="1">
        <f t="array" ref="U221">MAX(IF((DiscreteStatsTable[GroupByKey]=DiscreteStatsTable[[#This Row],[GroupByKey]]),(DiscreteStatsTable[GroupByKey]=DiscreteStatsTable[[#This Row],[GroupByKey]])*DiscreteStatsTable[Maximum]))</f>
        <v>30.239944815467201</v>
      </c>
      <c r="V221" cm="1">
        <f t="array" ref="V221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21">
        <f>IF((DiscreteStatsTable[[#This Row],[RepsRequested]]&gt;1),DiscreteStatsTable[[#This Row],[HalfWidth]],DiscreteStatsTable[[#This Row],[BatchMeansHalfWidth]])</f>
        <v>0.14224351254961343</v>
      </c>
      <c r="X221" cm="1">
        <f t="array" ref="X221">COUNT(IF((DiscreteStatsTable[GroupByKey]=DiscreteStatsTable[[#This Row],[GroupByKey]]),(DiscreteStatsTable[GroupByKey]=DiscreteStatsTable[[#This Row],[GroupByKey]])*DiscreteStatsTable[Replication]))</f>
        <v>30</v>
      </c>
      <c r="Y221">
        <f>IF(DiscreteStatsTable[[#This Row],[RepsRequested]]=DiscreteStatsTable[[#This Row],[RepsWithStatObserved]],1,0)</f>
        <v>1</v>
      </c>
    </row>
    <row r="222" spans="1:25" x14ac:dyDescent="0.2">
      <c r="A222" t="s">
        <v>67</v>
      </c>
      <c r="B222" t="s">
        <v>70</v>
      </c>
      <c r="C222">
        <v>11</v>
      </c>
      <c r="D222" t="s">
        <v>82</v>
      </c>
      <c r="E222" t="s">
        <v>72</v>
      </c>
      <c r="F222" t="s">
        <v>73</v>
      </c>
      <c r="G222">
        <v>1.3500974275627</v>
      </c>
      <c r="H222">
        <v>2E+20</v>
      </c>
      <c r="I222">
        <v>0</v>
      </c>
      <c r="J222">
        <v>16.1775625413974</v>
      </c>
      <c r="K222">
        <v>294</v>
      </c>
      <c r="L222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22" cm="1">
        <f t="array" ref="M222">MAX(IF((ProjectInfoTable[ProjectName]=DiscreteStatsTable[[#This Row],[ProjectName]]),(ProjectInfoTable[ProjectName]=DiscreteStatsTable[[#This Row],[ProjectName]])*ProjectInfoTable[NumberOfReplications]))</f>
        <v>30</v>
      </c>
      <c r="N222" cm="1">
        <f t="array" ref="N222">IFERROR(AVERAGE(IF((DiscreteStatsTable[GroupByKey]=DiscreteStatsTable[[#This Row],[GroupByKey]]),(DiscreteStatsTable[GroupByKey]=DiscreteStatsTable[[#This Row],[GroupByKey]])*DiscreteStatsTable[Average])),0)</f>
        <v>1.3983369990297625</v>
      </c>
      <c r="O222" cm="1">
        <f t="array" ref="O222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22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22" cm="1">
        <f t="array" ref="R222">MIN(IF((DiscreteStatsTable[GroupByKey]=DiscreteStatsTable[[#This Row],[GroupByKey]]),(DiscreteStatsTable[GroupByKey]=DiscreteStatsTable[[#This Row],[GroupByKey]])*DiscreteStatsTable[Average]))</f>
        <v>0.62370245189172402</v>
      </c>
      <c r="S222" cm="1">
        <f t="array" ref="S222">MAX(IF((DiscreteStatsTable[GroupByKey]=DiscreteStatsTable[[#This Row],[GroupByKey]]),(DiscreteStatsTable[GroupByKey]=DiscreteStatsTable[[#This Row],[GroupByKey]])*DiscreteStatsTable[Average]))</f>
        <v>2.2729191308574102</v>
      </c>
      <c r="T222" cm="1">
        <f t="array" ref="T222">MIN(IF((DiscreteStatsTable[GroupByKey]=DiscreteStatsTable[[#This Row],[GroupByKey]]),(DiscreteStatsTable[GroupByKey]=DiscreteStatsTable[[#This Row],[GroupByKey]])*DiscreteStatsTable[Minimum]))</f>
        <v>0</v>
      </c>
      <c r="U222" cm="1">
        <f t="array" ref="U222">MAX(IF((DiscreteStatsTable[GroupByKey]=DiscreteStatsTable[[#This Row],[GroupByKey]]),(DiscreteStatsTable[GroupByKey]=DiscreteStatsTable[[#This Row],[GroupByKey]])*DiscreteStatsTable[Maximum]))</f>
        <v>30.239944815467201</v>
      </c>
      <c r="V222" cm="1">
        <f t="array" ref="V222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22">
        <f>IF((DiscreteStatsTable[[#This Row],[RepsRequested]]&gt;1),DiscreteStatsTable[[#This Row],[HalfWidth]],DiscreteStatsTable[[#This Row],[BatchMeansHalfWidth]])</f>
        <v>0.14224351254961343</v>
      </c>
      <c r="X222" cm="1">
        <f t="array" ref="X222">COUNT(IF((DiscreteStatsTable[GroupByKey]=DiscreteStatsTable[[#This Row],[GroupByKey]]),(DiscreteStatsTable[GroupByKey]=DiscreteStatsTable[[#This Row],[GroupByKey]])*DiscreteStatsTable[Replication]))</f>
        <v>30</v>
      </c>
      <c r="Y222">
        <f>IF(DiscreteStatsTable[[#This Row],[RepsRequested]]=DiscreteStatsTable[[#This Row],[RepsWithStatObserved]],1,0)</f>
        <v>1</v>
      </c>
    </row>
    <row r="223" spans="1:25" x14ac:dyDescent="0.2">
      <c r="A223" t="s">
        <v>67</v>
      </c>
      <c r="B223" t="s">
        <v>70</v>
      </c>
      <c r="C223">
        <v>12</v>
      </c>
      <c r="D223" t="s">
        <v>82</v>
      </c>
      <c r="E223" t="s">
        <v>72</v>
      </c>
      <c r="F223" t="s">
        <v>73</v>
      </c>
      <c r="G223">
        <v>2.2729191308574102</v>
      </c>
      <c r="H223">
        <v>2E+20</v>
      </c>
      <c r="I223">
        <v>0</v>
      </c>
      <c r="J223">
        <v>30.239944815467201</v>
      </c>
      <c r="K223">
        <v>298</v>
      </c>
      <c r="L223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23" cm="1">
        <f t="array" ref="M223">MAX(IF((ProjectInfoTable[ProjectName]=DiscreteStatsTable[[#This Row],[ProjectName]]),(ProjectInfoTable[ProjectName]=DiscreteStatsTable[[#This Row],[ProjectName]])*ProjectInfoTable[NumberOfReplications]))</f>
        <v>30</v>
      </c>
      <c r="N223" cm="1">
        <f t="array" ref="N223">IFERROR(AVERAGE(IF((DiscreteStatsTable[GroupByKey]=DiscreteStatsTable[[#This Row],[GroupByKey]]),(DiscreteStatsTable[GroupByKey]=DiscreteStatsTable[[#This Row],[GroupByKey]])*DiscreteStatsTable[Average])),0)</f>
        <v>1.3983369990297625</v>
      </c>
      <c r="O223" cm="1">
        <f t="array" ref="O223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23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23" cm="1">
        <f t="array" ref="R223">MIN(IF((DiscreteStatsTable[GroupByKey]=DiscreteStatsTable[[#This Row],[GroupByKey]]),(DiscreteStatsTable[GroupByKey]=DiscreteStatsTable[[#This Row],[GroupByKey]])*DiscreteStatsTable[Average]))</f>
        <v>0.62370245189172402</v>
      </c>
      <c r="S223" cm="1">
        <f t="array" ref="S223">MAX(IF((DiscreteStatsTable[GroupByKey]=DiscreteStatsTable[[#This Row],[GroupByKey]]),(DiscreteStatsTable[GroupByKey]=DiscreteStatsTable[[#This Row],[GroupByKey]])*DiscreteStatsTable[Average]))</f>
        <v>2.2729191308574102</v>
      </c>
      <c r="T223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cm="1">
        <f t="array" ref="U223">MAX(IF((DiscreteStatsTable[GroupByKey]=DiscreteStatsTable[[#This Row],[GroupByKey]]),(DiscreteStatsTable[GroupByKey]=DiscreteStatsTable[[#This Row],[GroupByKey]])*DiscreteStatsTable[Maximum]))</f>
        <v>30.239944815467201</v>
      </c>
      <c r="V223" cm="1">
        <f t="array" ref="V223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23">
        <f>IF((DiscreteStatsTable[[#This Row],[RepsRequested]]&gt;1),DiscreteStatsTable[[#This Row],[HalfWidth]],DiscreteStatsTable[[#This Row],[BatchMeansHalfWidth]])</f>
        <v>0.14224351254961343</v>
      </c>
      <c r="X223" cm="1">
        <f t="array" ref="X223">COUNT(IF((DiscreteStatsTable[GroupByKey]=DiscreteStatsTable[[#This Row],[GroupByKey]]),(DiscreteStatsTable[GroupByKey]=DiscreteStatsTable[[#This Row],[GroupByKey]])*DiscreteStatsTable[Replication]))</f>
        <v>30</v>
      </c>
      <c r="Y223">
        <f>IF(DiscreteStatsTable[[#This Row],[RepsRequested]]=DiscreteStatsTable[[#This Row],[RepsWithStatObserved]],1,0)</f>
        <v>1</v>
      </c>
    </row>
    <row r="224" spans="1:25" x14ac:dyDescent="0.2">
      <c r="A224" t="s">
        <v>67</v>
      </c>
      <c r="B224" t="s">
        <v>70</v>
      </c>
      <c r="C224">
        <v>13</v>
      </c>
      <c r="D224" t="s">
        <v>82</v>
      </c>
      <c r="E224" t="s">
        <v>72</v>
      </c>
      <c r="F224" t="s">
        <v>73</v>
      </c>
      <c r="G224">
        <v>1.5227764003301101</v>
      </c>
      <c r="H224">
        <v>2E+20</v>
      </c>
      <c r="I224">
        <v>0</v>
      </c>
      <c r="J224">
        <v>14.6882613117575</v>
      </c>
      <c r="K224">
        <v>296</v>
      </c>
      <c r="L224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24" cm="1">
        <f t="array" ref="M224">MAX(IF((ProjectInfoTable[ProjectName]=DiscreteStatsTable[[#This Row],[ProjectName]]),(ProjectInfoTable[ProjectName]=DiscreteStatsTable[[#This Row],[ProjectName]])*ProjectInfoTable[NumberOfReplications]))</f>
        <v>30</v>
      </c>
      <c r="N224" cm="1">
        <f t="array" ref="N224">IFERROR(AVERAGE(IF((DiscreteStatsTable[GroupByKey]=DiscreteStatsTable[[#This Row],[GroupByKey]]),(DiscreteStatsTable[GroupByKey]=DiscreteStatsTable[[#This Row],[GroupByKey]])*DiscreteStatsTable[Average])),0)</f>
        <v>1.3983369990297625</v>
      </c>
      <c r="O224" cm="1">
        <f t="array" ref="O224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24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24" cm="1">
        <f t="array" ref="R224">MIN(IF((DiscreteStatsTable[GroupByKey]=DiscreteStatsTable[[#This Row],[GroupByKey]]),(DiscreteStatsTable[GroupByKey]=DiscreteStatsTable[[#This Row],[GroupByKey]])*DiscreteStatsTable[Average]))</f>
        <v>0.62370245189172402</v>
      </c>
      <c r="S224" cm="1">
        <f t="array" ref="S224">MAX(IF((DiscreteStatsTable[GroupByKey]=DiscreteStatsTable[[#This Row],[GroupByKey]]),(DiscreteStatsTable[GroupByKey]=DiscreteStatsTable[[#This Row],[GroupByKey]])*DiscreteStatsTable[Average]))</f>
        <v>2.2729191308574102</v>
      </c>
      <c r="T224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cm="1">
        <f t="array" ref="U224">MAX(IF((DiscreteStatsTable[GroupByKey]=DiscreteStatsTable[[#This Row],[GroupByKey]]),(DiscreteStatsTable[GroupByKey]=DiscreteStatsTable[[#This Row],[GroupByKey]])*DiscreteStatsTable[Maximum]))</f>
        <v>30.239944815467201</v>
      </c>
      <c r="V224" cm="1">
        <f t="array" ref="V224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24">
        <f>IF((DiscreteStatsTable[[#This Row],[RepsRequested]]&gt;1),DiscreteStatsTable[[#This Row],[HalfWidth]],DiscreteStatsTable[[#This Row],[BatchMeansHalfWidth]])</f>
        <v>0.14224351254961343</v>
      </c>
      <c r="X224" cm="1">
        <f t="array" ref="X224">COUNT(IF((DiscreteStatsTable[GroupByKey]=DiscreteStatsTable[[#This Row],[GroupByKey]]),(DiscreteStatsTable[GroupByKey]=DiscreteStatsTable[[#This Row],[GroupByKey]])*DiscreteStatsTable[Replication]))</f>
        <v>30</v>
      </c>
      <c r="Y224">
        <f>IF(DiscreteStatsTable[[#This Row],[RepsRequested]]=DiscreteStatsTable[[#This Row],[RepsWithStatObserved]],1,0)</f>
        <v>1</v>
      </c>
    </row>
    <row r="225" spans="1:25" x14ac:dyDescent="0.2">
      <c r="A225" t="s">
        <v>67</v>
      </c>
      <c r="B225" t="s">
        <v>70</v>
      </c>
      <c r="C225">
        <v>14</v>
      </c>
      <c r="D225" t="s">
        <v>82</v>
      </c>
      <c r="E225" t="s">
        <v>72</v>
      </c>
      <c r="F225" t="s">
        <v>73</v>
      </c>
      <c r="G225">
        <v>1.46295885959034</v>
      </c>
      <c r="H225">
        <v>2E+20</v>
      </c>
      <c r="I225">
        <v>0</v>
      </c>
      <c r="J225">
        <v>16.346443748805999</v>
      </c>
      <c r="K225">
        <v>276</v>
      </c>
      <c r="L225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25" cm="1">
        <f t="array" ref="M225">MAX(IF((ProjectInfoTable[ProjectName]=DiscreteStatsTable[[#This Row],[ProjectName]]),(ProjectInfoTable[ProjectName]=DiscreteStatsTable[[#This Row],[ProjectName]])*ProjectInfoTable[NumberOfReplications]))</f>
        <v>30</v>
      </c>
      <c r="N225" cm="1">
        <f t="array" ref="N225">IFERROR(AVERAGE(IF((DiscreteStatsTable[GroupByKey]=DiscreteStatsTable[[#This Row],[GroupByKey]]),(DiscreteStatsTable[GroupByKey]=DiscreteStatsTable[[#This Row],[GroupByKey]])*DiscreteStatsTable[Average])),0)</f>
        <v>1.3983369990297625</v>
      </c>
      <c r="O225" cm="1">
        <f t="array" ref="O225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2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25" cm="1">
        <f t="array" ref="R225">MIN(IF((DiscreteStatsTable[GroupByKey]=DiscreteStatsTable[[#This Row],[GroupByKey]]),(DiscreteStatsTable[GroupByKey]=DiscreteStatsTable[[#This Row],[GroupByKey]])*DiscreteStatsTable[Average]))</f>
        <v>0.62370245189172402</v>
      </c>
      <c r="S225" cm="1">
        <f t="array" ref="S225">MAX(IF((DiscreteStatsTable[GroupByKey]=DiscreteStatsTable[[#This Row],[GroupByKey]]),(DiscreteStatsTable[GroupByKey]=DiscreteStatsTable[[#This Row],[GroupByKey]])*DiscreteStatsTable[Average]))</f>
        <v>2.2729191308574102</v>
      </c>
      <c r="T22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cm="1">
        <f t="array" ref="U225">MAX(IF((DiscreteStatsTable[GroupByKey]=DiscreteStatsTable[[#This Row],[GroupByKey]]),(DiscreteStatsTable[GroupByKey]=DiscreteStatsTable[[#This Row],[GroupByKey]])*DiscreteStatsTable[Maximum]))</f>
        <v>30.239944815467201</v>
      </c>
      <c r="V225" cm="1">
        <f t="array" ref="V225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25">
        <f>IF((DiscreteStatsTable[[#This Row],[RepsRequested]]&gt;1),DiscreteStatsTable[[#This Row],[HalfWidth]],DiscreteStatsTable[[#This Row],[BatchMeansHalfWidth]])</f>
        <v>0.14224351254961343</v>
      </c>
      <c r="X225" cm="1">
        <f t="array" ref="X225">COUNT(IF((DiscreteStatsTable[GroupByKey]=DiscreteStatsTable[[#This Row],[GroupByKey]]),(DiscreteStatsTable[GroupByKey]=DiscreteStatsTable[[#This Row],[GroupByKey]])*DiscreteStatsTable[Replication]))</f>
        <v>30</v>
      </c>
      <c r="Y225">
        <f>IF(DiscreteStatsTable[[#This Row],[RepsRequested]]=DiscreteStatsTable[[#This Row],[RepsWithStatObserved]],1,0)</f>
        <v>1</v>
      </c>
    </row>
    <row r="226" spans="1:25" x14ac:dyDescent="0.2">
      <c r="A226" t="s">
        <v>67</v>
      </c>
      <c r="B226" t="s">
        <v>70</v>
      </c>
      <c r="C226">
        <v>15</v>
      </c>
      <c r="D226" t="s">
        <v>82</v>
      </c>
      <c r="E226" t="s">
        <v>72</v>
      </c>
      <c r="F226" t="s">
        <v>73</v>
      </c>
      <c r="G226">
        <v>1.0709567024111399</v>
      </c>
      <c r="H226">
        <v>2E+20</v>
      </c>
      <c r="I226">
        <v>0</v>
      </c>
      <c r="J226">
        <v>10.938009870856799</v>
      </c>
      <c r="K226">
        <v>276</v>
      </c>
      <c r="L226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26" cm="1">
        <f t="array" ref="M226">MAX(IF((ProjectInfoTable[ProjectName]=DiscreteStatsTable[[#This Row],[ProjectName]]),(ProjectInfoTable[ProjectName]=DiscreteStatsTable[[#This Row],[ProjectName]])*ProjectInfoTable[NumberOfReplications]))</f>
        <v>30</v>
      </c>
      <c r="N226" cm="1">
        <f t="array" ref="N226">IFERROR(AVERAGE(IF((DiscreteStatsTable[GroupByKey]=DiscreteStatsTable[[#This Row],[GroupByKey]]),(DiscreteStatsTable[GroupByKey]=DiscreteStatsTable[[#This Row],[GroupByKey]])*DiscreteStatsTable[Average])),0)</f>
        <v>1.3983369990297625</v>
      </c>
      <c r="O226" cm="1">
        <f t="array" ref="O226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26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26" cm="1">
        <f t="array" ref="R226">MIN(IF((DiscreteStatsTable[GroupByKey]=DiscreteStatsTable[[#This Row],[GroupByKey]]),(DiscreteStatsTable[GroupByKey]=DiscreteStatsTable[[#This Row],[GroupByKey]])*DiscreteStatsTable[Average]))</f>
        <v>0.62370245189172402</v>
      </c>
      <c r="S226" cm="1">
        <f t="array" ref="S226">MAX(IF((DiscreteStatsTable[GroupByKey]=DiscreteStatsTable[[#This Row],[GroupByKey]]),(DiscreteStatsTable[GroupByKey]=DiscreteStatsTable[[#This Row],[GroupByKey]])*DiscreteStatsTable[Average]))</f>
        <v>2.2729191308574102</v>
      </c>
      <c r="T226" cm="1">
        <f t="array" ref="T226">MIN(IF((DiscreteStatsTable[GroupByKey]=DiscreteStatsTable[[#This Row],[GroupByKey]]),(DiscreteStatsTable[GroupByKey]=DiscreteStatsTable[[#This Row],[GroupByKey]])*DiscreteStatsTable[Minimum]))</f>
        <v>0</v>
      </c>
      <c r="U226" cm="1">
        <f t="array" ref="U226">MAX(IF((DiscreteStatsTable[GroupByKey]=DiscreteStatsTable[[#This Row],[GroupByKey]]),(DiscreteStatsTable[GroupByKey]=DiscreteStatsTable[[#This Row],[GroupByKey]])*DiscreteStatsTable[Maximum]))</f>
        <v>30.239944815467201</v>
      </c>
      <c r="V226" cm="1">
        <f t="array" ref="V226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26">
        <f>IF((DiscreteStatsTable[[#This Row],[RepsRequested]]&gt;1),DiscreteStatsTable[[#This Row],[HalfWidth]],DiscreteStatsTable[[#This Row],[BatchMeansHalfWidth]])</f>
        <v>0.14224351254961343</v>
      </c>
      <c r="X226" cm="1">
        <f t="array" ref="X226">COUNT(IF((DiscreteStatsTable[GroupByKey]=DiscreteStatsTable[[#This Row],[GroupByKey]]),(DiscreteStatsTable[GroupByKey]=DiscreteStatsTable[[#This Row],[GroupByKey]])*DiscreteStatsTable[Replication]))</f>
        <v>30</v>
      </c>
      <c r="Y226">
        <f>IF(DiscreteStatsTable[[#This Row],[RepsRequested]]=DiscreteStatsTable[[#This Row],[RepsWithStatObserved]],1,0)</f>
        <v>1</v>
      </c>
    </row>
    <row r="227" spans="1:25" x14ac:dyDescent="0.2">
      <c r="A227" t="s">
        <v>67</v>
      </c>
      <c r="B227" t="s">
        <v>70</v>
      </c>
      <c r="C227">
        <v>16</v>
      </c>
      <c r="D227" t="s">
        <v>82</v>
      </c>
      <c r="E227" t="s">
        <v>72</v>
      </c>
      <c r="F227" t="s">
        <v>73</v>
      </c>
      <c r="G227">
        <v>1.0406448582160801</v>
      </c>
      <c r="H227">
        <v>2E+20</v>
      </c>
      <c r="I227">
        <v>0</v>
      </c>
      <c r="J227">
        <v>18.5359659997489</v>
      </c>
      <c r="K227">
        <v>278</v>
      </c>
      <c r="L227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27" cm="1">
        <f t="array" ref="M227">MAX(IF((ProjectInfoTable[ProjectName]=DiscreteStatsTable[[#This Row],[ProjectName]]),(ProjectInfoTable[ProjectName]=DiscreteStatsTable[[#This Row],[ProjectName]])*ProjectInfoTable[NumberOfReplications]))</f>
        <v>30</v>
      </c>
      <c r="N227" cm="1">
        <f t="array" ref="N227">IFERROR(AVERAGE(IF((DiscreteStatsTable[GroupByKey]=DiscreteStatsTable[[#This Row],[GroupByKey]]),(DiscreteStatsTable[GroupByKey]=DiscreteStatsTable[[#This Row],[GroupByKey]])*DiscreteStatsTable[Average])),0)</f>
        <v>1.3983369990297625</v>
      </c>
      <c r="O227" cm="1">
        <f t="array" ref="O227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27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27" cm="1">
        <f t="array" ref="R227">MIN(IF((DiscreteStatsTable[GroupByKey]=DiscreteStatsTable[[#This Row],[GroupByKey]]),(DiscreteStatsTable[GroupByKey]=DiscreteStatsTable[[#This Row],[GroupByKey]])*DiscreteStatsTable[Average]))</f>
        <v>0.62370245189172402</v>
      </c>
      <c r="S227" cm="1">
        <f t="array" ref="S227">MAX(IF((DiscreteStatsTable[GroupByKey]=DiscreteStatsTable[[#This Row],[GroupByKey]]),(DiscreteStatsTable[GroupByKey]=DiscreteStatsTable[[#This Row],[GroupByKey]])*DiscreteStatsTable[Average]))</f>
        <v>2.2729191308574102</v>
      </c>
      <c r="T227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cm="1">
        <f t="array" ref="U227">MAX(IF((DiscreteStatsTable[GroupByKey]=DiscreteStatsTable[[#This Row],[GroupByKey]]),(DiscreteStatsTable[GroupByKey]=DiscreteStatsTable[[#This Row],[GroupByKey]])*DiscreteStatsTable[Maximum]))</f>
        <v>30.239944815467201</v>
      </c>
      <c r="V227" cm="1">
        <f t="array" ref="V227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27">
        <f>IF((DiscreteStatsTable[[#This Row],[RepsRequested]]&gt;1),DiscreteStatsTable[[#This Row],[HalfWidth]],DiscreteStatsTable[[#This Row],[BatchMeansHalfWidth]])</f>
        <v>0.14224351254961343</v>
      </c>
      <c r="X227" cm="1">
        <f t="array" ref="X227">COUNT(IF((DiscreteStatsTable[GroupByKey]=DiscreteStatsTable[[#This Row],[GroupByKey]]),(DiscreteStatsTable[GroupByKey]=DiscreteStatsTable[[#This Row],[GroupByKey]])*DiscreteStatsTable[Replication]))</f>
        <v>30</v>
      </c>
      <c r="Y227">
        <f>IF(DiscreteStatsTable[[#This Row],[RepsRequested]]=DiscreteStatsTable[[#This Row],[RepsWithStatObserved]],1,0)</f>
        <v>1</v>
      </c>
    </row>
    <row r="228" spans="1:25" x14ac:dyDescent="0.2">
      <c r="A228" t="s">
        <v>67</v>
      </c>
      <c r="B228" t="s">
        <v>70</v>
      </c>
      <c r="C228">
        <v>17</v>
      </c>
      <c r="D228" t="s">
        <v>82</v>
      </c>
      <c r="E228" t="s">
        <v>72</v>
      </c>
      <c r="F228" t="s">
        <v>73</v>
      </c>
      <c r="G228">
        <v>1.18619677773414</v>
      </c>
      <c r="H228">
        <v>2E+20</v>
      </c>
      <c r="I228">
        <v>0</v>
      </c>
      <c r="J228">
        <v>12.2160405194674</v>
      </c>
      <c r="K228">
        <v>282</v>
      </c>
      <c r="L228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28" cm="1">
        <f t="array" ref="M228">MAX(IF((ProjectInfoTable[ProjectName]=DiscreteStatsTable[[#This Row],[ProjectName]]),(ProjectInfoTable[ProjectName]=DiscreteStatsTable[[#This Row],[ProjectName]])*ProjectInfoTable[NumberOfReplications]))</f>
        <v>30</v>
      </c>
      <c r="N228" cm="1">
        <f t="array" ref="N228">IFERROR(AVERAGE(IF((DiscreteStatsTable[GroupByKey]=DiscreteStatsTable[[#This Row],[GroupByKey]]),(DiscreteStatsTable[GroupByKey]=DiscreteStatsTable[[#This Row],[GroupByKey]])*DiscreteStatsTable[Average])),0)</f>
        <v>1.3983369990297625</v>
      </c>
      <c r="O228" cm="1">
        <f t="array" ref="O228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28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28" cm="1">
        <f t="array" ref="R228">MIN(IF((DiscreteStatsTable[GroupByKey]=DiscreteStatsTable[[#This Row],[GroupByKey]]),(DiscreteStatsTable[GroupByKey]=DiscreteStatsTable[[#This Row],[GroupByKey]])*DiscreteStatsTable[Average]))</f>
        <v>0.62370245189172402</v>
      </c>
      <c r="S228" cm="1">
        <f t="array" ref="S228">MAX(IF((DiscreteStatsTable[GroupByKey]=DiscreteStatsTable[[#This Row],[GroupByKey]]),(DiscreteStatsTable[GroupByKey]=DiscreteStatsTable[[#This Row],[GroupByKey]])*DiscreteStatsTable[Average]))</f>
        <v>2.2729191308574102</v>
      </c>
      <c r="T228" cm="1">
        <f t="array" ref="T228">MIN(IF((DiscreteStatsTable[GroupByKey]=DiscreteStatsTable[[#This Row],[GroupByKey]]),(DiscreteStatsTable[GroupByKey]=DiscreteStatsTable[[#This Row],[GroupByKey]])*DiscreteStatsTable[Minimum]))</f>
        <v>0</v>
      </c>
      <c r="U228" cm="1">
        <f t="array" ref="U228">MAX(IF((DiscreteStatsTable[GroupByKey]=DiscreteStatsTable[[#This Row],[GroupByKey]]),(DiscreteStatsTable[GroupByKey]=DiscreteStatsTable[[#This Row],[GroupByKey]])*DiscreteStatsTable[Maximum]))</f>
        <v>30.239944815467201</v>
      </c>
      <c r="V228" cm="1">
        <f t="array" ref="V228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28">
        <f>IF((DiscreteStatsTable[[#This Row],[RepsRequested]]&gt;1),DiscreteStatsTable[[#This Row],[HalfWidth]],DiscreteStatsTable[[#This Row],[BatchMeansHalfWidth]])</f>
        <v>0.14224351254961343</v>
      </c>
      <c r="X228" cm="1">
        <f t="array" ref="X228">COUNT(IF((DiscreteStatsTable[GroupByKey]=DiscreteStatsTable[[#This Row],[GroupByKey]]),(DiscreteStatsTable[GroupByKey]=DiscreteStatsTable[[#This Row],[GroupByKey]])*DiscreteStatsTable[Replication]))</f>
        <v>30</v>
      </c>
      <c r="Y228">
        <f>IF(DiscreteStatsTable[[#This Row],[RepsRequested]]=DiscreteStatsTable[[#This Row],[RepsWithStatObserved]],1,0)</f>
        <v>1</v>
      </c>
    </row>
    <row r="229" spans="1:25" x14ac:dyDescent="0.2">
      <c r="A229" t="s">
        <v>67</v>
      </c>
      <c r="B229" t="s">
        <v>70</v>
      </c>
      <c r="C229">
        <v>18</v>
      </c>
      <c r="D229" t="s">
        <v>82</v>
      </c>
      <c r="E229" t="s">
        <v>72</v>
      </c>
      <c r="F229" t="s">
        <v>73</v>
      </c>
      <c r="G229">
        <v>1.14299021167214</v>
      </c>
      <c r="H229">
        <v>2E+20</v>
      </c>
      <c r="I229">
        <v>0</v>
      </c>
      <c r="J229">
        <v>16.430756591376401</v>
      </c>
      <c r="K229">
        <v>288</v>
      </c>
      <c r="L229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29" cm="1">
        <f t="array" ref="M229">MAX(IF((ProjectInfoTable[ProjectName]=DiscreteStatsTable[[#This Row],[ProjectName]]),(ProjectInfoTable[ProjectName]=DiscreteStatsTable[[#This Row],[ProjectName]])*ProjectInfoTable[NumberOfReplications]))</f>
        <v>30</v>
      </c>
      <c r="N229" cm="1">
        <f t="array" ref="N229">IFERROR(AVERAGE(IF((DiscreteStatsTable[GroupByKey]=DiscreteStatsTable[[#This Row],[GroupByKey]]),(DiscreteStatsTable[GroupByKey]=DiscreteStatsTable[[#This Row],[GroupByKey]])*DiscreteStatsTable[Average])),0)</f>
        <v>1.3983369990297625</v>
      </c>
      <c r="O229" cm="1">
        <f t="array" ref="O229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29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29" cm="1">
        <f t="array" ref="R229">MIN(IF((DiscreteStatsTable[GroupByKey]=DiscreteStatsTable[[#This Row],[GroupByKey]]),(DiscreteStatsTable[GroupByKey]=DiscreteStatsTable[[#This Row],[GroupByKey]])*DiscreteStatsTable[Average]))</f>
        <v>0.62370245189172402</v>
      </c>
      <c r="S229" cm="1">
        <f t="array" ref="S229">MAX(IF((DiscreteStatsTable[GroupByKey]=DiscreteStatsTable[[#This Row],[GroupByKey]]),(DiscreteStatsTable[GroupByKey]=DiscreteStatsTable[[#This Row],[GroupByKey]])*DiscreteStatsTable[Average]))</f>
        <v>2.2729191308574102</v>
      </c>
      <c r="T229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cm="1">
        <f t="array" ref="U229">MAX(IF((DiscreteStatsTable[GroupByKey]=DiscreteStatsTable[[#This Row],[GroupByKey]]),(DiscreteStatsTable[GroupByKey]=DiscreteStatsTable[[#This Row],[GroupByKey]])*DiscreteStatsTable[Maximum]))</f>
        <v>30.239944815467201</v>
      </c>
      <c r="V229" cm="1">
        <f t="array" ref="V229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29">
        <f>IF((DiscreteStatsTable[[#This Row],[RepsRequested]]&gt;1),DiscreteStatsTable[[#This Row],[HalfWidth]],DiscreteStatsTable[[#This Row],[BatchMeansHalfWidth]])</f>
        <v>0.14224351254961343</v>
      </c>
      <c r="X229" cm="1">
        <f t="array" ref="X229">COUNT(IF((DiscreteStatsTable[GroupByKey]=DiscreteStatsTable[[#This Row],[GroupByKey]]),(DiscreteStatsTable[GroupByKey]=DiscreteStatsTable[[#This Row],[GroupByKey]])*DiscreteStatsTable[Replication]))</f>
        <v>30</v>
      </c>
      <c r="Y229">
        <f>IF(DiscreteStatsTable[[#This Row],[RepsRequested]]=DiscreteStatsTable[[#This Row],[RepsWithStatObserved]],1,0)</f>
        <v>1</v>
      </c>
    </row>
    <row r="230" spans="1:25" x14ac:dyDescent="0.2">
      <c r="A230" t="s">
        <v>67</v>
      </c>
      <c r="B230" t="s">
        <v>70</v>
      </c>
      <c r="C230">
        <v>19</v>
      </c>
      <c r="D230" t="s">
        <v>82</v>
      </c>
      <c r="E230" t="s">
        <v>72</v>
      </c>
      <c r="F230" t="s">
        <v>73</v>
      </c>
      <c r="G230">
        <v>1.32383638741868</v>
      </c>
      <c r="H230">
        <v>2E+20</v>
      </c>
      <c r="I230">
        <v>0</v>
      </c>
      <c r="J230">
        <v>12.393086047443401</v>
      </c>
      <c r="K230">
        <v>292</v>
      </c>
      <c r="L230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30" cm="1">
        <f t="array" ref="M230">MAX(IF((ProjectInfoTable[ProjectName]=DiscreteStatsTable[[#This Row],[ProjectName]]),(ProjectInfoTable[ProjectName]=DiscreteStatsTable[[#This Row],[ProjectName]])*ProjectInfoTable[NumberOfReplications]))</f>
        <v>30</v>
      </c>
      <c r="N230" cm="1">
        <f t="array" ref="N230">IFERROR(AVERAGE(IF((DiscreteStatsTable[GroupByKey]=DiscreteStatsTable[[#This Row],[GroupByKey]]),(DiscreteStatsTable[GroupByKey]=DiscreteStatsTable[[#This Row],[GroupByKey]])*DiscreteStatsTable[Average])),0)</f>
        <v>1.3983369990297625</v>
      </c>
      <c r="O230" cm="1">
        <f t="array" ref="O230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30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30" cm="1">
        <f t="array" ref="R230">MIN(IF((DiscreteStatsTable[GroupByKey]=DiscreteStatsTable[[#This Row],[GroupByKey]]),(DiscreteStatsTable[GroupByKey]=DiscreteStatsTable[[#This Row],[GroupByKey]])*DiscreteStatsTable[Average]))</f>
        <v>0.62370245189172402</v>
      </c>
      <c r="S230" cm="1">
        <f t="array" ref="S230">MAX(IF((DiscreteStatsTable[GroupByKey]=DiscreteStatsTable[[#This Row],[GroupByKey]]),(DiscreteStatsTable[GroupByKey]=DiscreteStatsTable[[#This Row],[GroupByKey]])*DiscreteStatsTable[Average]))</f>
        <v>2.2729191308574102</v>
      </c>
      <c r="T230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cm="1">
        <f t="array" ref="U230">MAX(IF((DiscreteStatsTable[GroupByKey]=DiscreteStatsTable[[#This Row],[GroupByKey]]),(DiscreteStatsTable[GroupByKey]=DiscreteStatsTable[[#This Row],[GroupByKey]])*DiscreteStatsTable[Maximum]))</f>
        <v>30.239944815467201</v>
      </c>
      <c r="V230" cm="1">
        <f t="array" ref="V230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30">
        <f>IF((DiscreteStatsTable[[#This Row],[RepsRequested]]&gt;1),DiscreteStatsTable[[#This Row],[HalfWidth]],DiscreteStatsTable[[#This Row],[BatchMeansHalfWidth]])</f>
        <v>0.14224351254961343</v>
      </c>
      <c r="X230" cm="1">
        <f t="array" ref="X230">COUNT(IF((DiscreteStatsTable[GroupByKey]=DiscreteStatsTable[[#This Row],[GroupByKey]]),(DiscreteStatsTable[GroupByKey]=DiscreteStatsTable[[#This Row],[GroupByKey]])*DiscreteStatsTable[Replication]))</f>
        <v>30</v>
      </c>
      <c r="Y230">
        <f>IF(DiscreteStatsTable[[#This Row],[RepsRequested]]=DiscreteStatsTable[[#This Row],[RepsWithStatObserved]],1,0)</f>
        <v>1</v>
      </c>
    </row>
    <row r="231" spans="1:25" x14ac:dyDescent="0.2">
      <c r="A231" t="s">
        <v>67</v>
      </c>
      <c r="B231" t="s">
        <v>70</v>
      </c>
      <c r="C231">
        <v>20</v>
      </c>
      <c r="D231" t="s">
        <v>82</v>
      </c>
      <c r="E231" t="s">
        <v>72</v>
      </c>
      <c r="F231" t="s">
        <v>73</v>
      </c>
      <c r="G231">
        <v>1.5344872270883301</v>
      </c>
      <c r="H231">
        <v>2E+20</v>
      </c>
      <c r="I231">
        <v>0</v>
      </c>
      <c r="J231">
        <v>22.448705282420502</v>
      </c>
      <c r="K231">
        <v>272</v>
      </c>
      <c r="L231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31" cm="1">
        <f t="array" ref="M231">MAX(IF((ProjectInfoTable[ProjectName]=DiscreteStatsTable[[#This Row],[ProjectName]]),(ProjectInfoTable[ProjectName]=DiscreteStatsTable[[#This Row],[ProjectName]])*ProjectInfoTable[NumberOfReplications]))</f>
        <v>30</v>
      </c>
      <c r="N231" cm="1">
        <f t="array" ref="N231">IFERROR(AVERAGE(IF((DiscreteStatsTable[GroupByKey]=DiscreteStatsTable[[#This Row],[GroupByKey]]),(DiscreteStatsTable[GroupByKey]=DiscreteStatsTable[[#This Row],[GroupByKey]])*DiscreteStatsTable[Average])),0)</f>
        <v>1.3983369990297625</v>
      </c>
      <c r="O231" cm="1">
        <f t="array" ref="O231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31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31" cm="1">
        <f t="array" ref="R231">MIN(IF((DiscreteStatsTable[GroupByKey]=DiscreteStatsTable[[#This Row],[GroupByKey]]),(DiscreteStatsTable[GroupByKey]=DiscreteStatsTable[[#This Row],[GroupByKey]])*DiscreteStatsTable[Average]))</f>
        <v>0.62370245189172402</v>
      </c>
      <c r="S231" cm="1">
        <f t="array" ref="S231">MAX(IF((DiscreteStatsTable[GroupByKey]=DiscreteStatsTable[[#This Row],[GroupByKey]]),(DiscreteStatsTable[GroupByKey]=DiscreteStatsTable[[#This Row],[GroupByKey]])*DiscreteStatsTable[Average]))</f>
        <v>2.2729191308574102</v>
      </c>
      <c r="T231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cm="1">
        <f t="array" ref="U231">MAX(IF((DiscreteStatsTable[GroupByKey]=DiscreteStatsTable[[#This Row],[GroupByKey]]),(DiscreteStatsTable[GroupByKey]=DiscreteStatsTable[[#This Row],[GroupByKey]])*DiscreteStatsTable[Maximum]))</f>
        <v>30.239944815467201</v>
      </c>
      <c r="V231" cm="1">
        <f t="array" ref="V231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31">
        <f>IF((DiscreteStatsTable[[#This Row],[RepsRequested]]&gt;1),DiscreteStatsTable[[#This Row],[HalfWidth]],DiscreteStatsTable[[#This Row],[BatchMeansHalfWidth]])</f>
        <v>0.14224351254961343</v>
      </c>
      <c r="X231" cm="1">
        <f t="array" ref="X231">COUNT(IF((DiscreteStatsTable[GroupByKey]=DiscreteStatsTable[[#This Row],[GroupByKey]]),(DiscreteStatsTable[GroupByKey]=DiscreteStatsTable[[#This Row],[GroupByKey]])*DiscreteStatsTable[Replication]))</f>
        <v>30</v>
      </c>
      <c r="Y231">
        <f>IF(DiscreteStatsTable[[#This Row],[RepsRequested]]=DiscreteStatsTable[[#This Row],[RepsWithStatObserved]],1,0)</f>
        <v>1</v>
      </c>
    </row>
    <row r="232" spans="1:25" x14ac:dyDescent="0.2">
      <c r="A232" t="s">
        <v>67</v>
      </c>
      <c r="B232" t="s">
        <v>70</v>
      </c>
      <c r="C232">
        <v>21</v>
      </c>
      <c r="D232" t="s">
        <v>82</v>
      </c>
      <c r="E232" t="s">
        <v>72</v>
      </c>
      <c r="F232" t="s">
        <v>73</v>
      </c>
      <c r="G232">
        <v>1.60559969481326</v>
      </c>
      <c r="H232">
        <v>2E+20</v>
      </c>
      <c r="I232">
        <v>0</v>
      </c>
      <c r="J232">
        <v>17.8207877466082</v>
      </c>
      <c r="K232">
        <v>284</v>
      </c>
      <c r="L232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32" cm="1">
        <f t="array" ref="M232">MAX(IF((ProjectInfoTable[ProjectName]=DiscreteStatsTable[[#This Row],[ProjectName]]),(ProjectInfoTable[ProjectName]=DiscreteStatsTable[[#This Row],[ProjectName]])*ProjectInfoTable[NumberOfReplications]))</f>
        <v>30</v>
      </c>
      <c r="N232" cm="1">
        <f t="array" ref="N232">IFERROR(AVERAGE(IF((DiscreteStatsTable[GroupByKey]=DiscreteStatsTable[[#This Row],[GroupByKey]]),(DiscreteStatsTable[GroupByKey]=DiscreteStatsTable[[#This Row],[GroupByKey]])*DiscreteStatsTable[Average])),0)</f>
        <v>1.3983369990297625</v>
      </c>
      <c r="O232" cm="1">
        <f t="array" ref="O232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32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32" cm="1">
        <f t="array" ref="R232">MIN(IF((DiscreteStatsTable[GroupByKey]=DiscreteStatsTable[[#This Row],[GroupByKey]]),(DiscreteStatsTable[GroupByKey]=DiscreteStatsTable[[#This Row],[GroupByKey]])*DiscreteStatsTable[Average]))</f>
        <v>0.62370245189172402</v>
      </c>
      <c r="S232" cm="1">
        <f t="array" ref="S232">MAX(IF((DiscreteStatsTable[GroupByKey]=DiscreteStatsTable[[#This Row],[GroupByKey]]),(DiscreteStatsTable[GroupByKey]=DiscreteStatsTable[[#This Row],[GroupByKey]])*DiscreteStatsTable[Average]))</f>
        <v>2.2729191308574102</v>
      </c>
      <c r="T232" cm="1">
        <f t="array" ref="T232">MIN(IF((DiscreteStatsTable[GroupByKey]=DiscreteStatsTable[[#This Row],[GroupByKey]]),(DiscreteStatsTable[GroupByKey]=DiscreteStatsTable[[#This Row],[GroupByKey]])*DiscreteStatsTable[Minimum]))</f>
        <v>0</v>
      </c>
      <c r="U232" cm="1">
        <f t="array" ref="U232">MAX(IF((DiscreteStatsTable[GroupByKey]=DiscreteStatsTable[[#This Row],[GroupByKey]]),(DiscreteStatsTable[GroupByKey]=DiscreteStatsTable[[#This Row],[GroupByKey]])*DiscreteStatsTable[Maximum]))</f>
        <v>30.239944815467201</v>
      </c>
      <c r="V232" cm="1">
        <f t="array" ref="V232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32">
        <f>IF((DiscreteStatsTable[[#This Row],[RepsRequested]]&gt;1),DiscreteStatsTable[[#This Row],[HalfWidth]],DiscreteStatsTable[[#This Row],[BatchMeansHalfWidth]])</f>
        <v>0.14224351254961343</v>
      </c>
      <c r="X232" cm="1">
        <f t="array" ref="X232">COUNT(IF((DiscreteStatsTable[GroupByKey]=DiscreteStatsTable[[#This Row],[GroupByKey]]),(DiscreteStatsTable[GroupByKey]=DiscreteStatsTable[[#This Row],[GroupByKey]])*DiscreteStatsTable[Replication]))</f>
        <v>30</v>
      </c>
      <c r="Y232">
        <f>IF(DiscreteStatsTable[[#This Row],[RepsRequested]]=DiscreteStatsTable[[#This Row],[RepsWithStatObserved]],1,0)</f>
        <v>1</v>
      </c>
    </row>
    <row r="233" spans="1:25" x14ac:dyDescent="0.2">
      <c r="A233" t="s">
        <v>67</v>
      </c>
      <c r="B233" t="s">
        <v>70</v>
      </c>
      <c r="C233">
        <v>22</v>
      </c>
      <c r="D233" t="s">
        <v>82</v>
      </c>
      <c r="E233" t="s">
        <v>72</v>
      </c>
      <c r="F233" t="s">
        <v>73</v>
      </c>
      <c r="G233">
        <v>1.56865952352167</v>
      </c>
      <c r="H233">
        <v>2E+20</v>
      </c>
      <c r="I233">
        <v>0</v>
      </c>
      <c r="J233">
        <v>17.928957147730699</v>
      </c>
      <c r="K233">
        <v>282</v>
      </c>
      <c r="L233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33" cm="1">
        <f t="array" ref="M233">MAX(IF((ProjectInfoTable[ProjectName]=DiscreteStatsTable[[#This Row],[ProjectName]]),(ProjectInfoTable[ProjectName]=DiscreteStatsTable[[#This Row],[ProjectName]])*ProjectInfoTable[NumberOfReplications]))</f>
        <v>30</v>
      </c>
      <c r="N233" cm="1">
        <f t="array" ref="N233">IFERROR(AVERAGE(IF((DiscreteStatsTable[GroupByKey]=DiscreteStatsTable[[#This Row],[GroupByKey]]),(DiscreteStatsTable[GroupByKey]=DiscreteStatsTable[[#This Row],[GroupByKey]])*DiscreteStatsTable[Average])),0)</f>
        <v>1.3983369990297625</v>
      </c>
      <c r="O233" cm="1">
        <f t="array" ref="O233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33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33" cm="1">
        <f t="array" ref="R233">MIN(IF((DiscreteStatsTable[GroupByKey]=DiscreteStatsTable[[#This Row],[GroupByKey]]),(DiscreteStatsTable[GroupByKey]=DiscreteStatsTable[[#This Row],[GroupByKey]])*DiscreteStatsTable[Average]))</f>
        <v>0.62370245189172402</v>
      </c>
      <c r="S233" cm="1">
        <f t="array" ref="S233">MAX(IF((DiscreteStatsTable[GroupByKey]=DiscreteStatsTable[[#This Row],[GroupByKey]]),(DiscreteStatsTable[GroupByKey]=DiscreteStatsTable[[#This Row],[GroupByKey]])*DiscreteStatsTable[Average]))</f>
        <v>2.2729191308574102</v>
      </c>
      <c r="T233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cm="1">
        <f t="array" ref="U233">MAX(IF((DiscreteStatsTable[GroupByKey]=DiscreteStatsTable[[#This Row],[GroupByKey]]),(DiscreteStatsTable[GroupByKey]=DiscreteStatsTable[[#This Row],[GroupByKey]])*DiscreteStatsTable[Maximum]))</f>
        <v>30.239944815467201</v>
      </c>
      <c r="V233" cm="1">
        <f t="array" ref="V233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33">
        <f>IF((DiscreteStatsTable[[#This Row],[RepsRequested]]&gt;1),DiscreteStatsTable[[#This Row],[HalfWidth]],DiscreteStatsTable[[#This Row],[BatchMeansHalfWidth]])</f>
        <v>0.14224351254961343</v>
      </c>
      <c r="X233" cm="1">
        <f t="array" ref="X233">COUNT(IF((DiscreteStatsTable[GroupByKey]=DiscreteStatsTable[[#This Row],[GroupByKey]]),(DiscreteStatsTable[GroupByKey]=DiscreteStatsTable[[#This Row],[GroupByKey]])*DiscreteStatsTable[Replication]))</f>
        <v>30</v>
      </c>
      <c r="Y233">
        <f>IF(DiscreteStatsTable[[#This Row],[RepsRequested]]=DiscreteStatsTable[[#This Row],[RepsWithStatObserved]],1,0)</f>
        <v>1</v>
      </c>
    </row>
    <row r="234" spans="1:25" x14ac:dyDescent="0.2">
      <c r="A234" t="s">
        <v>67</v>
      </c>
      <c r="B234" t="s">
        <v>70</v>
      </c>
      <c r="C234">
        <v>23</v>
      </c>
      <c r="D234" t="s">
        <v>82</v>
      </c>
      <c r="E234" t="s">
        <v>72</v>
      </c>
      <c r="F234" t="s">
        <v>73</v>
      </c>
      <c r="G234">
        <v>1.38515309915617</v>
      </c>
      <c r="H234">
        <v>2E+20</v>
      </c>
      <c r="I234">
        <v>0</v>
      </c>
      <c r="J234">
        <v>15.5029790722137</v>
      </c>
      <c r="K234">
        <v>280</v>
      </c>
      <c r="L234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34" cm="1">
        <f t="array" ref="M234">MAX(IF((ProjectInfoTable[ProjectName]=DiscreteStatsTable[[#This Row],[ProjectName]]),(ProjectInfoTable[ProjectName]=DiscreteStatsTable[[#This Row],[ProjectName]])*ProjectInfoTable[NumberOfReplications]))</f>
        <v>30</v>
      </c>
      <c r="N234" cm="1">
        <f t="array" ref="N234">IFERROR(AVERAGE(IF((DiscreteStatsTable[GroupByKey]=DiscreteStatsTable[[#This Row],[GroupByKey]]),(DiscreteStatsTable[GroupByKey]=DiscreteStatsTable[[#This Row],[GroupByKey]])*DiscreteStatsTable[Average])),0)</f>
        <v>1.3983369990297625</v>
      </c>
      <c r="O234" cm="1">
        <f t="array" ref="O234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34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34" cm="1">
        <f t="array" ref="R234">MIN(IF((DiscreteStatsTable[GroupByKey]=DiscreteStatsTable[[#This Row],[GroupByKey]]),(DiscreteStatsTable[GroupByKey]=DiscreteStatsTable[[#This Row],[GroupByKey]])*DiscreteStatsTable[Average]))</f>
        <v>0.62370245189172402</v>
      </c>
      <c r="S234" cm="1">
        <f t="array" ref="S234">MAX(IF((DiscreteStatsTable[GroupByKey]=DiscreteStatsTable[[#This Row],[GroupByKey]]),(DiscreteStatsTable[GroupByKey]=DiscreteStatsTable[[#This Row],[GroupByKey]])*DiscreteStatsTable[Average]))</f>
        <v>2.2729191308574102</v>
      </c>
      <c r="T234" cm="1">
        <f t="array" ref="T234">MIN(IF((DiscreteStatsTable[GroupByKey]=DiscreteStatsTable[[#This Row],[GroupByKey]]),(DiscreteStatsTable[GroupByKey]=DiscreteStatsTable[[#This Row],[GroupByKey]])*DiscreteStatsTable[Minimum]))</f>
        <v>0</v>
      </c>
      <c r="U234" cm="1">
        <f t="array" ref="U234">MAX(IF((DiscreteStatsTable[GroupByKey]=DiscreteStatsTable[[#This Row],[GroupByKey]]),(DiscreteStatsTable[GroupByKey]=DiscreteStatsTable[[#This Row],[GroupByKey]])*DiscreteStatsTable[Maximum]))</f>
        <v>30.239944815467201</v>
      </c>
      <c r="V234" cm="1">
        <f t="array" ref="V234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34">
        <f>IF((DiscreteStatsTable[[#This Row],[RepsRequested]]&gt;1),DiscreteStatsTable[[#This Row],[HalfWidth]],DiscreteStatsTable[[#This Row],[BatchMeansHalfWidth]])</f>
        <v>0.14224351254961343</v>
      </c>
      <c r="X234" cm="1">
        <f t="array" ref="X234">COUNT(IF((DiscreteStatsTable[GroupByKey]=DiscreteStatsTable[[#This Row],[GroupByKey]]),(DiscreteStatsTable[GroupByKey]=DiscreteStatsTable[[#This Row],[GroupByKey]])*DiscreteStatsTable[Replication]))</f>
        <v>30</v>
      </c>
      <c r="Y234">
        <f>IF(DiscreteStatsTable[[#This Row],[RepsRequested]]=DiscreteStatsTable[[#This Row],[RepsWithStatObserved]],1,0)</f>
        <v>1</v>
      </c>
    </row>
    <row r="235" spans="1:25" x14ac:dyDescent="0.2">
      <c r="A235" t="s">
        <v>67</v>
      </c>
      <c r="B235" t="s">
        <v>70</v>
      </c>
      <c r="C235">
        <v>24</v>
      </c>
      <c r="D235" t="s">
        <v>82</v>
      </c>
      <c r="E235" t="s">
        <v>72</v>
      </c>
      <c r="F235" t="s">
        <v>73</v>
      </c>
      <c r="G235">
        <v>1.8580084211308601</v>
      </c>
      <c r="H235">
        <v>2E+20</v>
      </c>
      <c r="I235">
        <v>0</v>
      </c>
      <c r="J235">
        <v>15.7736327561877</v>
      </c>
      <c r="K235">
        <v>296</v>
      </c>
      <c r="L235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35" cm="1">
        <f t="array" ref="M235">MAX(IF((ProjectInfoTable[ProjectName]=DiscreteStatsTable[[#This Row],[ProjectName]]),(ProjectInfoTable[ProjectName]=DiscreteStatsTable[[#This Row],[ProjectName]])*ProjectInfoTable[NumberOfReplications]))</f>
        <v>30</v>
      </c>
      <c r="N235" cm="1">
        <f t="array" ref="N235">IFERROR(AVERAGE(IF((DiscreteStatsTable[GroupByKey]=DiscreteStatsTable[[#This Row],[GroupByKey]]),(DiscreteStatsTable[GroupByKey]=DiscreteStatsTable[[#This Row],[GroupByKey]])*DiscreteStatsTable[Average])),0)</f>
        <v>1.3983369990297625</v>
      </c>
      <c r="O235" cm="1">
        <f t="array" ref="O235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3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35" cm="1">
        <f t="array" ref="R235">MIN(IF((DiscreteStatsTable[GroupByKey]=DiscreteStatsTable[[#This Row],[GroupByKey]]),(DiscreteStatsTable[GroupByKey]=DiscreteStatsTable[[#This Row],[GroupByKey]])*DiscreteStatsTable[Average]))</f>
        <v>0.62370245189172402</v>
      </c>
      <c r="S235" cm="1">
        <f t="array" ref="S235">MAX(IF((DiscreteStatsTable[GroupByKey]=DiscreteStatsTable[[#This Row],[GroupByKey]]),(DiscreteStatsTable[GroupByKey]=DiscreteStatsTable[[#This Row],[GroupByKey]])*DiscreteStatsTable[Average]))</f>
        <v>2.2729191308574102</v>
      </c>
      <c r="T23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cm="1">
        <f t="array" ref="U235">MAX(IF((DiscreteStatsTable[GroupByKey]=DiscreteStatsTable[[#This Row],[GroupByKey]]),(DiscreteStatsTable[GroupByKey]=DiscreteStatsTable[[#This Row],[GroupByKey]])*DiscreteStatsTable[Maximum]))</f>
        <v>30.239944815467201</v>
      </c>
      <c r="V235" cm="1">
        <f t="array" ref="V235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35">
        <f>IF((DiscreteStatsTable[[#This Row],[RepsRequested]]&gt;1),DiscreteStatsTable[[#This Row],[HalfWidth]],DiscreteStatsTable[[#This Row],[BatchMeansHalfWidth]])</f>
        <v>0.14224351254961343</v>
      </c>
      <c r="X235" cm="1">
        <f t="array" ref="X235">COUNT(IF((DiscreteStatsTable[GroupByKey]=DiscreteStatsTable[[#This Row],[GroupByKey]]),(DiscreteStatsTable[GroupByKey]=DiscreteStatsTable[[#This Row],[GroupByKey]])*DiscreteStatsTable[Replication]))</f>
        <v>30</v>
      </c>
      <c r="Y235">
        <f>IF(DiscreteStatsTable[[#This Row],[RepsRequested]]=DiscreteStatsTable[[#This Row],[RepsWithStatObserved]],1,0)</f>
        <v>1</v>
      </c>
    </row>
    <row r="236" spans="1:25" x14ac:dyDescent="0.2">
      <c r="A236" t="s">
        <v>67</v>
      </c>
      <c r="B236" t="s">
        <v>70</v>
      </c>
      <c r="C236">
        <v>25</v>
      </c>
      <c r="D236" t="s">
        <v>82</v>
      </c>
      <c r="E236" t="s">
        <v>72</v>
      </c>
      <c r="F236" t="s">
        <v>73</v>
      </c>
      <c r="G236">
        <v>1.50490047423587</v>
      </c>
      <c r="H236">
        <v>2E+20</v>
      </c>
      <c r="I236">
        <v>0</v>
      </c>
      <c r="J236">
        <v>15.8542289769572</v>
      </c>
      <c r="K236">
        <v>300</v>
      </c>
      <c r="L236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36" cm="1">
        <f t="array" ref="M236">MAX(IF((ProjectInfoTable[ProjectName]=DiscreteStatsTable[[#This Row],[ProjectName]]),(ProjectInfoTable[ProjectName]=DiscreteStatsTable[[#This Row],[ProjectName]])*ProjectInfoTable[NumberOfReplications]))</f>
        <v>30</v>
      </c>
      <c r="N236" cm="1">
        <f t="array" ref="N236">IFERROR(AVERAGE(IF((DiscreteStatsTable[GroupByKey]=DiscreteStatsTable[[#This Row],[GroupByKey]]),(DiscreteStatsTable[GroupByKey]=DiscreteStatsTable[[#This Row],[GroupByKey]])*DiscreteStatsTable[Average])),0)</f>
        <v>1.3983369990297625</v>
      </c>
      <c r="O236" cm="1">
        <f t="array" ref="O236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36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36" cm="1">
        <f t="array" ref="R236">MIN(IF((DiscreteStatsTable[GroupByKey]=DiscreteStatsTable[[#This Row],[GroupByKey]]),(DiscreteStatsTable[GroupByKey]=DiscreteStatsTable[[#This Row],[GroupByKey]])*DiscreteStatsTable[Average]))</f>
        <v>0.62370245189172402</v>
      </c>
      <c r="S236" cm="1">
        <f t="array" ref="S236">MAX(IF((DiscreteStatsTable[GroupByKey]=DiscreteStatsTable[[#This Row],[GroupByKey]]),(DiscreteStatsTable[GroupByKey]=DiscreteStatsTable[[#This Row],[GroupByKey]])*DiscreteStatsTable[Average]))</f>
        <v>2.2729191308574102</v>
      </c>
      <c r="T236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cm="1">
        <f t="array" ref="U236">MAX(IF((DiscreteStatsTable[GroupByKey]=DiscreteStatsTable[[#This Row],[GroupByKey]]),(DiscreteStatsTable[GroupByKey]=DiscreteStatsTable[[#This Row],[GroupByKey]])*DiscreteStatsTable[Maximum]))</f>
        <v>30.239944815467201</v>
      </c>
      <c r="V236" cm="1">
        <f t="array" ref="V236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36">
        <f>IF((DiscreteStatsTable[[#This Row],[RepsRequested]]&gt;1),DiscreteStatsTable[[#This Row],[HalfWidth]],DiscreteStatsTable[[#This Row],[BatchMeansHalfWidth]])</f>
        <v>0.14224351254961343</v>
      </c>
      <c r="X236" cm="1">
        <f t="array" ref="X236">COUNT(IF((DiscreteStatsTable[GroupByKey]=DiscreteStatsTable[[#This Row],[GroupByKey]]),(DiscreteStatsTable[GroupByKey]=DiscreteStatsTable[[#This Row],[GroupByKey]])*DiscreteStatsTable[Replication]))</f>
        <v>30</v>
      </c>
      <c r="Y236">
        <f>IF(DiscreteStatsTable[[#This Row],[RepsRequested]]=DiscreteStatsTable[[#This Row],[RepsWithStatObserved]],1,0)</f>
        <v>1</v>
      </c>
    </row>
    <row r="237" spans="1:25" x14ac:dyDescent="0.2">
      <c r="A237" t="s">
        <v>67</v>
      </c>
      <c r="B237" t="s">
        <v>70</v>
      </c>
      <c r="C237">
        <v>26</v>
      </c>
      <c r="D237" t="s">
        <v>82</v>
      </c>
      <c r="E237" t="s">
        <v>72</v>
      </c>
      <c r="F237" t="s">
        <v>73</v>
      </c>
      <c r="G237">
        <v>0.87405579377787401</v>
      </c>
      <c r="H237">
        <v>2E+20</v>
      </c>
      <c r="I237">
        <v>0</v>
      </c>
      <c r="J237">
        <v>7.7673034509114096</v>
      </c>
      <c r="K237">
        <v>274</v>
      </c>
      <c r="L237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37" cm="1">
        <f t="array" ref="M237">MAX(IF((ProjectInfoTable[ProjectName]=DiscreteStatsTable[[#This Row],[ProjectName]]),(ProjectInfoTable[ProjectName]=DiscreteStatsTable[[#This Row],[ProjectName]])*ProjectInfoTable[NumberOfReplications]))</f>
        <v>30</v>
      </c>
      <c r="N237" cm="1">
        <f t="array" ref="N237">IFERROR(AVERAGE(IF((DiscreteStatsTable[GroupByKey]=DiscreteStatsTable[[#This Row],[GroupByKey]]),(DiscreteStatsTable[GroupByKey]=DiscreteStatsTable[[#This Row],[GroupByKey]])*DiscreteStatsTable[Average])),0)</f>
        <v>1.3983369990297625</v>
      </c>
      <c r="O237" cm="1">
        <f t="array" ref="O237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37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37" cm="1">
        <f t="array" ref="R237">MIN(IF((DiscreteStatsTable[GroupByKey]=DiscreteStatsTable[[#This Row],[GroupByKey]]),(DiscreteStatsTable[GroupByKey]=DiscreteStatsTable[[#This Row],[GroupByKey]])*DiscreteStatsTable[Average]))</f>
        <v>0.62370245189172402</v>
      </c>
      <c r="S237" cm="1">
        <f t="array" ref="S237">MAX(IF((DiscreteStatsTable[GroupByKey]=DiscreteStatsTable[[#This Row],[GroupByKey]]),(DiscreteStatsTable[GroupByKey]=DiscreteStatsTable[[#This Row],[GroupByKey]])*DiscreteStatsTable[Average]))</f>
        <v>2.2729191308574102</v>
      </c>
      <c r="T237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cm="1">
        <f t="array" ref="U237">MAX(IF((DiscreteStatsTable[GroupByKey]=DiscreteStatsTable[[#This Row],[GroupByKey]]),(DiscreteStatsTable[GroupByKey]=DiscreteStatsTable[[#This Row],[GroupByKey]])*DiscreteStatsTable[Maximum]))</f>
        <v>30.239944815467201</v>
      </c>
      <c r="V237" cm="1">
        <f t="array" ref="V237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37">
        <f>IF((DiscreteStatsTable[[#This Row],[RepsRequested]]&gt;1),DiscreteStatsTable[[#This Row],[HalfWidth]],DiscreteStatsTable[[#This Row],[BatchMeansHalfWidth]])</f>
        <v>0.14224351254961343</v>
      </c>
      <c r="X237" cm="1">
        <f t="array" ref="X237">COUNT(IF((DiscreteStatsTable[GroupByKey]=DiscreteStatsTable[[#This Row],[GroupByKey]]),(DiscreteStatsTable[GroupByKey]=DiscreteStatsTable[[#This Row],[GroupByKey]])*DiscreteStatsTable[Replication]))</f>
        <v>30</v>
      </c>
      <c r="Y237">
        <f>IF(DiscreteStatsTable[[#This Row],[RepsRequested]]=DiscreteStatsTable[[#This Row],[RepsWithStatObserved]],1,0)</f>
        <v>1</v>
      </c>
    </row>
    <row r="238" spans="1:25" x14ac:dyDescent="0.2">
      <c r="A238" t="s">
        <v>67</v>
      </c>
      <c r="B238" t="s">
        <v>70</v>
      </c>
      <c r="C238">
        <v>27</v>
      </c>
      <c r="D238" t="s">
        <v>82</v>
      </c>
      <c r="E238" t="s">
        <v>72</v>
      </c>
      <c r="F238" t="s">
        <v>73</v>
      </c>
      <c r="G238">
        <v>0.62370245189172402</v>
      </c>
      <c r="H238">
        <v>2E+20</v>
      </c>
      <c r="I238">
        <v>0</v>
      </c>
      <c r="J238">
        <v>10.672104265055699</v>
      </c>
      <c r="K238">
        <v>272</v>
      </c>
      <c r="L238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38" cm="1">
        <f t="array" ref="M238">MAX(IF((ProjectInfoTable[ProjectName]=DiscreteStatsTable[[#This Row],[ProjectName]]),(ProjectInfoTable[ProjectName]=DiscreteStatsTable[[#This Row],[ProjectName]])*ProjectInfoTable[NumberOfReplications]))</f>
        <v>30</v>
      </c>
      <c r="N238" cm="1">
        <f t="array" ref="N238">IFERROR(AVERAGE(IF((DiscreteStatsTable[GroupByKey]=DiscreteStatsTable[[#This Row],[GroupByKey]]),(DiscreteStatsTable[GroupByKey]=DiscreteStatsTable[[#This Row],[GroupByKey]])*DiscreteStatsTable[Average])),0)</f>
        <v>1.3983369990297625</v>
      </c>
      <c r="O238" cm="1">
        <f t="array" ref="O238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38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38" cm="1">
        <f t="array" ref="R238">MIN(IF((DiscreteStatsTable[GroupByKey]=DiscreteStatsTable[[#This Row],[GroupByKey]]),(DiscreteStatsTable[GroupByKey]=DiscreteStatsTable[[#This Row],[GroupByKey]])*DiscreteStatsTable[Average]))</f>
        <v>0.62370245189172402</v>
      </c>
      <c r="S238" cm="1">
        <f t="array" ref="S238">MAX(IF((DiscreteStatsTable[GroupByKey]=DiscreteStatsTable[[#This Row],[GroupByKey]]),(DiscreteStatsTable[GroupByKey]=DiscreteStatsTable[[#This Row],[GroupByKey]])*DiscreteStatsTable[Average]))</f>
        <v>2.2729191308574102</v>
      </c>
      <c r="T238" cm="1">
        <f t="array" ref="T238">MIN(IF((DiscreteStatsTable[GroupByKey]=DiscreteStatsTable[[#This Row],[GroupByKey]]),(DiscreteStatsTable[GroupByKey]=DiscreteStatsTable[[#This Row],[GroupByKey]])*DiscreteStatsTable[Minimum]))</f>
        <v>0</v>
      </c>
      <c r="U238" cm="1">
        <f t="array" ref="U238">MAX(IF((DiscreteStatsTable[GroupByKey]=DiscreteStatsTable[[#This Row],[GroupByKey]]),(DiscreteStatsTable[GroupByKey]=DiscreteStatsTable[[#This Row],[GroupByKey]])*DiscreteStatsTable[Maximum]))</f>
        <v>30.239944815467201</v>
      </c>
      <c r="V238" cm="1">
        <f t="array" ref="V238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38">
        <f>IF((DiscreteStatsTable[[#This Row],[RepsRequested]]&gt;1),DiscreteStatsTable[[#This Row],[HalfWidth]],DiscreteStatsTable[[#This Row],[BatchMeansHalfWidth]])</f>
        <v>0.14224351254961343</v>
      </c>
      <c r="X238" cm="1">
        <f t="array" ref="X238">COUNT(IF((DiscreteStatsTable[GroupByKey]=DiscreteStatsTable[[#This Row],[GroupByKey]]),(DiscreteStatsTable[GroupByKey]=DiscreteStatsTable[[#This Row],[GroupByKey]])*DiscreteStatsTable[Replication]))</f>
        <v>30</v>
      </c>
      <c r="Y238">
        <f>IF(DiscreteStatsTable[[#This Row],[RepsRequested]]=DiscreteStatsTable[[#This Row],[RepsWithStatObserved]],1,0)</f>
        <v>1</v>
      </c>
    </row>
    <row r="239" spans="1:25" x14ac:dyDescent="0.2">
      <c r="A239" t="s">
        <v>67</v>
      </c>
      <c r="B239" t="s">
        <v>70</v>
      </c>
      <c r="C239">
        <v>28</v>
      </c>
      <c r="D239" t="s">
        <v>82</v>
      </c>
      <c r="E239" t="s">
        <v>72</v>
      </c>
      <c r="F239" t="s">
        <v>73</v>
      </c>
      <c r="G239">
        <v>1.3048351468484001</v>
      </c>
      <c r="H239">
        <v>2E+20</v>
      </c>
      <c r="I239">
        <v>0</v>
      </c>
      <c r="J239">
        <v>13.008607007238499</v>
      </c>
      <c r="K239">
        <v>267</v>
      </c>
      <c r="L239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39" cm="1">
        <f t="array" ref="M239">MAX(IF((ProjectInfoTable[ProjectName]=DiscreteStatsTable[[#This Row],[ProjectName]]),(ProjectInfoTable[ProjectName]=DiscreteStatsTable[[#This Row],[ProjectName]])*ProjectInfoTable[NumberOfReplications]))</f>
        <v>30</v>
      </c>
      <c r="N239" cm="1">
        <f t="array" ref="N239">IFERROR(AVERAGE(IF((DiscreteStatsTable[GroupByKey]=DiscreteStatsTable[[#This Row],[GroupByKey]]),(DiscreteStatsTable[GroupByKey]=DiscreteStatsTable[[#This Row],[GroupByKey]])*DiscreteStatsTable[Average])),0)</f>
        <v>1.3983369990297625</v>
      </c>
      <c r="O239" cm="1">
        <f t="array" ref="O239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39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39" cm="1">
        <f t="array" ref="R239">MIN(IF((DiscreteStatsTable[GroupByKey]=DiscreteStatsTable[[#This Row],[GroupByKey]]),(DiscreteStatsTable[GroupByKey]=DiscreteStatsTable[[#This Row],[GroupByKey]])*DiscreteStatsTable[Average]))</f>
        <v>0.62370245189172402</v>
      </c>
      <c r="S239" cm="1">
        <f t="array" ref="S239">MAX(IF((DiscreteStatsTable[GroupByKey]=DiscreteStatsTable[[#This Row],[GroupByKey]]),(DiscreteStatsTable[GroupByKey]=DiscreteStatsTable[[#This Row],[GroupByKey]])*DiscreteStatsTable[Average]))</f>
        <v>2.2729191308574102</v>
      </c>
      <c r="T239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cm="1">
        <f t="array" ref="U239">MAX(IF((DiscreteStatsTable[GroupByKey]=DiscreteStatsTable[[#This Row],[GroupByKey]]),(DiscreteStatsTable[GroupByKey]=DiscreteStatsTable[[#This Row],[GroupByKey]])*DiscreteStatsTable[Maximum]))</f>
        <v>30.239944815467201</v>
      </c>
      <c r="V239" cm="1">
        <f t="array" ref="V239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39">
        <f>IF((DiscreteStatsTable[[#This Row],[RepsRequested]]&gt;1),DiscreteStatsTable[[#This Row],[HalfWidth]],DiscreteStatsTable[[#This Row],[BatchMeansHalfWidth]])</f>
        <v>0.14224351254961343</v>
      </c>
      <c r="X239" cm="1">
        <f t="array" ref="X239">COUNT(IF((DiscreteStatsTable[GroupByKey]=DiscreteStatsTable[[#This Row],[GroupByKey]]),(DiscreteStatsTable[GroupByKey]=DiscreteStatsTable[[#This Row],[GroupByKey]])*DiscreteStatsTable[Replication]))</f>
        <v>30</v>
      </c>
      <c r="Y239">
        <f>IF(DiscreteStatsTable[[#This Row],[RepsRequested]]=DiscreteStatsTable[[#This Row],[RepsWithStatObserved]],1,0)</f>
        <v>1</v>
      </c>
    </row>
    <row r="240" spans="1:25" x14ac:dyDescent="0.2">
      <c r="A240" t="s">
        <v>67</v>
      </c>
      <c r="B240" t="s">
        <v>70</v>
      </c>
      <c r="C240">
        <v>29</v>
      </c>
      <c r="D240" t="s">
        <v>82</v>
      </c>
      <c r="E240" t="s">
        <v>72</v>
      </c>
      <c r="F240" t="s">
        <v>73</v>
      </c>
      <c r="G240">
        <v>1.6213994087561701</v>
      </c>
      <c r="H240">
        <v>2E+20</v>
      </c>
      <c r="I240">
        <v>0</v>
      </c>
      <c r="J240">
        <v>17.690941070085699</v>
      </c>
      <c r="K240">
        <v>302</v>
      </c>
      <c r="L240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40" cm="1">
        <f t="array" ref="M240">MAX(IF((ProjectInfoTable[ProjectName]=DiscreteStatsTable[[#This Row],[ProjectName]]),(ProjectInfoTable[ProjectName]=DiscreteStatsTable[[#This Row],[ProjectName]])*ProjectInfoTable[NumberOfReplications]))</f>
        <v>30</v>
      </c>
      <c r="N240" cm="1">
        <f t="array" ref="N240">IFERROR(AVERAGE(IF((DiscreteStatsTable[GroupByKey]=DiscreteStatsTable[[#This Row],[GroupByKey]]),(DiscreteStatsTable[GroupByKey]=DiscreteStatsTable[[#This Row],[GroupByKey]])*DiscreteStatsTable[Average])),0)</f>
        <v>1.3983369990297625</v>
      </c>
      <c r="O240" cm="1">
        <f t="array" ref="O240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40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40" cm="1">
        <f t="array" ref="R240">MIN(IF((DiscreteStatsTable[GroupByKey]=DiscreteStatsTable[[#This Row],[GroupByKey]]),(DiscreteStatsTable[GroupByKey]=DiscreteStatsTable[[#This Row],[GroupByKey]])*DiscreteStatsTable[Average]))</f>
        <v>0.62370245189172402</v>
      </c>
      <c r="S240" cm="1">
        <f t="array" ref="S240">MAX(IF((DiscreteStatsTable[GroupByKey]=DiscreteStatsTable[[#This Row],[GroupByKey]]),(DiscreteStatsTable[GroupByKey]=DiscreteStatsTable[[#This Row],[GroupByKey]])*DiscreteStatsTable[Average]))</f>
        <v>2.2729191308574102</v>
      </c>
      <c r="T240" cm="1">
        <f t="array" ref="T240">MIN(IF((DiscreteStatsTable[GroupByKey]=DiscreteStatsTable[[#This Row],[GroupByKey]]),(DiscreteStatsTable[GroupByKey]=DiscreteStatsTable[[#This Row],[GroupByKey]])*DiscreteStatsTable[Minimum]))</f>
        <v>0</v>
      </c>
      <c r="U240" cm="1">
        <f t="array" ref="U240">MAX(IF((DiscreteStatsTable[GroupByKey]=DiscreteStatsTable[[#This Row],[GroupByKey]]),(DiscreteStatsTable[GroupByKey]=DiscreteStatsTable[[#This Row],[GroupByKey]])*DiscreteStatsTable[Maximum]))</f>
        <v>30.239944815467201</v>
      </c>
      <c r="V240" cm="1">
        <f t="array" ref="V240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40">
        <f>IF((DiscreteStatsTable[[#This Row],[RepsRequested]]&gt;1),DiscreteStatsTable[[#This Row],[HalfWidth]],DiscreteStatsTable[[#This Row],[BatchMeansHalfWidth]])</f>
        <v>0.14224351254961343</v>
      </c>
      <c r="X240" cm="1">
        <f t="array" ref="X240">COUNT(IF((DiscreteStatsTable[GroupByKey]=DiscreteStatsTable[[#This Row],[GroupByKey]]),(DiscreteStatsTable[GroupByKey]=DiscreteStatsTable[[#This Row],[GroupByKey]])*DiscreteStatsTable[Replication]))</f>
        <v>30</v>
      </c>
      <c r="Y240">
        <f>IF(DiscreteStatsTable[[#This Row],[RepsRequested]]=DiscreteStatsTable[[#This Row],[RepsWithStatObserved]],1,0)</f>
        <v>1</v>
      </c>
    </row>
    <row r="241" spans="1:25" x14ac:dyDescent="0.2">
      <c r="A241" t="s">
        <v>67</v>
      </c>
      <c r="B241" t="s">
        <v>70</v>
      </c>
      <c r="C241">
        <v>30</v>
      </c>
      <c r="D241" t="s">
        <v>82</v>
      </c>
      <c r="E241" t="s">
        <v>72</v>
      </c>
      <c r="F241" t="s">
        <v>73</v>
      </c>
      <c r="G241">
        <v>1.2952713328415599</v>
      </c>
      <c r="H241">
        <v>2E+20</v>
      </c>
      <c r="I241">
        <v>0</v>
      </c>
      <c r="J241">
        <v>15.0145000901957</v>
      </c>
      <c r="K241">
        <v>270</v>
      </c>
      <c r="L241" t="str">
        <f>DiscreteStatsTable[[#This Row],[ProjectName]]&amp;DiscreteStatsTable[[#This Row],[Name]]&amp;DiscreteStatsTable[[#This Row],[Type]]&amp;DiscreteStatsTable[[#This Row],[Source]]</f>
        <v>Unnamed ProjectFood_Preparation.QueueWaiting TimeQueue</v>
      </c>
      <c r="M241" cm="1">
        <f t="array" ref="M241">MAX(IF((ProjectInfoTable[ProjectName]=DiscreteStatsTable[[#This Row],[ProjectName]]),(ProjectInfoTable[ProjectName]=DiscreteStatsTable[[#This Row],[ProjectName]])*ProjectInfoTable[NumberOfReplications]))</f>
        <v>30</v>
      </c>
      <c r="N241" cm="1">
        <f t="array" ref="N241">IFERROR(AVERAGE(IF((DiscreteStatsTable[GroupByKey]=DiscreteStatsTable[[#This Row],[GroupByKey]]),(DiscreteStatsTable[GroupByKey]=DiscreteStatsTable[[#This Row],[GroupByKey]])*DiscreteStatsTable[Average])),0)</f>
        <v>1.3983369990297625</v>
      </c>
      <c r="O241" cm="1">
        <f t="array" ref="O241">IFERROR(_xlfn.STDEV.S(IF((DiscreteStatsTable[GroupByKey]=DiscreteStatsTable[[#This Row],[GroupByKey]]),(DiscreteStatsTable[GroupByKey]=DiscreteStatsTable[[#This Row],[GroupByKey]])*DiscreteStatsTable[Average])),0)</f>
        <v>0.38093512277159397</v>
      </c>
      <c r="P241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0.14224351254961343</v>
      </c>
      <c r="R241" cm="1">
        <f t="array" ref="R241">MIN(IF((DiscreteStatsTable[GroupByKey]=DiscreteStatsTable[[#This Row],[GroupByKey]]),(DiscreteStatsTable[GroupByKey]=DiscreteStatsTable[[#This Row],[GroupByKey]])*DiscreteStatsTable[Average]))</f>
        <v>0.62370245189172402</v>
      </c>
      <c r="S241" cm="1">
        <f t="array" ref="S241">MAX(IF((DiscreteStatsTable[GroupByKey]=DiscreteStatsTable[[#This Row],[GroupByKey]]),(DiscreteStatsTable[GroupByKey]=DiscreteStatsTable[[#This Row],[GroupByKey]])*DiscreteStatsTable[Average]))</f>
        <v>2.2729191308574102</v>
      </c>
      <c r="T241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cm="1">
        <f t="array" ref="U241">MAX(IF((DiscreteStatsTable[GroupByKey]=DiscreteStatsTable[[#This Row],[GroupByKey]]),(DiscreteStatsTable[GroupByKey]=DiscreteStatsTable[[#This Row],[GroupByKey]])*DiscreteStatsTable[Maximum]))</f>
        <v>30.239944815467201</v>
      </c>
      <c r="V241" cm="1">
        <f t="array" ref="V241">IFERROR(AVERAGE(IF((DiscreteStatsTable[GroupByKey]=DiscreteStatsTable[[#This Row],[GroupByKey]]),(DiscreteStatsTable[GroupByKey]=DiscreteStatsTable[[#This Row],[GroupByKey]])*DiscreteStatsTable[NumberObservations])),0)</f>
        <v>285.66666666666669</v>
      </c>
      <c r="W241">
        <f>IF((DiscreteStatsTable[[#This Row],[RepsRequested]]&gt;1),DiscreteStatsTable[[#This Row],[HalfWidth]],DiscreteStatsTable[[#This Row],[BatchMeansHalfWidth]])</f>
        <v>0.14224351254961343</v>
      </c>
      <c r="X241" cm="1">
        <f t="array" ref="X241">COUNT(IF((DiscreteStatsTable[GroupByKey]=DiscreteStatsTable[[#This Row],[GroupByKey]]),(DiscreteStatsTable[GroupByKey]=DiscreteStatsTable[[#This Row],[GroupByKey]])*DiscreteStatsTable[Replication]))</f>
        <v>30</v>
      </c>
      <c r="Y241">
        <f>IF(DiscreteStatsTable[[#This Row],[RepsRequested]]=DiscreteStatsTable[[#This Row],[RepsWithStatObserved]],1,0)</f>
        <v>1</v>
      </c>
    </row>
    <row r="242" spans="1:25" x14ac:dyDescent="0.2">
      <c r="A242" t="s">
        <v>67</v>
      </c>
      <c r="B242" t="s">
        <v>70</v>
      </c>
      <c r="C242">
        <v>1</v>
      </c>
      <c r="D242" t="s">
        <v>86</v>
      </c>
      <c r="E242" t="s">
        <v>72</v>
      </c>
      <c r="F242" t="s">
        <v>73</v>
      </c>
      <c r="G242">
        <v>0</v>
      </c>
      <c r="H242">
        <v>0</v>
      </c>
      <c r="I242">
        <v>0</v>
      </c>
      <c r="J242">
        <v>0</v>
      </c>
      <c r="K242">
        <v>355</v>
      </c>
      <c r="L242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42" cm="1">
        <f t="array" ref="M242">MAX(IF((ProjectInfoTable[ProjectName]=DiscreteStatsTable[[#This Row],[ProjectName]]),(ProjectInfoTable[ProjectName]=DiscreteStatsTable[[#This Row],[ProjectName]])*ProjectInfoTable[NumberOfReplications]))</f>
        <v>30</v>
      </c>
      <c r="N242" cm="1">
        <f t="array" ref="N242">IFERROR(AVERAGE(IF((DiscreteStatsTable[GroupByKey]=DiscreteStatsTable[[#This Row],[GroupByKey]]),(DiscreteStatsTable[GroupByKey]=DiscreteStatsTable[[#This Row],[GroupByKey]])*DiscreteStatsTable[Average])),0)</f>
        <v>0</v>
      </c>
      <c r="O242" cm="1">
        <f t="array" ref="O242">IFERROR(_xlfn.STDEV.S(IF((DiscreteStatsTable[GroupByKey]=DiscreteStatsTable[[#This Row],[GroupByKey]]),(DiscreteStatsTable[GroupByKey]=DiscreteStatsTable[[#This Row],[GroupByKey]])*DiscreteStatsTable[Average])),0)</f>
        <v>0</v>
      </c>
      <c r="P242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2" cm="1">
        <f t="array" ref="R242">MIN(IF((DiscreteStatsTable[GroupByKey]=DiscreteStatsTable[[#This Row],[GroupByKey]]),(DiscreteStatsTable[GroupByKey]=DiscreteStatsTable[[#This Row],[GroupByKey]])*DiscreteStatsTable[Average]))</f>
        <v>0</v>
      </c>
      <c r="S242" cm="1">
        <f t="array" ref="S242">MAX(IF((DiscreteStatsTable[GroupByKey]=DiscreteStatsTable[[#This Row],[GroupByKey]]),(DiscreteStatsTable[GroupByKey]=DiscreteStatsTable[[#This Row],[GroupByKey]])*DiscreteStatsTable[Average]))</f>
        <v>0</v>
      </c>
      <c r="T242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cm="1">
        <f t="array" ref="U242">MAX(IF((DiscreteStatsTable[GroupByKey]=DiscreteStatsTable[[#This Row],[GroupByKey]]),(DiscreteStatsTable[GroupByKey]=DiscreteStatsTable[[#This Row],[GroupByKey]])*DiscreteStatsTable[Maximum]))</f>
        <v>0</v>
      </c>
      <c r="V242" cm="1">
        <f t="array" ref="V242">IFERROR(AVERAGE(IF((DiscreteStatsTable[GroupByKey]=DiscreteStatsTable[[#This Row],[GroupByKey]]),(DiscreteStatsTable[GroupByKey]=DiscreteStatsTable[[#This Row],[GroupByKey]])*DiscreteStatsTable[NumberObservations])),0)</f>
        <v>344.6</v>
      </c>
      <c r="W242">
        <f>IF((DiscreteStatsTable[[#This Row],[RepsRequested]]&gt;1),DiscreteStatsTable[[#This Row],[HalfWidth]],DiscreteStatsTable[[#This Row],[BatchMeansHalfWidth]])</f>
        <v>0</v>
      </c>
      <c r="X242" cm="1">
        <f t="array" ref="X242">COUNT(IF((DiscreteStatsTable[GroupByKey]=DiscreteStatsTable[[#This Row],[GroupByKey]]),(DiscreteStatsTable[GroupByKey]=DiscreteStatsTable[[#This Row],[GroupByKey]])*DiscreteStatsTable[Replication]))</f>
        <v>30</v>
      </c>
      <c r="Y242">
        <f>IF(DiscreteStatsTable[[#This Row],[RepsRequested]]=DiscreteStatsTable[[#This Row],[RepsWithStatObserved]],1,0)</f>
        <v>1</v>
      </c>
    </row>
    <row r="243" spans="1:25" x14ac:dyDescent="0.2">
      <c r="A243" t="s">
        <v>67</v>
      </c>
      <c r="B243" t="s">
        <v>70</v>
      </c>
      <c r="C243">
        <v>2</v>
      </c>
      <c r="D243" t="s">
        <v>86</v>
      </c>
      <c r="E243" t="s">
        <v>72</v>
      </c>
      <c r="F243" t="s">
        <v>73</v>
      </c>
      <c r="G243">
        <v>0</v>
      </c>
      <c r="H243">
        <v>0</v>
      </c>
      <c r="I243">
        <v>0</v>
      </c>
      <c r="J243">
        <v>0</v>
      </c>
      <c r="K243">
        <v>337</v>
      </c>
      <c r="L243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43" cm="1">
        <f t="array" ref="M243">MAX(IF((ProjectInfoTable[ProjectName]=DiscreteStatsTable[[#This Row],[ProjectName]]),(ProjectInfoTable[ProjectName]=DiscreteStatsTable[[#This Row],[ProjectName]])*ProjectInfoTable[NumberOfReplications]))</f>
        <v>30</v>
      </c>
      <c r="N243" cm="1">
        <f t="array" ref="N243">IFERROR(AVERAGE(IF((DiscreteStatsTable[GroupByKey]=DiscreteStatsTable[[#This Row],[GroupByKey]]),(DiscreteStatsTable[GroupByKey]=DiscreteStatsTable[[#This Row],[GroupByKey]])*DiscreteStatsTable[Average])),0)</f>
        <v>0</v>
      </c>
      <c r="O243" cm="1">
        <f t="array" ref="O243">IFERROR(_xlfn.STDEV.S(IF((DiscreteStatsTable[GroupByKey]=DiscreteStatsTable[[#This Row],[GroupByKey]]),(DiscreteStatsTable[GroupByKey]=DiscreteStatsTable[[#This Row],[GroupByKey]])*DiscreteStatsTable[Average])),0)</f>
        <v>0</v>
      </c>
      <c r="P243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3" cm="1">
        <f t="array" ref="R243">MIN(IF((DiscreteStatsTable[GroupByKey]=DiscreteStatsTable[[#This Row],[GroupByKey]]),(DiscreteStatsTable[GroupByKey]=DiscreteStatsTable[[#This Row],[GroupByKey]])*DiscreteStatsTable[Average]))</f>
        <v>0</v>
      </c>
      <c r="S243" cm="1">
        <f t="array" ref="S243">MAX(IF((DiscreteStatsTable[GroupByKey]=DiscreteStatsTable[[#This Row],[GroupByKey]]),(DiscreteStatsTable[GroupByKey]=DiscreteStatsTable[[#This Row],[GroupByKey]])*DiscreteStatsTable[Average]))</f>
        <v>0</v>
      </c>
      <c r="T243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cm="1">
        <f t="array" ref="U243">MAX(IF((DiscreteStatsTable[GroupByKey]=DiscreteStatsTable[[#This Row],[GroupByKey]]),(DiscreteStatsTable[GroupByKey]=DiscreteStatsTable[[#This Row],[GroupByKey]])*DiscreteStatsTable[Maximum]))</f>
        <v>0</v>
      </c>
      <c r="V243" cm="1">
        <f t="array" ref="V243">IFERROR(AVERAGE(IF((DiscreteStatsTable[GroupByKey]=DiscreteStatsTable[[#This Row],[GroupByKey]]),(DiscreteStatsTable[GroupByKey]=DiscreteStatsTable[[#This Row],[GroupByKey]])*DiscreteStatsTable[NumberObservations])),0)</f>
        <v>344.6</v>
      </c>
      <c r="W243">
        <f>IF((DiscreteStatsTable[[#This Row],[RepsRequested]]&gt;1),DiscreteStatsTable[[#This Row],[HalfWidth]],DiscreteStatsTable[[#This Row],[BatchMeansHalfWidth]])</f>
        <v>0</v>
      </c>
      <c r="X243" cm="1">
        <f t="array" ref="X243">COUNT(IF((DiscreteStatsTable[GroupByKey]=DiscreteStatsTable[[#This Row],[GroupByKey]]),(DiscreteStatsTable[GroupByKey]=DiscreteStatsTable[[#This Row],[GroupByKey]])*DiscreteStatsTable[Replication]))</f>
        <v>30</v>
      </c>
      <c r="Y243">
        <f>IF(DiscreteStatsTable[[#This Row],[RepsRequested]]=DiscreteStatsTable[[#This Row],[RepsWithStatObserved]],1,0)</f>
        <v>1</v>
      </c>
    </row>
    <row r="244" spans="1:25" x14ac:dyDescent="0.2">
      <c r="A244" t="s">
        <v>67</v>
      </c>
      <c r="B244" t="s">
        <v>70</v>
      </c>
      <c r="C244">
        <v>3</v>
      </c>
      <c r="D244" t="s">
        <v>86</v>
      </c>
      <c r="E244" t="s">
        <v>72</v>
      </c>
      <c r="F244" t="s">
        <v>73</v>
      </c>
      <c r="G244">
        <v>0</v>
      </c>
      <c r="H244">
        <v>0</v>
      </c>
      <c r="I244">
        <v>0</v>
      </c>
      <c r="J244">
        <v>0</v>
      </c>
      <c r="K244">
        <v>353</v>
      </c>
      <c r="L244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44" cm="1">
        <f t="array" ref="M244">MAX(IF((ProjectInfoTable[ProjectName]=DiscreteStatsTable[[#This Row],[ProjectName]]),(ProjectInfoTable[ProjectName]=DiscreteStatsTable[[#This Row],[ProjectName]])*ProjectInfoTable[NumberOfReplications]))</f>
        <v>30</v>
      </c>
      <c r="N244" cm="1">
        <f t="array" ref="N244">IFERROR(AVERAGE(IF((DiscreteStatsTable[GroupByKey]=DiscreteStatsTable[[#This Row],[GroupByKey]]),(DiscreteStatsTable[GroupByKey]=DiscreteStatsTable[[#This Row],[GroupByKey]])*DiscreteStatsTable[Average])),0)</f>
        <v>0</v>
      </c>
      <c r="O244" cm="1">
        <f t="array" ref="O244">IFERROR(_xlfn.STDEV.S(IF((DiscreteStatsTable[GroupByKey]=DiscreteStatsTable[[#This Row],[GroupByKey]]),(DiscreteStatsTable[GroupByKey]=DiscreteStatsTable[[#This Row],[GroupByKey]])*DiscreteStatsTable[Average])),0)</f>
        <v>0</v>
      </c>
      <c r="P244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4" cm="1">
        <f t="array" ref="R244">MIN(IF((DiscreteStatsTable[GroupByKey]=DiscreteStatsTable[[#This Row],[GroupByKey]]),(DiscreteStatsTable[GroupByKey]=DiscreteStatsTable[[#This Row],[GroupByKey]])*DiscreteStatsTable[Average]))</f>
        <v>0</v>
      </c>
      <c r="S244" cm="1">
        <f t="array" ref="S244">MAX(IF((DiscreteStatsTable[GroupByKey]=DiscreteStatsTable[[#This Row],[GroupByKey]]),(DiscreteStatsTable[GroupByKey]=DiscreteStatsTable[[#This Row],[GroupByKey]])*DiscreteStatsTable[Average]))</f>
        <v>0</v>
      </c>
      <c r="T244" cm="1">
        <f t="array" ref="T244">MIN(IF((DiscreteStatsTable[GroupByKey]=DiscreteStatsTable[[#This Row],[GroupByKey]]),(DiscreteStatsTable[GroupByKey]=DiscreteStatsTable[[#This Row],[GroupByKey]])*DiscreteStatsTable[Minimum]))</f>
        <v>0</v>
      </c>
      <c r="U244" cm="1">
        <f t="array" ref="U244">MAX(IF((DiscreteStatsTable[GroupByKey]=DiscreteStatsTable[[#This Row],[GroupByKey]]),(DiscreteStatsTable[GroupByKey]=DiscreteStatsTable[[#This Row],[GroupByKey]])*DiscreteStatsTable[Maximum]))</f>
        <v>0</v>
      </c>
      <c r="V244" cm="1">
        <f t="array" ref="V244">IFERROR(AVERAGE(IF((DiscreteStatsTable[GroupByKey]=DiscreteStatsTable[[#This Row],[GroupByKey]]),(DiscreteStatsTable[GroupByKey]=DiscreteStatsTable[[#This Row],[GroupByKey]])*DiscreteStatsTable[NumberObservations])),0)</f>
        <v>344.6</v>
      </c>
      <c r="W244">
        <f>IF((DiscreteStatsTable[[#This Row],[RepsRequested]]&gt;1),DiscreteStatsTable[[#This Row],[HalfWidth]],DiscreteStatsTable[[#This Row],[BatchMeansHalfWidth]])</f>
        <v>0</v>
      </c>
      <c r="X244" cm="1">
        <f t="array" ref="X244">COUNT(IF((DiscreteStatsTable[GroupByKey]=DiscreteStatsTable[[#This Row],[GroupByKey]]),(DiscreteStatsTable[GroupByKey]=DiscreteStatsTable[[#This Row],[GroupByKey]])*DiscreteStatsTable[Replication]))</f>
        <v>30</v>
      </c>
      <c r="Y244">
        <f>IF(DiscreteStatsTable[[#This Row],[RepsRequested]]=DiscreteStatsTable[[#This Row],[RepsWithStatObserved]],1,0)</f>
        <v>1</v>
      </c>
    </row>
    <row r="245" spans="1:25" x14ac:dyDescent="0.2">
      <c r="A245" t="s">
        <v>67</v>
      </c>
      <c r="B245" t="s">
        <v>70</v>
      </c>
      <c r="C245">
        <v>4</v>
      </c>
      <c r="D245" t="s">
        <v>86</v>
      </c>
      <c r="E245" t="s">
        <v>72</v>
      </c>
      <c r="F245" t="s">
        <v>73</v>
      </c>
      <c r="G245">
        <v>0</v>
      </c>
      <c r="H245">
        <v>0</v>
      </c>
      <c r="I245">
        <v>0</v>
      </c>
      <c r="J245">
        <v>0</v>
      </c>
      <c r="K245">
        <v>396</v>
      </c>
      <c r="L245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45" cm="1">
        <f t="array" ref="M245">MAX(IF((ProjectInfoTable[ProjectName]=DiscreteStatsTable[[#This Row],[ProjectName]]),(ProjectInfoTable[ProjectName]=DiscreteStatsTable[[#This Row],[ProjectName]])*ProjectInfoTable[NumberOfReplications]))</f>
        <v>30</v>
      </c>
      <c r="N245" cm="1">
        <f t="array" ref="N245">IFERROR(AVERAGE(IF((DiscreteStatsTable[GroupByKey]=DiscreteStatsTable[[#This Row],[GroupByKey]]),(DiscreteStatsTable[GroupByKey]=DiscreteStatsTable[[#This Row],[GroupByKey]])*DiscreteStatsTable[Average])),0)</f>
        <v>0</v>
      </c>
      <c r="O245" cm="1">
        <f t="array" ref="O245">IFERROR(_xlfn.STDEV.S(IF((DiscreteStatsTable[GroupByKey]=DiscreteStatsTable[[#This Row],[GroupByKey]]),(DiscreteStatsTable[GroupByKey]=DiscreteStatsTable[[#This Row],[GroupByKey]])*DiscreteStatsTable[Average])),0)</f>
        <v>0</v>
      </c>
      <c r="P24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cm="1">
        <f t="array" ref="S245">MAX(IF((DiscreteStatsTable[GroupByKey]=DiscreteStatsTable[[#This Row],[GroupByKey]]),(DiscreteStatsTable[GroupByKey]=DiscreteStatsTable[[#This Row],[GroupByKey]])*DiscreteStatsTable[Average]))</f>
        <v>0</v>
      </c>
      <c r="T24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cm="1">
        <f t="array" ref="U245">MAX(IF((DiscreteStatsTable[GroupByKey]=DiscreteStatsTable[[#This Row],[GroupByKey]]),(DiscreteStatsTable[GroupByKey]=DiscreteStatsTable[[#This Row],[GroupByKey]])*DiscreteStatsTable[Maximum]))</f>
        <v>0</v>
      </c>
      <c r="V245" cm="1">
        <f t="array" ref="V245">IFERROR(AVERAGE(IF((DiscreteStatsTable[GroupByKey]=DiscreteStatsTable[[#This Row],[GroupByKey]]),(DiscreteStatsTable[GroupByKey]=DiscreteStatsTable[[#This Row],[GroupByKey]])*DiscreteStatsTable[NumberObservations])),0)</f>
        <v>344.6</v>
      </c>
      <c r="W245">
        <f>IF((DiscreteStatsTable[[#This Row],[RepsRequested]]&gt;1),DiscreteStatsTable[[#This Row],[HalfWidth]],DiscreteStatsTable[[#This Row],[BatchMeansHalfWidth]])</f>
        <v>0</v>
      </c>
      <c r="X245" cm="1">
        <f t="array" ref="X245">COUNT(IF((DiscreteStatsTable[GroupByKey]=DiscreteStatsTable[[#This Row],[GroupByKey]]),(DiscreteStatsTable[GroupByKey]=DiscreteStatsTable[[#This Row],[GroupByKey]])*DiscreteStatsTable[Replication]))</f>
        <v>30</v>
      </c>
      <c r="Y245">
        <f>IF(DiscreteStatsTable[[#This Row],[RepsRequested]]=DiscreteStatsTable[[#This Row],[RepsWithStatObserved]],1,0)</f>
        <v>1</v>
      </c>
    </row>
    <row r="246" spans="1:25" x14ac:dyDescent="0.2">
      <c r="A246" t="s">
        <v>67</v>
      </c>
      <c r="B246" t="s">
        <v>70</v>
      </c>
      <c r="C246">
        <v>5</v>
      </c>
      <c r="D246" t="s">
        <v>86</v>
      </c>
      <c r="E246" t="s">
        <v>72</v>
      </c>
      <c r="F246" t="s">
        <v>73</v>
      </c>
      <c r="G246">
        <v>0</v>
      </c>
      <c r="H246">
        <v>0</v>
      </c>
      <c r="I246">
        <v>0</v>
      </c>
      <c r="J246">
        <v>0</v>
      </c>
      <c r="K246">
        <v>353</v>
      </c>
      <c r="L246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46" cm="1">
        <f t="array" ref="M246">MAX(IF((ProjectInfoTable[ProjectName]=DiscreteStatsTable[[#This Row],[ProjectName]]),(ProjectInfoTable[ProjectName]=DiscreteStatsTable[[#This Row],[ProjectName]])*ProjectInfoTable[NumberOfReplications]))</f>
        <v>30</v>
      </c>
      <c r="N246" cm="1">
        <f t="array" ref="N246">IFERROR(AVERAGE(IF((DiscreteStatsTable[GroupByKey]=DiscreteStatsTable[[#This Row],[GroupByKey]]),(DiscreteStatsTable[GroupByKey]=DiscreteStatsTable[[#This Row],[GroupByKey]])*DiscreteStatsTable[Average])),0)</f>
        <v>0</v>
      </c>
      <c r="O246" cm="1">
        <f t="array" ref="O246">IFERROR(_xlfn.STDEV.S(IF((DiscreteStatsTable[GroupByKey]=DiscreteStatsTable[[#This Row],[GroupByKey]]),(DiscreteStatsTable[GroupByKey]=DiscreteStatsTable[[#This Row],[GroupByKey]])*DiscreteStatsTable[Average])),0)</f>
        <v>0</v>
      </c>
      <c r="P246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6" cm="1">
        <f t="array" ref="R246">MIN(IF((DiscreteStatsTable[GroupByKey]=DiscreteStatsTable[[#This Row],[GroupByKey]]),(DiscreteStatsTable[GroupByKey]=DiscreteStatsTable[[#This Row],[GroupByKey]])*DiscreteStatsTable[Average]))</f>
        <v>0</v>
      </c>
      <c r="S246" cm="1">
        <f t="array" ref="S246">MAX(IF((DiscreteStatsTable[GroupByKey]=DiscreteStatsTable[[#This Row],[GroupByKey]]),(DiscreteStatsTable[GroupByKey]=DiscreteStatsTable[[#This Row],[GroupByKey]])*DiscreteStatsTable[Average]))</f>
        <v>0</v>
      </c>
      <c r="T246" cm="1">
        <f t="array" ref="T246">MIN(IF((DiscreteStatsTable[GroupByKey]=DiscreteStatsTable[[#This Row],[GroupByKey]]),(DiscreteStatsTable[GroupByKey]=DiscreteStatsTable[[#This Row],[GroupByKey]])*DiscreteStatsTable[Minimum]))</f>
        <v>0</v>
      </c>
      <c r="U246" cm="1">
        <f t="array" ref="U246">MAX(IF((DiscreteStatsTable[GroupByKey]=DiscreteStatsTable[[#This Row],[GroupByKey]]),(DiscreteStatsTable[GroupByKey]=DiscreteStatsTable[[#This Row],[GroupByKey]])*DiscreteStatsTable[Maximum]))</f>
        <v>0</v>
      </c>
      <c r="V246" cm="1">
        <f t="array" ref="V246">IFERROR(AVERAGE(IF((DiscreteStatsTable[GroupByKey]=DiscreteStatsTable[[#This Row],[GroupByKey]]),(DiscreteStatsTable[GroupByKey]=DiscreteStatsTable[[#This Row],[GroupByKey]])*DiscreteStatsTable[NumberObservations])),0)</f>
        <v>344.6</v>
      </c>
      <c r="W246">
        <f>IF((DiscreteStatsTable[[#This Row],[RepsRequested]]&gt;1),DiscreteStatsTable[[#This Row],[HalfWidth]],DiscreteStatsTable[[#This Row],[BatchMeansHalfWidth]])</f>
        <v>0</v>
      </c>
      <c r="X246" cm="1">
        <f t="array" ref="X246">COUNT(IF((DiscreteStatsTable[GroupByKey]=DiscreteStatsTable[[#This Row],[GroupByKey]]),(DiscreteStatsTable[GroupByKey]=DiscreteStatsTable[[#This Row],[GroupByKey]])*DiscreteStatsTable[Replication]))</f>
        <v>30</v>
      </c>
      <c r="Y246">
        <f>IF(DiscreteStatsTable[[#This Row],[RepsRequested]]=DiscreteStatsTable[[#This Row],[RepsWithStatObserved]],1,0)</f>
        <v>1</v>
      </c>
    </row>
    <row r="247" spans="1:25" x14ac:dyDescent="0.2">
      <c r="A247" t="s">
        <v>67</v>
      </c>
      <c r="B247" t="s">
        <v>70</v>
      </c>
      <c r="C247">
        <v>6</v>
      </c>
      <c r="D247" t="s">
        <v>86</v>
      </c>
      <c r="E247" t="s">
        <v>72</v>
      </c>
      <c r="F247" t="s">
        <v>73</v>
      </c>
      <c r="G247">
        <v>0</v>
      </c>
      <c r="H247">
        <v>0</v>
      </c>
      <c r="I247">
        <v>0</v>
      </c>
      <c r="J247">
        <v>0</v>
      </c>
      <c r="K247">
        <v>393</v>
      </c>
      <c r="L247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47" cm="1">
        <f t="array" ref="M247">MAX(IF((ProjectInfoTable[ProjectName]=DiscreteStatsTable[[#This Row],[ProjectName]]),(ProjectInfoTable[ProjectName]=DiscreteStatsTable[[#This Row],[ProjectName]])*ProjectInfoTable[NumberOfReplications]))</f>
        <v>30</v>
      </c>
      <c r="N247" cm="1">
        <f t="array" ref="N247">IFERROR(AVERAGE(IF((DiscreteStatsTable[GroupByKey]=DiscreteStatsTable[[#This Row],[GroupByKey]]),(DiscreteStatsTable[GroupByKey]=DiscreteStatsTable[[#This Row],[GroupByKey]])*DiscreteStatsTable[Average])),0)</f>
        <v>0</v>
      </c>
      <c r="O247" cm="1">
        <f t="array" ref="O247">IFERROR(_xlfn.STDEV.S(IF((DiscreteStatsTable[GroupByKey]=DiscreteStatsTable[[#This Row],[GroupByKey]]),(DiscreteStatsTable[GroupByKey]=DiscreteStatsTable[[#This Row],[GroupByKey]])*DiscreteStatsTable[Average])),0)</f>
        <v>0</v>
      </c>
      <c r="P247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7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cm="1">
        <f t="array" ref="S247">MAX(IF((DiscreteStatsTable[GroupByKey]=DiscreteStatsTable[[#This Row],[GroupByKey]]),(DiscreteStatsTable[GroupByKey]=DiscreteStatsTable[[#This Row],[GroupByKey]])*DiscreteStatsTable[Average]))</f>
        <v>0</v>
      </c>
      <c r="T247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cm="1">
        <f t="array" ref="U247">MAX(IF((DiscreteStatsTable[GroupByKey]=DiscreteStatsTable[[#This Row],[GroupByKey]]),(DiscreteStatsTable[GroupByKey]=DiscreteStatsTable[[#This Row],[GroupByKey]])*DiscreteStatsTable[Maximum]))</f>
        <v>0</v>
      </c>
      <c r="V247" cm="1">
        <f t="array" ref="V247">IFERROR(AVERAGE(IF((DiscreteStatsTable[GroupByKey]=DiscreteStatsTable[[#This Row],[GroupByKey]]),(DiscreteStatsTable[GroupByKey]=DiscreteStatsTable[[#This Row],[GroupByKey]])*DiscreteStatsTable[NumberObservations])),0)</f>
        <v>344.6</v>
      </c>
      <c r="W247">
        <f>IF((DiscreteStatsTable[[#This Row],[RepsRequested]]&gt;1),DiscreteStatsTable[[#This Row],[HalfWidth]],DiscreteStatsTable[[#This Row],[BatchMeansHalfWidth]])</f>
        <v>0</v>
      </c>
      <c r="X247" cm="1">
        <f t="array" ref="X247">COUNT(IF((DiscreteStatsTable[GroupByKey]=DiscreteStatsTable[[#This Row],[GroupByKey]]),(DiscreteStatsTable[GroupByKey]=DiscreteStatsTable[[#This Row],[GroupByKey]])*DiscreteStatsTable[Replication]))</f>
        <v>30</v>
      </c>
      <c r="Y247">
        <f>IF(DiscreteStatsTable[[#This Row],[RepsRequested]]=DiscreteStatsTable[[#This Row],[RepsWithStatObserved]],1,0)</f>
        <v>1</v>
      </c>
    </row>
    <row r="248" spans="1:25" x14ac:dyDescent="0.2">
      <c r="A248" t="s">
        <v>67</v>
      </c>
      <c r="B248" t="s">
        <v>70</v>
      </c>
      <c r="C248">
        <v>7</v>
      </c>
      <c r="D248" t="s">
        <v>86</v>
      </c>
      <c r="E248" t="s">
        <v>72</v>
      </c>
      <c r="F248" t="s">
        <v>73</v>
      </c>
      <c r="G248">
        <v>0</v>
      </c>
      <c r="H248">
        <v>2E+20</v>
      </c>
      <c r="I248">
        <v>0</v>
      </c>
      <c r="J248">
        <v>0</v>
      </c>
      <c r="K248">
        <v>315</v>
      </c>
      <c r="L248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48" cm="1">
        <f t="array" ref="M248">MAX(IF((ProjectInfoTable[ProjectName]=DiscreteStatsTable[[#This Row],[ProjectName]]),(ProjectInfoTable[ProjectName]=DiscreteStatsTable[[#This Row],[ProjectName]])*ProjectInfoTable[NumberOfReplications]))</f>
        <v>30</v>
      </c>
      <c r="N248" cm="1">
        <f t="array" ref="N248">IFERROR(AVERAGE(IF((DiscreteStatsTable[GroupByKey]=DiscreteStatsTable[[#This Row],[GroupByKey]]),(DiscreteStatsTable[GroupByKey]=DiscreteStatsTable[[#This Row],[GroupByKey]])*DiscreteStatsTable[Average])),0)</f>
        <v>0</v>
      </c>
      <c r="O248" cm="1">
        <f t="array" ref="O248">IFERROR(_xlfn.STDEV.S(IF((DiscreteStatsTable[GroupByKey]=DiscreteStatsTable[[#This Row],[GroupByKey]]),(DiscreteStatsTable[GroupByKey]=DiscreteStatsTable[[#This Row],[GroupByKey]])*DiscreteStatsTable[Average])),0)</f>
        <v>0</v>
      </c>
      <c r="P248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8" cm="1">
        <f t="array" ref="R248">MIN(IF((DiscreteStatsTable[GroupByKey]=DiscreteStatsTable[[#This Row],[GroupByKey]]),(DiscreteStatsTable[GroupByKey]=DiscreteStatsTable[[#This Row],[GroupByKey]])*DiscreteStatsTable[Average]))</f>
        <v>0</v>
      </c>
      <c r="S248" cm="1">
        <f t="array" ref="S248">MAX(IF((DiscreteStatsTable[GroupByKey]=DiscreteStatsTable[[#This Row],[GroupByKey]]),(DiscreteStatsTable[GroupByKey]=DiscreteStatsTable[[#This Row],[GroupByKey]])*DiscreteStatsTable[Average]))</f>
        <v>0</v>
      </c>
      <c r="T248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cm="1">
        <f t="array" ref="U248">MAX(IF((DiscreteStatsTable[GroupByKey]=DiscreteStatsTable[[#This Row],[GroupByKey]]),(DiscreteStatsTable[GroupByKey]=DiscreteStatsTable[[#This Row],[GroupByKey]])*DiscreteStatsTable[Maximum]))</f>
        <v>0</v>
      </c>
      <c r="V248" cm="1">
        <f t="array" ref="V248">IFERROR(AVERAGE(IF((DiscreteStatsTable[GroupByKey]=DiscreteStatsTable[[#This Row],[GroupByKey]]),(DiscreteStatsTable[GroupByKey]=DiscreteStatsTable[[#This Row],[GroupByKey]])*DiscreteStatsTable[NumberObservations])),0)</f>
        <v>344.6</v>
      </c>
      <c r="W248">
        <f>IF((DiscreteStatsTable[[#This Row],[RepsRequested]]&gt;1),DiscreteStatsTable[[#This Row],[HalfWidth]],DiscreteStatsTable[[#This Row],[BatchMeansHalfWidth]])</f>
        <v>0</v>
      </c>
      <c r="X248" cm="1">
        <f t="array" ref="X248">COUNT(IF((DiscreteStatsTable[GroupByKey]=DiscreteStatsTable[[#This Row],[GroupByKey]]),(DiscreteStatsTable[GroupByKey]=DiscreteStatsTable[[#This Row],[GroupByKey]])*DiscreteStatsTable[Replication]))</f>
        <v>30</v>
      </c>
      <c r="Y248">
        <f>IF(DiscreteStatsTable[[#This Row],[RepsRequested]]=DiscreteStatsTable[[#This Row],[RepsWithStatObserved]],1,0)</f>
        <v>1</v>
      </c>
    </row>
    <row r="249" spans="1:25" x14ac:dyDescent="0.2">
      <c r="A249" t="s">
        <v>67</v>
      </c>
      <c r="B249" t="s">
        <v>70</v>
      </c>
      <c r="C249">
        <v>8</v>
      </c>
      <c r="D249" t="s">
        <v>86</v>
      </c>
      <c r="E249" t="s">
        <v>72</v>
      </c>
      <c r="F249" t="s">
        <v>73</v>
      </c>
      <c r="G249">
        <v>0</v>
      </c>
      <c r="H249">
        <v>0</v>
      </c>
      <c r="I249">
        <v>0</v>
      </c>
      <c r="J249">
        <v>0</v>
      </c>
      <c r="K249">
        <v>344</v>
      </c>
      <c r="L249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49" cm="1">
        <f t="array" ref="M249">MAX(IF((ProjectInfoTable[ProjectName]=DiscreteStatsTable[[#This Row],[ProjectName]]),(ProjectInfoTable[ProjectName]=DiscreteStatsTable[[#This Row],[ProjectName]])*ProjectInfoTable[NumberOfReplications]))</f>
        <v>30</v>
      </c>
      <c r="N249" cm="1">
        <f t="array" ref="N249">IFERROR(AVERAGE(IF((DiscreteStatsTable[GroupByKey]=DiscreteStatsTable[[#This Row],[GroupByKey]]),(DiscreteStatsTable[GroupByKey]=DiscreteStatsTable[[#This Row],[GroupByKey]])*DiscreteStatsTable[Average])),0)</f>
        <v>0</v>
      </c>
      <c r="O249" cm="1">
        <f t="array" ref="O249">IFERROR(_xlfn.STDEV.S(IF((DiscreteStatsTable[GroupByKey]=DiscreteStatsTable[[#This Row],[GroupByKey]]),(DiscreteStatsTable[GroupByKey]=DiscreteStatsTable[[#This Row],[GroupByKey]])*DiscreteStatsTable[Average])),0)</f>
        <v>0</v>
      </c>
      <c r="P249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9" cm="1">
        <f t="array" ref="R249">MIN(IF((DiscreteStatsTable[GroupByKey]=DiscreteStatsTable[[#This Row],[GroupByKey]]),(DiscreteStatsTable[GroupByKey]=DiscreteStatsTable[[#This Row],[GroupByKey]])*DiscreteStatsTable[Average]))</f>
        <v>0</v>
      </c>
      <c r="S249" cm="1">
        <f t="array" ref="S249">MAX(IF((DiscreteStatsTable[GroupByKey]=DiscreteStatsTable[[#This Row],[GroupByKey]]),(DiscreteStatsTable[GroupByKey]=DiscreteStatsTable[[#This Row],[GroupByKey]])*DiscreteStatsTable[Average]))</f>
        <v>0</v>
      </c>
      <c r="T249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cm="1">
        <f t="array" ref="U249">MAX(IF((DiscreteStatsTable[GroupByKey]=DiscreteStatsTable[[#This Row],[GroupByKey]]),(DiscreteStatsTable[GroupByKey]=DiscreteStatsTable[[#This Row],[GroupByKey]])*DiscreteStatsTable[Maximum]))</f>
        <v>0</v>
      </c>
      <c r="V249" cm="1">
        <f t="array" ref="V249">IFERROR(AVERAGE(IF((DiscreteStatsTable[GroupByKey]=DiscreteStatsTable[[#This Row],[GroupByKey]]),(DiscreteStatsTable[GroupByKey]=DiscreteStatsTable[[#This Row],[GroupByKey]])*DiscreteStatsTable[NumberObservations])),0)</f>
        <v>344.6</v>
      </c>
      <c r="W249">
        <f>IF((DiscreteStatsTable[[#This Row],[RepsRequested]]&gt;1),DiscreteStatsTable[[#This Row],[HalfWidth]],DiscreteStatsTable[[#This Row],[BatchMeansHalfWidth]])</f>
        <v>0</v>
      </c>
      <c r="X249" cm="1">
        <f t="array" ref="X249">COUNT(IF((DiscreteStatsTable[GroupByKey]=DiscreteStatsTable[[#This Row],[GroupByKey]]),(DiscreteStatsTable[GroupByKey]=DiscreteStatsTable[[#This Row],[GroupByKey]])*DiscreteStatsTable[Replication]))</f>
        <v>30</v>
      </c>
      <c r="Y249">
        <f>IF(DiscreteStatsTable[[#This Row],[RepsRequested]]=DiscreteStatsTable[[#This Row],[RepsWithStatObserved]],1,0)</f>
        <v>1</v>
      </c>
    </row>
    <row r="250" spans="1:25" x14ac:dyDescent="0.2">
      <c r="A250" t="s">
        <v>67</v>
      </c>
      <c r="B250" t="s">
        <v>70</v>
      </c>
      <c r="C250">
        <v>9</v>
      </c>
      <c r="D250" t="s">
        <v>86</v>
      </c>
      <c r="E250" t="s">
        <v>72</v>
      </c>
      <c r="F250" t="s">
        <v>73</v>
      </c>
      <c r="G250">
        <v>0</v>
      </c>
      <c r="H250">
        <v>0</v>
      </c>
      <c r="I250">
        <v>0</v>
      </c>
      <c r="J250">
        <v>0</v>
      </c>
      <c r="K250">
        <v>342</v>
      </c>
      <c r="L250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50" cm="1">
        <f t="array" ref="M250">MAX(IF((ProjectInfoTable[ProjectName]=DiscreteStatsTable[[#This Row],[ProjectName]]),(ProjectInfoTable[ProjectName]=DiscreteStatsTable[[#This Row],[ProjectName]])*ProjectInfoTable[NumberOfReplications]))</f>
        <v>30</v>
      </c>
      <c r="N250" cm="1">
        <f t="array" ref="N250">IFERROR(AVERAGE(IF((DiscreteStatsTable[GroupByKey]=DiscreteStatsTable[[#This Row],[GroupByKey]]),(DiscreteStatsTable[GroupByKey]=DiscreteStatsTable[[#This Row],[GroupByKey]])*DiscreteStatsTable[Average])),0)</f>
        <v>0</v>
      </c>
      <c r="O250" cm="1">
        <f t="array" ref="O250">IFERROR(_xlfn.STDEV.S(IF((DiscreteStatsTable[GroupByKey]=DiscreteStatsTable[[#This Row],[GroupByKey]]),(DiscreteStatsTable[GroupByKey]=DiscreteStatsTable[[#This Row],[GroupByKey]])*DiscreteStatsTable[Average])),0)</f>
        <v>0</v>
      </c>
      <c r="P250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0" cm="1">
        <f t="array" ref="R250">MIN(IF((DiscreteStatsTable[GroupByKey]=DiscreteStatsTable[[#This Row],[GroupByKey]]),(DiscreteStatsTable[GroupByKey]=DiscreteStatsTable[[#This Row],[GroupByKey]])*DiscreteStatsTable[Average]))</f>
        <v>0</v>
      </c>
      <c r="S250" cm="1">
        <f t="array" ref="S250">MAX(IF((DiscreteStatsTable[GroupByKey]=DiscreteStatsTable[[#This Row],[GroupByKey]]),(DiscreteStatsTable[GroupByKey]=DiscreteStatsTable[[#This Row],[GroupByKey]])*DiscreteStatsTable[Average]))</f>
        <v>0</v>
      </c>
      <c r="T250" cm="1">
        <f t="array" ref="T250">MIN(IF((DiscreteStatsTable[GroupByKey]=DiscreteStatsTable[[#This Row],[GroupByKey]]),(DiscreteStatsTable[GroupByKey]=DiscreteStatsTable[[#This Row],[GroupByKey]])*DiscreteStatsTable[Minimum]))</f>
        <v>0</v>
      </c>
      <c r="U250" cm="1">
        <f t="array" ref="U250">MAX(IF((DiscreteStatsTable[GroupByKey]=DiscreteStatsTable[[#This Row],[GroupByKey]]),(DiscreteStatsTable[GroupByKey]=DiscreteStatsTable[[#This Row],[GroupByKey]])*DiscreteStatsTable[Maximum]))</f>
        <v>0</v>
      </c>
      <c r="V250" cm="1">
        <f t="array" ref="V250">IFERROR(AVERAGE(IF((DiscreteStatsTable[GroupByKey]=DiscreteStatsTable[[#This Row],[GroupByKey]]),(DiscreteStatsTable[GroupByKey]=DiscreteStatsTable[[#This Row],[GroupByKey]])*DiscreteStatsTable[NumberObservations])),0)</f>
        <v>344.6</v>
      </c>
      <c r="W250">
        <f>IF((DiscreteStatsTable[[#This Row],[RepsRequested]]&gt;1),DiscreteStatsTable[[#This Row],[HalfWidth]],DiscreteStatsTable[[#This Row],[BatchMeansHalfWidth]])</f>
        <v>0</v>
      </c>
      <c r="X250" cm="1">
        <f t="array" ref="X250">COUNT(IF((DiscreteStatsTable[GroupByKey]=DiscreteStatsTable[[#This Row],[GroupByKey]]),(DiscreteStatsTable[GroupByKey]=DiscreteStatsTable[[#This Row],[GroupByKey]])*DiscreteStatsTable[Replication]))</f>
        <v>30</v>
      </c>
      <c r="Y250">
        <f>IF(DiscreteStatsTable[[#This Row],[RepsRequested]]=DiscreteStatsTable[[#This Row],[RepsWithStatObserved]],1,0)</f>
        <v>1</v>
      </c>
    </row>
    <row r="251" spans="1:25" x14ac:dyDescent="0.2">
      <c r="A251" t="s">
        <v>67</v>
      </c>
      <c r="B251" t="s">
        <v>70</v>
      </c>
      <c r="C251">
        <v>10</v>
      </c>
      <c r="D251" t="s">
        <v>86</v>
      </c>
      <c r="E251" t="s">
        <v>72</v>
      </c>
      <c r="F251" t="s">
        <v>73</v>
      </c>
      <c r="G251">
        <v>0</v>
      </c>
      <c r="H251">
        <v>0</v>
      </c>
      <c r="I251">
        <v>0</v>
      </c>
      <c r="J251">
        <v>0</v>
      </c>
      <c r="K251">
        <v>323</v>
      </c>
      <c r="L251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51" cm="1">
        <f t="array" ref="M251">MAX(IF((ProjectInfoTable[ProjectName]=DiscreteStatsTable[[#This Row],[ProjectName]]),(ProjectInfoTable[ProjectName]=DiscreteStatsTable[[#This Row],[ProjectName]])*ProjectInfoTable[NumberOfReplications]))</f>
        <v>30</v>
      </c>
      <c r="N251" cm="1">
        <f t="array" ref="N251">IFERROR(AVERAGE(IF((DiscreteStatsTable[GroupByKey]=DiscreteStatsTable[[#This Row],[GroupByKey]]),(DiscreteStatsTable[GroupByKey]=DiscreteStatsTable[[#This Row],[GroupByKey]])*DiscreteStatsTable[Average])),0)</f>
        <v>0</v>
      </c>
      <c r="O251" cm="1">
        <f t="array" ref="O251">IFERROR(_xlfn.STDEV.S(IF((DiscreteStatsTable[GroupByKey]=DiscreteStatsTable[[#This Row],[GroupByKey]]),(DiscreteStatsTable[GroupByKey]=DiscreteStatsTable[[#This Row],[GroupByKey]])*DiscreteStatsTable[Average])),0)</f>
        <v>0</v>
      </c>
      <c r="P251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1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cm="1">
        <f t="array" ref="S251">MAX(IF((DiscreteStatsTable[GroupByKey]=DiscreteStatsTable[[#This Row],[GroupByKey]]),(DiscreteStatsTable[GroupByKey]=DiscreteStatsTable[[#This Row],[GroupByKey]])*DiscreteStatsTable[Average]))</f>
        <v>0</v>
      </c>
      <c r="T251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cm="1">
        <f t="array" ref="U251">MAX(IF((DiscreteStatsTable[GroupByKey]=DiscreteStatsTable[[#This Row],[GroupByKey]]),(DiscreteStatsTable[GroupByKey]=DiscreteStatsTable[[#This Row],[GroupByKey]])*DiscreteStatsTable[Maximum]))</f>
        <v>0</v>
      </c>
      <c r="V251" cm="1">
        <f t="array" ref="V251">IFERROR(AVERAGE(IF((DiscreteStatsTable[GroupByKey]=DiscreteStatsTable[[#This Row],[GroupByKey]]),(DiscreteStatsTable[GroupByKey]=DiscreteStatsTable[[#This Row],[GroupByKey]])*DiscreteStatsTable[NumberObservations])),0)</f>
        <v>344.6</v>
      </c>
      <c r="W251">
        <f>IF((DiscreteStatsTable[[#This Row],[RepsRequested]]&gt;1),DiscreteStatsTable[[#This Row],[HalfWidth]],DiscreteStatsTable[[#This Row],[BatchMeansHalfWidth]])</f>
        <v>0</v>
      </c>
      <c r="X251" cm="1">
        <f t="array" ref="X251">COUNT(IF((DiscreteStatsTable[GroupByKey]=DiscreteStatsTable[[#This Row],[GroupByKey]]),(DiscreteStatsTable[GroupByKey]=DiscreteStatsTable[[#This Row],[GroupByKey]])*DiscreteStatsTable[Replication]))</f>
        <v>30</v>
      </c>
      <c r="Y251">
        <f>IF(DiscreteStatsTable[[#This Row],[RepsRequested]]=DiscreteStatsTable[[#This Row],[RepsWithStatObserved]],1,0)</f>
        <v>1</v>
      </c>
    </row>
    <row r="252" spans="1:25" x14ac:dyDescent="0.2">
      <c r="A252" t="s">
        <v>67</v>
      </c>
      <c r="B252" t="s">
        <v>70</v>
      </c>
      <c r="C252">
        <v>11</v>
      </c>
      <c r="D252" t="s">
        <v>86</v>
      </c>
      <c r="E252" t="s">
        <v>72</v>
      </c>
      <c r="F252" t="s">
        <v>73</v>
      </c>
      <c r="G252">
        <v>0</v>
      </c>
      <c r="H252">
        <v>0</v>
      </c>
      <c r="I252">
        <v>0</v>
      </c>
      <c r="J252">
        <v>0</v>
      </c>
      <c r="K252">
        <v>341</v>
      </c>
      <c r="L252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52" cm="1">
        <f t="array" ref="M252">MAX(IF((ProjectInfoTable[ProjectName]=DiscreteStatsTable[[#This Row],[ProjectName]]),(ProjectInfoTable[ProjectName]=DiscreteStatsTable[[#This Row],[ProjectName]])*ProjectInfoTable[NumberOfReplications]))</f>
        <v>30</v>
      </c>
      <c r="N252" cm="1">
        <f t="array" ref="N252">IFERROR(AVERAGE(IF((DiscreteStatsTable[GroupByKey]=DiscreteStatsTable[[#This Row],[GroupByKey]]),(DiscreteStatsTable[GroupByKey]=DiscreteStatsTable[[#This Row],[GroupByKey]])*DiscreteStatsTable[Average])),0)</f>
        <v>0</v>
      </c>
      <c r="O252" cm="1">
        <f t="array" ref="O252">IFERROR(_xlfn.STDEV.S(IF((DiscreteStatsTable[GroupByKey]=DiscreteStatsTable[[#This Row],[GroupByKey]]),(DiscreteStatsTable[GroupByKey]=DiscreteStatsTable[[#This Row],[GroupByKey]])*DiscreteStatsTable[Average])),0)</f>
        <v>0</v>
      </c>
      <c r="P252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2" cm="1">
        <f t="array" ref="R252">MIN(IF((DiscreteStatsTable[GroupByKey]=DiscreteStatsTable[[#This Row],[GroupByKey]]),(DiscreteStatsTable[GroupByKey]=DiscreteStatsTable[[#This Row],[GroupByKey]])*DiscreteStatsTable[Average]))</f>
        <v>0</v>
      </c>
      <c r="S252" cm="1">
        <f t="array" ref="S252">MAX(IF((DiscreteStatsTable[GroupByKey]=DiscreteStatsTable[[#This Row],[GroupByKey]]),(DiscreteStatsTable[GroupByKey]=DiscreteStatsTable[[#This Row],[GroupByKey]])*DiscreteStatsTable[Average]))</f>
        <v>0</v>
      </c>
      <c r="T252" cm="1">
        <f t="array" ref="T252">MIN(IF((DiscreteStatsTable[GroupByKey]=DiscreteStatsTable[[#This Row],[GroupByKey]]),(DiscreteStatsTable[GroupByKey]=DiscreteStatsTable[[#This Row],[GroupByKey]])*DiscreteStatsTable[Minimum]))</f>
        <v>0</v>
      </c>
      <c r="U252" cm="1">
        <f t="array" ref="U252">MAX(IF((DiscreteStatsTable[GroupByKey]=DiscreteStatsTable[[#This Row],[GroupByKey]]),(DiscreteStatsTable[GroupByKey]=DiscreteStatsTable[[#This Row],[GroupByKey]])*DiscreteStatsTable[Maximum]))</f>
        <v>0</v>
      </c>
      <c r="V252" cm="1">
        <f t="array" ref="V252">IFERROR(AVERAGE(IF((DiscreteStatsTable[GroupByKey]=DiscreteStatsTable[[#This Row],[GroupByKey]]),(DiscreteStatsTable[GroupByKey]=DiscreteStatsTable[[#This Row],[GroupByKey]])*DiscreteStatsTable[NumberObservations])),0)</f>
        <v>344.6</v>
      </c>
      <c r="W252">
        <f>IF((DiscreteStatsTable[[#This Row],[RepsRequested]]&gt;1),DiscreteStatsTable[[#This Row],[HalfWidth]],DiscreteStatsTable[[#This Row],[BatchMeansHalfWidth]])</f>
        <v>0</v>
      </c>
      <c r="X252" cm="1">
        <f t="array" ref="X252">COUNT(IF((DiscreteStatsTable[GroupByKey]=DiscreteStatsTable[[#This Row],[GroupByKey]]),(DiscreteStatsTable[GroupByKey]=DiscreteStatsTable[[#This Row],[GroupByKey]])*DiscreteStatsTable[Replication]))</f>
        <v>30</v>
      </c>
      <c r="Y252">
        <f>IF(DiscreteStatsTable[[#This Row],[RepsRequested]]=DiscreteStatsTable[[#This Row],[RepsWithStatObserved]],1,0)</f>
        <v>1</v>
      </c>
    </row>
    <row r="253" spans="1:25" x14ac:dyDescent="0.2">
      <c r="A253" t="s">
        <v>67</v>
      </c>
      <c r="B253" t="s">
        <v>70</v>
      </c>
      <c r="C253">
        <v>12</v>
      </c>
      <c r="D253" t="s">
        <v>86</v>
      </c>
      <c r="E253" t="s">
        <v>72</v>
      </c>
      <c r="F253" t="s">
        <v>73</v>
      </c>
      <c r="G253">
        <v>0</v>
      </c>
      <c r="H253">
        <v>0</v>
      </c>
      <c r="I253">
        <v>0</v>
      </c>
      <c r="J253">
        <v>0</v>
      </c>
      <c r="K253">
        <v>339</v>
      </c>
      <c r="L253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53" cm="1">
        <f t="array" ref="M253">MAX(IF((ProjectInfoTable[ProjectName]=DiscreteStatsTable[[#This Row],[ProjectName]]),(ProjectInfoTable[ProjectName]=DiscreteStatsTable[[#This Row],[ProjectName]])*ProjectInfoTable[NumberOfReplications]))</f>
        <v>30</v>
      </c>
      <c r="N253" cm="1">
        <f t="array" ref="N253">IFERROR(AVERAGE(IF((DiscreteStatsTable[GroupByKey]=DiscreteStatsTable[[#This Row],[GroupByKey]]),(DiscreteStatsTable[GroupByKey]=DiscreteStatsTable[[#This Row],[GroupByKey]])*DiscreteStatsTable[Average])),0)</f>
        <v>0</v>
      </c>
      <c r="O253" cm="1">
        <f t="array" ref="O253">IFERROR(_xlfn.STDEV.S(IF((DiscreteStatsTable[GroupByKey]=DiscreteStatsTable[[#This Row],[GroupByKey]]),(DiscreteStatsTable[GroupByKey]=DiscreteStatsTable[[#This Row],[GroupByKey]])*DiscreteStatsTable[Average])),0)</f>
        <v>0</v>
      </c>
      <c r="P253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3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cm="1">
        <f t="array" ref="S253">MAX(IF((DiscreteStatsTable[GroupByKey]=DiscreteStatsTable[[#This Row],[GroupByKey]]),(DiscreteStatsTable[GroupByKey]=DiscreteStatsTable[[#This Row],[GroupByKey]])*DiscreteStatsTable[Average]))</f>
        <v>0</v>
      </c>
      <c r="T253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cm="1">
        <f t="array" ref="U253">MAX(IF((DiscreteStatsTable[GroupByKey]=DiscreteStatsTable[[#This Row],[GroupByKey]]),(DiscreteStatsTable[GroupByKey]=DiscreteStatsTable[[#This Row],[GroupByKey]])*DiscreteStatsTable[Maximum]))</f>
        <v>0</v>
      </c>
      <c r="V253" cm="1">
        <f t="array" ref="V253">IFERROR(AVERAGE(IF((DiscreteStatsTable[GroupByKey]=DiscreteStatsTable[[#This Row],[GroupByKey]]),(DiscreteStatsTable[GroupByKey]=DiscreteStatsTable[[#This Row],[GroupByKey]])*DiscreteStatsTable[NumberObservations])),0)</f>
        <v>344.6</v>
      </c>
      <c r="W253">
        <f>IF((DiscreteStatsTable[[#This Row],[RepsRequested]]&gt;1),DiscreteStatsTable[[#This Row],[HalfWidth]],DiscreteStatsTable[[#This Row],[BatchMeansHalfWidth]])</f>
        <v>0</v>
      </c>
      <c r="X253" cm="1">
        <f t="array" ref="X253">COUNT(IF((DiscreteStatsTable[GroupByKey]=DiscreteStatsTable[[#This Row],[GroupByKey]]),(DiscreteStatsTable[GroupByKey]=DiscreteStatsTable[[#This Row],[GroupByKey]])*DiscreteStatsTable[Replication]))</f>
        <v>30</v>
      </c>
      <c r="Y253">
        <f>IF(DiscreteStatsTable[[#This Row],[RepsRequested]]=DiscreteStatsTable[[#This Row],[RepsWithStatObserved]],1,0)</f>
        <v>1</v>
      </c>
    </row>
    <row r="254" spans="1:25" x14ac:dyDescent="0.2">
      <c r="A254" t="s">
        <v>67</v>
      </c>
      <c r="B254" t="s">
        <v>70</v>
      </c>
      <c r="C254">
        <v>13</v>
      </c>
      <c r="D254" t="s">
        <v>86</v>
      </c>
      <c r="E254" t="s">
        <v>72</v>
      </c>
      <c r="F254" t="s">
        <v>73</v>
      </c>
      <c r="G254">
        <v>0</v>
      </c>
      <c r="H254">
        <v>0</v>
      </c>
      <c r="I254">
        <v>0</v>
      </c>
      <c r="J254">
        <v>0</v>
      </c>
      <c r="K254">
        <v>358</v>
      </c>
      <c r="L254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54" cm="1">
        <f t="array" ref="M254">MAX(IF((ProjectInfoTable[ProjectName]=DiscreteStatsTable[[#This Row],[ProjectName]]),(ProjectInfoTable[ProjectName]=DiscreteStatsTable[[#This Row],[ProjectName]])*ProjectInfoTable[NumberOfReplications]))</f>
        <v>30</v>
      </c>
      <c r="N254" cm="1">
        <f t="array" ref="N254">IFERROR(AVERAGE(IF((DiscreteStatsTable[GroupByKey]=DiscreteStatsTable[[#This Row],[GroupByKey]]),(DiscreteStatsTable[GroupByKey]=DiscreteStatsTable[[#This Row],[GroupByKey]])*DiscreteStatsTable[Average])),0)</f>
        <v>0</v>
      </c>
      <c r="O254" cm="1">
        <f t="array" ref="O254">IFERROR(_xlfn.STDEV.S(IF((DiscreteStatsTable[GroupByKey]=DiscreteStatsTable[[#This Row],[GroupByKey]]),(DiscreteStatsTable[GroupByKey]=DiscreteStatsTable[[#This Row],[GroupByKey]])*DiscreteStatsTable[Average])),0)</f>
        <v>0</v>
      </c>
      <c r="P254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4" cm="1">
        <f t="array" ref="R254">MIN(IF((DiscreteStatsTable[GroupByKey]=DiscreteStatsTable[[#This Row],[GroupByKey]]),(DiscreteStatsTable[GroupByKey]=DiscreteStatsTable[[#This Row],[GroupByKey]])*DiscreteStatsTable[Average]))</f>
        <v>0</v>
      </c>
      <c r="S254" cm="1">
        <f t="array" ref="S254">MAX(IF((DiscreteStatsTable[GroupByKey]=DiscreteStatsTable[[#This Row],[GroupByKey]]),(DiscreteStatsTable[GroupByKey]=DiscreteStatsTable[[#This Row],[GroupByKey]])*DiscreteStatsTable[Average]))</f>
        <v>0</v>
      </c>
      <c r="T254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cm="1">
        <f t="array" ref="U254">MAX(IF((DiscreteStatsTable[GroupByKey]=DiscreteStatsTable[[#This Row],[GroupByKey]]),(DiscreteStatsTable[GroupByKey]=DiscreteStatsTable[[#This Row],[GroupByKey]])*DiscreteStatsTable[Maximum]))</f>
        <v>0</v>
      </c>
      <c r="V254" cm="1">
        <f t="array" ref="V254">IFERROR(AVERAGE(IF((DiscreteStatsTable[GroupByKey]=DiscreteStatsTable[[#This Row],[GroupByKey]]),(DiscreteStatsTable[GroupByKey]=DiscreteStatsTable[[#This Row],[GroupByKey]])*DiscreteStatsTable[NumberObservations])),0)</f>
        <v>344.6</v>
      </c>
      <c r="W254">
        <f>IF((DiscreteStatsTable[[#This Row],[RepsRequested]]&gt;1),DiscreteStatsTable[[#This Row],[HalfWidth]],DiscreteStatsTable[[#This Row],[BatchMeansHalfWidth]])</f>
        <v>0</v>
      </c>
      <c r="X254" cm="1">
        <f t="array" ref="X254">COUNT(IF((DiscreteStatsTable[GroupByKey]=DiscreteStatsTable[[#This Row],[GroupByKey]]),(DiscreteStatsTable[GroupByKey]=DiscreteStatsTable[[#This Row],[GroupByKey]])*DiscreteStatsTable[Replication]))</f>
        <v>30</v>
      </c>
      <c r="Y254">
        <f>IF(DiscreteStatsTable[[#This Row],[RepsRequested]]=DiscreteStatsTable[[#This Row],[RepsWithStatObserved]],1,0)</f>
        <v>1</v>
      </c>
    </row>
    <row r="255" spans="1:25" x14ac:dyDescent="0.2">
      <c r="A255" t="s">
        <v>67</v>
      </c>
      <c r="B255" t="s">
        <v>70</v>
      </c>
      <c r="C255">
        <v>14</v>
      </c>
      <c r="D255" t="s">
        <v>86</v>
      </c>
      <c r="E255" t="s">
        <v>72</v>
      </c>
      <c r="F255" t="s">
        <v>73</v>
      </c>
      <c r="G255">
        <v>0</v>
      </c>
      <c r="H255">
        <v>0</v>
      </c>
      <c r="I255">
        <v>0</v>
      </c>
      <c r="J255">
        <v>0</v>
      </c>
      <c r="K255">
        <v>327</v>
      </c>
      <c r="L255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55" cm="1">
        <f t="array" ref="M255">MAX(IF((ProjectInfoTable[ProjectName]=DiscreteStatsTable[[#This Row],[ProjectName]]),(ProjectInfoTable[ProjectName]=DiscreteStatsTable[[#This Row],[ProjectName]])*ProjectInfoTable[NumberOfReplications]))</f>
        <v>30</v>
      </c>
      <c r="N255" cm="1">
        <f t="array" ref="N255">IFERROR(AVERAGE(IF((DiscreteStatsTable[GroupByKey]=DiscreteStatsTable[[#This Row],[GroupByKey]]),(DiscreteStatsTable[GroupByKey]=DiscreteStatsTable[[#This Row],[GroupByKey]])*DiscreteStatsTable[Average])),0)</f>
        <v>0</v>
      </c>
      <c r="O255" cm="1">
        <f t="array" ref="O255">IFERROR(_xlfn.STDEV.S(IF((DiscreteStatsTable[GroupByKey]=DiscreteStatsTable[[#This Row],[GroupByKey]]),(DiscreteStatsTable[GroupByKey]=DiscreteStatsTable[[#This Row],[GroupByKey]])*DiscreteStatsTable[Average])),0)</f>
        <v>0</v>
      </c>
      <c r="P25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5" cm="1">
        <f t="array" ref="R255">MIN(IF((DiscreteStatsTable[GroupByKey]=DiscreteStatsTable[[#This Row],[GroupByKey]]),(DiscreteStatsTable[GroupByKey]=DiscreteStatsTable[[#This Row],[GroupByKey]])*DiscreteStatsTable[Average]))</f>
        <v>0</v>
      </c>
      <c r="S255" cm="1">
        <f t="array" ref="S255">MAX(IF((DiscreteStatsTable[GroupByKey]=DiscreteStatsTable[[#This Row],[GroupByKey]]),(DiscreteStatsTable[GroupByKey]=DiscreteStatsTable[[#This Row],[GroupByKey]])*DiscreteStatsTable[Average]))</f>
        <v>0</v>
      </c>
      <c r="T25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cm="1">
        <f t="array" ref="U255">MAX(IF((DiscreteStatsTable[GroupByKey]=DiscreteStatsTable[[#This Row],[GroupByKey]]),(DiscreteStatsTable[GroupByKey]=DiscreteStatsTable[[#This Row],[GroupByKey]])*DiscreteStatsTable[Maximum]))</f>
        <v>0</v>
      </c>
      <c r="V255" cm="1">
        <f t="array" ref="V255">IFERROR(AVERAGE(IF((DiscreteStatsTable[GroupByKey]=DiscreteStatsTable[[#This Row],[GroupByKey]]),(DiscreteStatsTable[GroupByKey]=DiscreteStatsTable[[#This Row],[GroupByKey]])*DiscreteStatsTable[NumberObservations])),0)</f>
        <v>344.6</v>
      </c>
      <c r="W255">
        <f>IF((DiscreteStatsTable[[#This Row],[RepsRequested]]&gt;1),DiscreteStatsTable[[#This Row],[HalfWidth]],DiscreteStatsTable[[#This Row],[BatchMeansHalfWidth]])</f>
        <v>0</v>
      </c>
      <c r="X255" cm="1">
        <f t="array" ref="X255">COUNT(IF((DiscreteStatsTable[GroupByKey]=DiscreteStatsTable[[#This Row],[GroupByKey]]),(DiscreteStatsTable[GroupByKey]=DiscreteStatsTable[[#This Row],[GroupByKey]])*DiscreteStatsTable[Replication]))</f>
        <v>30</v>
      </c>
      <c r="Y255">
        <f>IF(DiscreteStatsTable[[#This Row],[RepsRequested]]=DiscreteStatsTable[[#This Row],[RepsWithStatObserved]],1,0)</f>
        <v>1</v>
      </c>
    </row>
    <row r="256" spans="1:25" x14ac:dyDescent="0.2">
      <c r="A256" t="s">
        <v>67</v>
      </c>
      <c r="B256" t="s">
        <v>70</v>
      </c>
      <c r="C256">
        <v>15</v>
      </c>
      <c r="D256" t="s">
        <v>86</v>
      </c>
      <c r="E256" t="s">
        <v>72</v>
      </c>
      <c r="F256" t="s">
        <v>73</v>
      </c>
      <c r="G256">
        <v>0</v>
      </c>
      <c r="H256">
        <v>0</v>
      </c>
      <c r="I256">
        <v>0</v>
      </c>
      <c r="J256">
        <v>0</v>
      </c>
      <c r="K256">
        <v>344</v>
      </c>
      <c r="L256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56" cm="1">
        <f t="array" ref="M256">MAX(IF((ProjectInfoTable[ProjectName]=DiscreteStatsTable[[#This Row],[ProjectName]]),(ProjectInfoTable[ProjectName]=DiscreteStatsTable[[#This Row],[ProjectName]])*ProjectInfoTable[NumberOfReplications]))</f>
        <v>30</v>
      </c>
      <c r="N256" cm="1">
        <f t="array" ref="N256">IFERROR(AVERAGE(IF((DiscreteStatsTable[GroupByKey]=DiscreteStatsTable[[#This Row],[GroupByKey]]),(DiscreteStatsTable[GroupByKey]=DiscreteStatsTable[[#This Row],[GroupByKey]])*DiscreteStatsTable[Average])),0)</f>
        <v>0</v>
      </c>
      <c r="O256" cm="1">
        <f t="array" ref="O256">IFERROR(_xlfn.STDEV.S(IF((DiscreteStatsTable[GroupByKey]=DiscreteStatsTable[[#This Row],[GroupByKey]]),(DiscreteStatsTable[GroupByKey]=DiscreteStatsTable[[#This Row],[GroupByKey]])*DiscreteStatsTable[Average])),0)</f>
        <v>0</v>
      </c>
      <c r="P256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6" cm="1">
        <f t="array" ref="R256">MIN(IF((DiscreteStatsTable[GroupByKey]=DiscreteStatsTable[[#This Row],[GroupByKey]]),(DiscreteStatsTable[GroupByKey]=DiscreteStatsTable[[#This Row],[GroupByKey]])*DiscreteStatsTable[Average]))</f>
        <v>0</v>
      </c>
      <c r="S256" cm="1">
        <f t="array" ref="S256">MAX(IF((DiscreteStatsTable[GroupByKey]=DiscreteStatsTable[[#This Row],[GroupByKey]]),(DiscreteStatsTable[GroupByKey]=DiscreteStatsTable[[#This Row],[GroupByKey]])*DiscreteStatsTable[Average]))</f>
        <v>0</v>
      </c>
      <c r="T256" cm="1">
        <f t="array" ref="T256">MIN(IF((DiscreteStatsTable[GroupByKey]=DiscreteStatsTable[[#This Row],[GroupByKey]]),(DiscreteStatsTable[GroupByKey]=DiscreteStatsTable[[#This Row],[GroupByKey]])*DiscreteStatsTable[Minimum]))</f>
        <v>0</v>
      </c>
      <c r="U256" cm="1">
        <f t="array" ref="U256">MAX(IF((DiscreteStatsTable[GroupByKey]=DiscreteStatsTable[[#This Row],[GroupByKey]]),(DiscreteStatsTable[GroupByKey]=DiscreteStatsTable[[#This Row],[GroupByKey]])*DiscreteStatsTable[Maximum]))</f>
        <v>0</v>
      </c>
      <c r="V256" cm="1">
        <f t="array" ref="V256">IFERROR(AVERAGE(IF((DiscreteStatsTable[GroupByKey]=DiscreteStatsTable[[#This Row],[GroupByKey]]),(DiscreteStatsTable[GroupByKey]=DiscreteStatsTable[[#This Row],[GroupByKey]])*DiscreteStatsTable[NumberObservations])),0)</f>
        <v>344.6</v>
      </c>
      <c r="W256">
        <f>IF((DiscreteStatsTable[[#This Row],[RepsRequested]]&gt;1),DiscreteStatsTable[[#This Row],[HalfWidth]],DiscreteStatsTable[[#This Row],[BatchMeansHalfWidth]])</f>
        <v>0</v>
      </c>
      <c r="X256" cm="1">
        <f t="array" ref="X256">COUNT(IF((DiscreteStatsTable[GroupByKey]=DiscreteStatsTable[[#This Row],[GroupByKey]]),(DiscreteStatsTable[GroupByKey]=DiscreteStatsTable[[#This Row],[GroupByKey]])*DiscreteStatsTable[Replication]))</f>
        <v>30</v>
      </c>
      <c r="Y256">
        <f>IF(DiscreteStatsTable[[#This Row],[RepsRequested]]=DiscreteStatsTable[[#This Row],[RepsWithStatObserved]],1,0)</f>
        <v>1</v>
      </c>
    </row>
    <row r="257" spans="1:25" x14ac:dyDescent="0.2">
      <c r="A257" t="s">
        <v>67</v>
      </c>
      <c r="B257" t="s">
        <v>70</v>
      </c>
      <c r="C257">
        <v>16</v>
      </c>
      <c r="D257" t="s">
        <v>86</v>
      </c>
      <c r="E257" t="s">
        <v>72</v>
      </c>
      <c r="F257" t="s">
        <v>73</v>
      </c>
      <c r="G257">
        <v>0</v>
      </c>
      <c r="H257">
        <v>0</v>
      </c>
      <c r="I257">
        <v>0</v>
      </c>
      <c r="J257">
        <v>0</v>
      </c>
      <c r="K257">
        <v>333</v>
      </c>
      <c r="L257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57" cm="1">
        <f t="array" ref="M257">MAX(IF((ProjectInfoTable[ProjectName]=DiscreteStatsTable[[#This Row],[ProjectName]]),(ProjectInfoTable[ProjectName]=DiscreteStatsTable[[#This Row],[ProjectName]])*ProjectInfoTable[NumberOfReplications]))</f>
        <v>30</v>
      </c>
      <c r="N257" cm="1">
        <f t="array" ref="N257">IFERROR(AVERAGE(IF((DiscreteStatsTable[GroupByKey]=DiscreteStatsTable[[#This Row],[GroupByKey]]),(DiscreteStatsTable[GroupByKey]=DiscreteStatsTable[[#This Row],[GroupByKey]])*DiscreteStatsTable[Average])),0)</f>
        <v>0</v>
      </c>
      <c r="O257" cm="1">
        <f t="array" ref="O257">IFERROR(_xlfn.STDEV.S(IF((DiscreteStatsTable[GroupByKey]=DiscreteStatsTable[[#This Row],[GroupByKey]]),(DiscreteStatsTable[GroupByKey]=DiscreteStatsTable[[#This Row],[GroupByKey]])*DiscreteStatsTable[Average])),0)</f>
        <v>0</v>
      </c>
      <c r="P257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7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cm="1">
        <f t="array" ref="S257">MAX(IF((DiscreteStatsTable[GroupByKey]=DiscreteStatsTable[[#This Row],[GroupByKey]]),(DiscreteStatsTable[GroupByKey]=DiscreteStatsTable[[#This Row],[GroupByKey]])*DiscreteStatsTable[Average]))</f>
        <v>0</v>
      </c>
      <c r="T257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cm="1">
        <f t="array" ref="U257">MAX(IF((DiscreteStatsTable[GroupByKey]=DiscreteStatsTable[[#This Row],[GroupByKey]]),(DiscreteStatsTable[GroupByKey]=DiscreteStatsTable[[#This Row],[GroupByKey]])*DiscreteStatsTable[Maximum]))</f>
        <v>0</v>
      </c>
      <c r="V257" cm="1">
        <f t="array" ref="V257">IFERROR(AVERAGE(IF((DiscreteStatsTable[GroupByKey]=DiscreteStatsTable[[#This Row],[GroupByKey]]),(DiscreteStatsTable[GroupByKey]=DiscreteStatsTable[[#This Row],[GroupByKey]])*DiscreteStatsTable[NumberObservations])),0)</f>
        <v>344.6</v>
      </c>
      <c r="W257">
        <f>IF((DiscreteStatsTable[[#This Row],[RepsRequested]]&gt;1),DiscreteStatsTable[[#This Row],[HalfWidth]],DiscreteStatsTable[[#This Row],[BatchMeansHalfWidth]])</f>
        <v>0</v>
      </c>
      <c r="X257" cm="1">
        <f t="array" ref="X257">COUNT(IF((DiscreteStatsTable[GroupByKey]=DiscreteStatsTable[[#This Row],[GroupByKey]]),(DiscreteStatsTable[GroupByKey]=DiscreteStatsTable[[#This Row],[GroupByKey]])*DiscreteStatsTable[Replication]))</f>
        <v>30</v>
      </c>
      <c r="Y257">
        <f>IF(DiscreteStatsTable[[#This Row],[RepsRequested]]=DiscreteStatsTable[[#This Row],[RepsWithStatObserved]],1,0)</f>
        <v>1</v>
      </c>
    </row>
    <row r="258" spans="1:25" x14ac:dyDescent="0.2">
      <c r="A258" t="s">
        <v>67</v>
      </c>
      <c r="B258" t="s">
        <v>70</v>
      </c>
      <c r="C258">
        <v>17</v>
      </c>
      <c r="D258" t="s">
        <v>86</v>
      </c>
      <c r="E258" t="s">
        <v>72</v>
      </c>
      <c r="F258" t="s">
        <v>73</v>
      </c>
      <c r="G258">
        <v>0</v>
      </c>
      <c r="H258">
        <v>0</v>
      </c>
      <c r="I258">
        <v>0</v>
      </c>
      <c r="J258">
        <v>0</v>
      </c>
      <c r="K258">
        <v>338</v>
      </c>
      <c r="L258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58" cm="1">
        <f t="array" ref="M258">MAX(IF((ProjectInfoTable[ProjectName]=DiscreteStatsTable[[#This Row],[ProjectName]]),(ProjectInfoTable[ProjectName]=DiscreteStatsTable[[#This Row],[ProjectName]])*ProjectInfoTable[NumberOfReplications]))</f>
        <v>30</v>
      </c>
      <c r="N258" cm="1">
        <f t="array" ref="N258">IFERROR(AVERAGE(IF((DiscreteStatsTable[GroupByKey]=DiscreteStatsTable[[#This Row],[GroupByKey]]),(DiscreteStatsTable[GroupByKey]=DiscreteStatsTable[[#This Row],[GroupByKey]])*DiscreteStatsTable[Average])),0)</f>
        <v>0</v>
      </c>
      <c r="O258" cm="1">
        <f t="array" ref="O258">IFERROR(_xlfn.STDEV.S(IF((DiscreteStatsTable[GroupByKey]=DiscreteStatsTable[[#This Row],[GroupByKey]]),(DiscreteStatsTable[GroupByKey]=DiscreteStatsTable[[#This Row],[GroupByKey]])*DiscreteStatsTable[Average])),0)</f>
        <v>0</v>
      </c>
      <c r="P258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8" cm="1">
        <f t="array" ref="R258">MIN(IF((DiscreteStatsTable[GroupByKey]=DiscreteStatsTable[[#This Row],[GroupByKey]]),(DiscreteStatsTable[GroupByKey]=DiscreteStatsTable[[#This Row],[GroupByKey]])*DiscreteStatsTable[Average]))</f>
        <v>0</v>
      </c>
      <c r="S258" cm="1">
        <f t="array" ref="S258">MAX(IF((DiscreteStatsTable[GroupByKey]=DiscreteStatsTable[[#This Row],[GroupByKey]]),(DiscreteStatsTable[GroupByKey]=DiscreteStatsTable[[#This Row],[GroupByKey]])*DiscreteStatsTable[Average]))</f>
        <v>0</v>
      </c>
      <c r="T258" cm="1">
        <f t="array" ref="T258">MIN(IF((DiscreteStatsTable[GroupByKey]=DiscreteStatsTable[[#This Row],[GroupByKey]]),(DiscreteStatsTable[GroupByKey]=DiscreteStatsTable[[#This Row],[GroupByKey]])*DiscreteStatsTable[Minimum]))</f>
        <v>0</v>
      </c>
      <c r="U258" cm="1">
        <f t="array" ref="U258">MAX(IF((DiscreteStatsTable[GroupByKey]=DiscreteStatsTable[[#This Row],[GroupByKey]]),(DiscreteStatsTable[GroupByKey]=DiscreteStatsTable[[#This Row],[GroupByKey]])*DiscreteStatsTable[Maximum]))</f>
        <v>0</v>
      </c>
      <c r="V258" cm="1">
        <f t="array" ref="V258">IFERROR(AVERAGE(IF((DiscreteStatsTable[GroupByKey]=DiscreteStatsTable[[#This Row],[GroupByKey]]),(DiscreteStatsTable[GroupByKey]=DiscreteStatsTable[[#This Row],[GroupByKey]])*DiscreteStatsTable[NumberObservations])),0)</f>
        <v>344.6</v>
      </c>
      <c r="W258">
        <f>IF((DiscreteStatsTable[[#This Row],[RepsRequested]]&gt;1),DiscreteStatsTable[[#This Row],[HalfWidth]],DiscreteStatsTable[[#This Row],[BatchMeansHalfWidth]])</f>
        <v>0</v>
      </c>
      <c r="X258" cm="1">
        <f t="array" ref="X258">COUNT(IF((DiscreteStatsTable[GroupByKey]=DiscreteStatsTable[[#This Row],[GroupByKey]]),(DiscreteStatsTable[GroupByKey]=DiscreteStatsTable[[#This Row],[GroupByKey]])*DiscreteStatsTable[Replication]))</f>
        <v>30</v>
      </c>
      <c r="Y258">
        <f>IF(DiscreteStatsTable[[#This Row],[RepsRequested]]=DiscreteStatsTable[[#This Row],[RepsWithStatObserved]],1,0)</f>
        <v>1</v>
      </c>
    </row>
    <row r="259" spans="1:25" x14ac:dyDescent="0.2">
      <c r="A259" t="s">
        <v>67</v>
      </c>
      <c r="B259" t="s">
        <v>70</v>
      </c>
      <c r="C259">
        <v>18</v>
      </c>
      <c r="D259" t="s">
        <v>86</v>
      </c>
      <c r="E259" t="s">
        <v>72</v>
      </c>
      <c r="F259" t="s">
        <v>73</v>
      </c>
      <c r="G259">
        <v>0</v>
      </c>
      <c r="H259">
        <v>0</v>
      </c>
      <c r="I259">
        <v>0</v>
      </c>
      <c r="J259">
        <v>0</v>
      </c>
      <c r="K259">
        <v>340</v>
      </c>
      <c r="L259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59" cm="1">
        <f t="array" ref="M259">MAX(IF((ProjectInfoTable[ProjectName]=DiscreteStatsTable[[#This Row],[ProjectName]]),(ProjectInfoTable[ProjectName]=DiscreteStatsTable[[#This Row],[ProjectName]])*ProjectInfoTable[NumberOfReplications]))</f>
        <v>30</v>
      </c>
      <c r="N259" cm="1">
        <f t="array" ref="N259">IFERROR(AVERAGE(IF((DiscreteStatsTable[GroupByKey]=DiscreteStatsTable[[#This Row],[GroupByKey]]),(DiscreteStatsTable[GroupByKey]=DiscreteStatsTable[[#This Row],[GroupByKey]])*DiscreteStatsTable[Average])),0)</f>
        <v>0</v>
      </c>
      <c r="O259" cm="1">
        <f t="array" ref="O259">IFERROR(_xlfn.STDEV.S(IF((DiscreteStatsTable[GroupByKey]=DiscreteStatsTable[[#This Row],[GroupByKey]]),(DiscreteStatsTable[GroupByKey]=DiscreteStatsTable[[#This Row],[GroupByKey]])*DiscreteStatsTable[Average])),0)</f>
        <v>0</v>
      </c>
      <c r="P259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9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cm="1">
        <f t="array" ref="S259">MAX(IF((DiscreteStatsTable[GroupByKey]=DiscreteStatsTable[[#This Row],[GroupByKey]]),(DiscreteStatsTable[GroupByKey]=DiscreteStatsTable[[#This Row],[GroupByKey]])*DiscreteStatsTable[Average]))</f>
        <v>0</v>
      </c>
      <c r="T259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cm="1">
        <f t="array" ref="U259">MAX(IF((DiscreteStatsTable[GroupByKey]=DiscreteStatsTable[[#This Row],[GroupByKey]]),(DiscreteStatsTable[GroupByKey]=DiscreteStatsTable[[#This Row],[GroupByKey]])*DiscreteStatsTable[Maximum]))</f>
        <v>0</v>
      </c>
      <c r="V259" cm="1">
        <f t="array" ref="V259">IFERROR(AVERAGE(IF((DiscreteStatsTable[GroupByKey]=DiscreteStatsTable[[#This Row],[GroupByKey]]),(DiscreteStatsTable[GroupByKey]=DiscreteStatsTable[[#This Row],[GroupByKey]])*DiscreteStatsTable[NumberObservations])),0)</f>
        <v>344.6</v>
      </c>
      <c r="W259">
        <f>IF((DiscreteStatsTable[[#This Row],[RepsRequested]]&gt;1),DiscreteStatsTable[[#This Row],[HalfWidth]],DiscreteStatsTable[[#This Row],[BatchMeansHalfWidth]])</f>
        <v>0</v>
      </c>
      <c r="X259" cm="1">
        <f t="array" ref="X259">COUNT(IF((DiscreteStatsTable[GroupByKey]=DiscreteStatsTable[[#This Row],[GroupByKey]]),(DiscreteStatsTable[GroupByKey]=DiscreteStatsTable[[#This Row],[GroupByKey]])*DiscreteStatsTable[Replication]))</f>
        <v>30</v>
      </c>
      <c r="Y259">
        <f>IF(DiscreteStatsTable[[#This Row],[RepsRequested]]=DiscreteStatsTable[[#This Row],[RepsWithStatObserved]],1,0)</f>
        <v>1</v>
      </c>
    </row>
    <row r="260" spans="1:25" x14ac:dyDescent="0.2">
      <c r="A260" t="s">
        <v>67</v>
      </c>
      <c r="B260" t="s">
        <v>70</v>
      </c>
      <c r="C260">
        <v>19</v>
      </c>
      <c r="D260" t="s">
        <v>86</v>
      </c>
      <c r="E260" t="s">
        <v>72</v>
      </c>
      <c r="F260" t="s">
        <v>73</v>
      </c>
      <c r="G260">
        <v>0</v>
      </c>
      <c r="H260">
        <v>0</v>
      </c>
      <c r="I260">
        <v>0</v>
      </c>
      <c r="J260">
        <v>0</v>
      </c>
      <c r="K260">
        <v>367</v>
      </c>
      <c r="L260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60" cm="1">
        <f t="array" ref="M260">MAX(IF((ProjectInfoTable[ProjectName]=DiscreteStatsTable[[#This Row],[ProjectName]]),(ProjectInfoTable[ProjectName]=DiscreteStatsTable[[#This Row],[ProjectName]])*ProjectInfoTable[NumberOfReplications]))</f>
        <v>30</v>
      </c>
      <c r="N260" cm="1">
        <f t="array" ref="N260">IFERROR(AVERAGE(IF((DiscreteStatsTable[GroupByKey]=DiscreteStatsTable[[#This Row],[GroupByKey]]),(DiscreteStatsTable[GroupByKey]=DiscreteStatsTable[[#This Row],[GroupByKey]])*DiscreteStatsTable[Average])),0)</f>
        <v>0</v>
      </c>
      <c r="O260" cm="1">
        <f t="array" ref="O260">IFERROR(_xlfn.STDEV.S(IF((DiscreteStatsTable[GroupByKey]=DiscreteStatsTable[[#This Row],[GroupByKey]]),(DiscreteStatsTable[GroupByKey]=DiscreteStatsTable[[#This Row],[GroupByKey]])*DiscreteStatsTable[Average])),0)</f>
        <v>0</v>
      </c>
      <c r="P260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0" cm="1">
        <f t="array" ref="R260">MIN(IF((DiscreteStatsTable[GroupByKey]=DiscreteStatsTable[[#This Row],[GroupByKey]]),(DiscreteStatsTable[GroupByKey]=DiscreteStatsTable[[#This Row],[GroupByKey]])*DiscreteStatsTable[Average]))</f>
        <v>0</v>
      </c>
      <c r="S260" cm="1">
        <f t="array" ref="S260">MAX(IF((DiscreteStatsTable[GroupByKey]=DiscreteStatsTable[[#This Row],[GroupByKey]]),(DiscreteStatsTable[GroupByKey]=DiscreteStatsTable[[#This Row],[GroupByKey]])*DiscreteStatsTable[Average]))</f>
        <v>0</v>
      </c>
      <c r="T260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cm="1">
        <f t="array" ref="U260">MAX(IF((DiscreteStatsTable[GroupByKey]=DiscreteStatsTable[[#This Row],[GroupByKey]]),(DiscreteStatsTable[GroupByKey]=DiscreteStatsTable[[#This Row],[GroupByKey]])*DiscreteStatsTable[Maximum]))</f>
        <v>0</v>
      </c>
      <c r="V260" cm="1">
        <f t="array" ref="V260">IFERROR(AVERAGE(IF((DiscreteStatsTable[GroupByKey]=DiscreteStatsTable[[#This Row],[GroupByKey]]),(DiscreteStatsTable[GroupByKey]=DiscreteStatsTable[[#This Row],[GroupByKey]])*DiscreteStatsTable[NumberObservations])),0)</f>
        <v>344.6</v>
      </c>
      <c r="W260">
        <f>IF((DiscreteStatsTable[[#This Row],[RepsRequested]]&gt;1),DiscreteStatsTable[[#This Row],[HalfWidth]],DiscreteStatsTable[[#This Row],[BatchMeansHalfWidth]])</f>
        <v>0</v>
      </c>
      <c r="X260" cm="1">
        <f t="array" ref="X260">COUNT(IF((DiscreteStatsTable[GroupByKey]=DiscreteStatsTable[[#This Row],[GroupByKey]]),(DiscreteStatsTable[GroupByKey]=DiscreteStatsTable[[#This Row],[GroupByKey]])*DiscreteStatsTable[Replication]))</f>
        <v>30</v>
      </c>
      <c r="Y260">
        <f>IF(DiscreteStatsTable[[#This Row],[RepsRequested]]=DiscreteStatsTable[[#This Row],[RepsWithStatObserved]],1,0)</f>
        <v>1</v>
      </c>
    </row>
    <row r="261" spans="1:25" x14ac:dyDescent="0.2">
      <c r="A261" t="s">
        <v>67</v>
      </c>
      <c r="B261" t="s">
        <v>70</v>
      </c>
      <c r="C261">
        <v>20</v>
      </c>
      <c r="D261" t="s">
        <v>86</v>
      </c>
      <c r="E261" t="s">
        <v>72</v>
      </c>
      <c r="F261" t="s">
        <v>73</v>
      </c>
      <c r="G261">
        <v>0</v>
      </c>
      <c r="H261">
        <v>0</v>
      </c>
      <c r="I261">
        <v>0</v>
      </c>
      <c r="J261">
        <v>0</v>
      </c>
      <c r="K261">
        <v>323</v>
      </c>
      <c r="L261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61" cm="1">
        <f t="array" ref="M261">MAX(IF((ProjectInfoTable[ProjectName]=DiscreteStatsTable[[#This Row],[ProjectName]]),(ProjectInfoTable[ProjectName]=DiscreteStatsTable[[#This Row],[ProjectName]])*ProjectInfoTable[NumberOfReplications]))</f>
        <v>30</v>
      </c>
      <c r="N261" cm="1">
        <f t="array" ref="N261">IFERROR(AVERAGE(IF((DiscreteStatsTable[GroupByKey]=DiscreteStatsTable[[#This Row],[GroupByKey]]),(DiscreteStatsTable[GroupByKey]=DiscreteStatsTable[[#This Row],[GroupByKey]])*DiscreteStatsTable[Average])),0)</f>
        <v>0</v>
      </c>
      <c r="O261" cm="1">
        <f t="array" ref="O261">IFERROR(_xlfn.STDEV.S(IF((DiscreteStatsTable[GroupByKey]=DiscreteStatsTable[[#This Row],[GroupByKey]]),(DiscreteStatsTable[GroupByKey]=DiscreteStatsTable[[#This Row],[GroupByKey]])*DiscreteStatsTable[Average])),0)</f>
        <v>0</v>
      </c>
      <c r="P261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1" cm="1">
        <f t="array" ref="R261">MIN(IF((DiscreteStatsTable[GroupByKey]=DiscreteStatsTable[[#This Row],[GroupByKey]]),(DiscreteStatsTable[GroupByKey]=DiscreteStatsTable[[#This Row],[GroupByKey]])*DiscreteStatsTable[Average]))</f>
        <v>0</v>
      </c>
      <c r="S261" cm="1">
        <f t="array" ref="S261">MAX(IF((DiscreteStatsTable[GroupByKey]=DiscreteStatsTable[[#This Row],[GroupByKey]]),(DiscreteStatsTable[GroupByKey]=DiscreteStatsTable[[#This Row],[GroupByKey]])*DiscreteStatsTable[Average]))</f>
        <v>0</v>
      </c>
      <c r="T261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cm="1">
        <f t="array" ref="U261">MAX(IF((DiscreteStatsTable[GroupByKey]=DiscreteStatsTable[[#This Row],[GroupByKey]]),(DiscreteStatsTable[GroupByKey]=DiscreteStatsTable[[#This Row],[GroupByKey]])*DiscreteStatsTable[Maximum]))</f>
        <v>0</v>
      </c>
      <c r="V261" cm="1">
        <f t="array" ref="V261">IFERROR(AVERAGE(IF((DiscreteStatsTable[GroupByKey]=DiscreteStatsTable[[#This Row],[GroupByKey]]),(DiscreteStatsTable[GroupByKey]=DiscreteStatsTable[[#This Row],[GroupByKey]])*DiscreteStatsTable[NumberObservations])),0)</f>
        <v>344.6</v>
      </c>
      <c r="W261">
        <f>IF((DiscreteStatsTable[[#This Row],[RepsRequested]]&gt;1),DiscreteStatsTable[[#This Row],[HalfWidth]],DiscreteStatsTable[[#This Row],[BatchMeansHalfWidth]])</f>
        <v>0</v>
      </c>
      <c r="X261" cm="1">
        <f t="array" ref="X261">COUNT(IF((DiscreteStatsTable[GroupByKey]=DiscreteStatsTable[[#This Row],[GroupByKey]]),(DiscreteStatsTable[GroupByKey]=DiscreteStatsTable[[#This Row],[GroupByKey]])*DiscreteStatsTable[Replication]))</f>
        <v>30</v>
      </c>
      <c r="Y261">
        <f>IF(DiscreteStatsTable[[#This Row],[RepsRequested]]=DiscreteStatsTable[[#This Row],[RepsWithStatObserved]],1,0)</f>
        <v>1</v>
      </c>
    </row>
    <row r="262" spans="1:25" x14ac:dyDescent="0.2">
      <c r="A262" t="s">
        <v>67</v>
      </c>
      <c r="B262" t="s">
        <v>70</v>
      </c>
      <c r="C262">
        <v>21</v>
      </c>
      <c r="D262" t="s">
        <v>86</v>
      </c>
      <c r="E262" t="s">
        <v>72</v>
      </c>
      <c r="F262" t="s">
        <v>73</v>
      </c>
      <c r="G262">
        <v>0</v>
      </c>
      <c r="H262">
        <v>0</v>
      </c>
      <c r="I262">
        <v>0</v>
      </c>
      <c r="J262">
        <v>0</v>
      </c>
      <c r="K262">
        <v>338</v>
      </c>
      <c r="L262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62" cm="1">
        <f t="array" ref="M262">MAX(IF((ProjectInfoTable[ProjectName]=DiscreteStatsTable[[#This Row],[ProjectName]]),(ProjectInfoTable[ProjectName]=DiscreteStatsTable[[#This Row],[ProjectName]])*ProjectInfoTable[NumberOfReplications]))</f>
        <v>30</v>
      </c>
      <c r="N262" cm="1">
        <f t="array" ref="N262">IFERROR(AVERAGE(IF((DiscreteStatsTable[GroupByKey]=DiscreteStatsTable[[#This Row],[GroupByKey]]),(DiscreteStatsTable[GroupByKey]=DiscreteStatsTable[[#This Row],[GroupByKey]])*DiscreteStatsTable[Average])),0)</f>
        <v>0</v>
      </c>
      <c r="O262" cm="1">
        <f t="array" ref="O262">IFERROR(_xlfn.STDEV.S(IF((DiscreteStatsTable[GroupByKey]=DiscreteStatsTable[[#This Row],[GroupByKey]]),(DiscreteStatsTable[GroupByKey]=DiscreteStatsTable[[#This Row],[GroupByKey]])*DiscreteStatsTable[Average])),0)</f>
        <v>0</v>
      </c>
      <c r="P262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2" cm="1">
        <f t="array" ref="R262">MIN(IF((DiscreteStatsTable[GroupByKey]=DiscreteStatsTable[[#This Row],[GroupByKey]]),(DiscreteStatsTable[GroupByKey]=DiscreteStatsTable[[#This Row],[GroupByKey]])*DiscreteStatsTable[Average]))</f>
        <v>0</v>
      </c>
      <c r="S262" cm="1">
        <f t="array" ref="S262">MAX(IF((DiscreteStatsTable[GroupByKey]=DiscreteStatsTable[[#This Row],[GroupByKey]]),(DiscreteStatsTable[GroupByKey]=DiscreteStatsTable[[#This Row],[GroupByKey]])*DiscreteStatsTable[Average]))</f>
        <v>0</v>
      </c>
      <c r="T262" cm="1">
        <f t="array" ref="T262">MIN(IF((DiscreteStatsTable[GroupByKey]=DiscreteStatsTable[[#This Row],[GroupByKey]]),(DiscreteStatsTable[GroupByKey]=DiscreteStatsTable[[#This Row],[GroupByKey]])*DiscreteStatsTable[Minimum]))</f>
        <v>0</v>
      </c>
      <c r="U262" cm="1">
        <f t="array" ref="U262">MAX(IF((DiscreteStatsTable[GroupByKey]=DiscreteStatsTable[[#This Row],[GroupByKey]]),(DiscreteStatsTable[GroupByKey]=DiscreteStatsTable[[#This Row],[GroupByKey]])*DiscreteStatsTable[Maximum]))</f>
        <v>0</v>
      </c>
      <c r="V262" cm="1">
        <f t="array" ref="V262">IFERROR(AVERAGE(IF((DiscreteStatsTable[GroupByKey]=DiscreteStatsTable[[#This Row],[GroupByKey]]),(DiscreteStatsTable[GroupByKey]=DiscreteStatsTable[[#This Row],[GroupByKey]])*DiscreteStatsTable[NumberObservations])),0)</f>
        <v>344.6</v>
      </c>
      <c r="W262">
        <f>IF((DiscreteStatsTable[[#This Row],[RepsRequested]]&gt;1),DiscreteStatsTable[[#This Row],[HalfWidth]],DiscreteStatsTable[[#This Row],[BatchMeansHalfWidth]])</f>
        <v>0</v>
      </c>
      <c r="X262" cm="1">
        <f t="array" ref="X262">COUNT(IF((DiscreteStatsTable[GroupByKey]=DiscreteStatsTable[[#This Row],[GroupByKey]]),(DiscreteStatsTable[GroupByKey]=DiscreteStatsTable[[#This Row],[GroupByKey]])*DiscreteStatsTable[Replication]))</f>
        <v>30</v>
      </c>
      <c r="Y262">
        <f>IF(DiscreteStatsTable[[#This Row],[RepsRequested]]=DiscreteStatsTable[[#This Row],[RepsWithStatObserved]],1,0)</f>
        <v>1</v>
      </c>
    </row>
    <row r="263" spans="1:25" x14ac:dyDescent="0.2">
      <c r="A263" t="s">
        <v>67</v>
      </c>
      <c r="B263" t="s">
        <v>70</v>
      </c>
      <c r="C263">
        <v>22</v>
      </c>
      <c r="D263" t="s">
        <v>86</v>
      </c>
      <c r="E263" t="s">
        <v>72</v>
      </c>
      <c r="F263" t="s">
        <v>73</v>
      </c>
      <c r="G263">
        <v>0</v>
      </c>
      <c r="H263">
        <v>0</v>
      </c>
      <c r="I263">
        <v>0</v>
      </c>
      <c r="J263">
        <v>0</v>
      </c>
      <c r="K263">
        <v>334</v>
      </c>
      <c r="L263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63" cm="1">
        <f t="array" ref="M263">MAX(IF((ProjectInfoTable[ProjectName]=DiscreteStatsTable[[#This Row],[ProjectName]]),(ProjectInfoTable[ProjectName]=DiscreteStatsTable[[#This Row],[ProjectName]])*ProjectInfoTable[NumberOfReplications]))</f>
        <v>30</v>
      </c>
      <c r="N263" cm="1">
        <f t="array" ref="N263">IFERROR(AVERAGE(IF((DiscreteStatsTable[GroupByKey]=DiscreteStatsTable[[#This Row],[GroupByKey]]),(DiscreteStatsTable[GroupByKey]=DiscreteStatsTable[[#This Row],[GroupByKey]])*DiscreteStatsTable[Average])),0)</f>
        <v>0</v>
      </c>
      <c r="O263" cm="1">
        <f t="array" ref="O263">IFERROR(_xlfn.STDEV.S(IF((DiscreteStatsTable[GroupByKey]=DiscreteStatsTable[[#This Row],[GroupByKey]]),(DiscreteStatsTable[GroupByKey]=DiscreteStatsTable[[#This Row],[GroupByKey]])*DiscreteStatsTable[Average])),0)</f>
        <v>0</v>
      </c>
      <c r="P263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3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cm="1">
        <f t="array" ref="S263">MAX(IF((DiscreteStatsTable[GroupByKey]=DiscreteStatsTable[[#This Row],[GroupByKey]]),(DiscreteStatsTable[GroupByKey]=DiscreteStatsTable[[#This Row],[GroupByKey]])*DiscreteStatsTable[Average]))</f>
        <v>0</v>
      </c>
      <c r="T263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cm="1">
        <f t="array" ref="U263">MAX(IF((DiscreteStatsTable[GroupByKey]=DiscreteStatsTable[[#This Row],[GroupByKey]]),(DiscreteStatsTable[GroupByKey]=DiscreteStatsTable[[#This Row],[GroupByKey]])*DiscreteStatsTable[Maximum]))</f>
        <v>0</v>
      </c>
      <c r="V263" cm="1">
        <f t="array" ref="V263">IFERROR(AVERAGE(IF((DiscreteStatsTable[GroupByKey]=DiscreteStatsTable[[#This Row],[GroupByKey]]),(DiscreteStatsTable[GroupByKey]=DiscreteStatsTable[[#This Row],[GroupByKey]])*DiscreteStatsTable[NumberObservations])),0)</f>
        <v>344.6</v>
      </c>
      <c r="W263">
        <f>IF((DiscreteStatsTable[[#This Row],[RepsRequested]]&gt;1),DiscreteStatsTable[[#This Row],[HalfWidth]],DiscreteStatsTable[[#This Row],[BatchMeansHalfWidth]])</f>
        <v>0</v>
      </c>
      <c r="X263" cm="1">
        <f t="array" ref="X263">COUNT(IF((DiscreteStatsTable[GroupByKey]=DiscreteStatsTable[[#This Row],[GroupByKey]]),(DiscreteStatsTable[GroupByKey]=DiscreteStatsTable[[#This Row],[GroupByKey]])*DiscreteStatsTable[Replication]))</f>
        <v>30</v>
      </c>
      <c r="Y263">
        <f>IF(DiscreteStatsTable[[#This Row],[RepsRequested]]=DiscreteStatsTable[[#This Row],[RepsWithStatObserved]],1,0)</f>
        <v>1</v>
      </c>
    </row>
    <row r="264" spans="1:25" x14ac:dyDescent="0.2">
      <c r="A264" t="s">
        <v>67</v>
      </c>
      <c r="B264" t="s">
        <v>70</v>
      </c>
      <c r="C264">
        <v>23</v>
      </c>
      <c r="D264" t="s">
        <v>86</v>
      </c>
      <c r="E264" t="s">
        <v>72</v>
      </c>
      <c r="F264" t="s">
        <v>73</v>
      </c>
      <c r="G264">
        <v>0</v>
      </c>
      <c r="H264">
        <v>2E+20</v>
      </c>
      <c r="I264">
        <v>0</v>
      </c>
      <c r="J264">
        <v>0</v>
      </c>
      <c r="K264">
        <v>311</v>
      </c>
      <c r="L264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64" cm="1">
        <f t="array" ref="M264">MAX(IF((ProjectInfoTable[ProjectName]=DiscreteStatsTable[[#This Row],[ProjectName]]),(ProjectInfoTable[ProjectName]=DiscreteStatsTable[[#This Row],[ProjectName]])*ProjectInfoTable[NumberOfReplications]))</f>
        <v>30</v>
      </c>
      <c r="N264" cm="1">
        <f t="array" ref="N264">IFERROR(AVERAGE(IF((DiscreteStatsTable[GroupByKey]=DiscreteStatsTable[[#This Row],[GroupByKey]]),(DiscreteStatsTable[GroupByKey]=DiscreteStatsTable[[#This Row],[GroupByKey]])*DiscreteStatsTable[Average])),0)</f>
        <v>0</v>
      </c>
      <c r="O264" cm="1">
        <f t="array" ref="O264">IFERROR(_xlfn.STDEV.S(IF((DiscreteStatsTable[GroupByKey]=DiscreteStatsTable[[#This Row],[GroupByKey]]),(DiscreteStatsTable[GroupByKey]=DiscreteStatsTable[[#This Row],[GroupByKey]])*DiscreteStatsTable[Average])),0)</f>
        <v>0</v>
      </c>
      <c r="P264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4" cm="1">
        <f t="array" ref="R264">MIN(IF((DiscreteStatsTable[GroupByKey]=DiscreteStatsTable[[#This Row],[GroupByKey]]),(DiscreteStatsTable[GroupByKey]=DiscreteStatsTable[[#This Row],[GroupByKey]])*DiscreteStatsTable[Average]))</f>
        <v>0</v>
      </c>
      <c r="S264" cm="1">
        <f t="array" ref="S264">MAX(IF((DiscreteStatsTable[GroupByKey]=DiscreteStatsTable[[#This Row],[GroupByKey]]),(DiscreteStatsTable[GroupByKey]=DiscreteStatsTable[[#This Row],[GroupByKey]])*DiscreteStatsTable[Average]))</f>
        <v>0</v>
      </c>
      <c r="T264" cm="1">
        <f t="array" ref="T264">MIN(IF((DiscreteStatsTable[GroupByKey]=DiscreteStatsTable[[#This Row],[GroupByKey]]),(DiscreteStatsTable[GroupByKey]=DiscreteStatsTable[[#This Row],[GroupByKey]])*DiscreteStatsTable[Minimum]))</f>
        <v>0</v>
      </c>
      <c r="U264" cm="1">
        <f t="array" ref="U264">MAX(IF((DiscreteStatsTable[GroupByKey]=DiscreteStatsTable[[#This Row],[GroupByKey]]),(DiscreteStatsTable[GroupByKey]=DiscreteStatsTable[[#This Row],[GroupByKey]])*DiscreteStatsTable[Maximum]))</f>
        <v>0</v>
      </c>
      <c r="V264" cm="1">
        <f t="array" ref="V264">IFERROR(AVERAGE(IF((DiscreteStatsTable[GroupByKey]=DiscreteStatsTable[[#This Row],[GroupByKey]]),(DiscreteStatsTable[GroupByKey]=DiscreteStatsTable[[#This Row],[GroupByKey]])*DiscreteStatsTable[NumberObservations])),0)</f>
        <v>344.6</v>
      </c>
      <c r="W264">
        <f>IF((DiscreteStatsTable[[#This Row],[RepsRequested]]&gt;1),DiscreteStatsTable[[#This Row],[HalfWidth]],DiscreteStatsTable[[#This Row],[BatchMeansHalfWidth]])</f>
        <v>0</v>
      </c>
      <c r="X264" cm="1">
        <f t="array" ref="X264">COUNT(IF((DiscreteStatsTable[GroupByKey]=DiscreteStatsTable[[#This Row],[GroupByKey]]),(DiscreteStatsTable[GroupByKey]=DiscreteStatsTable[[#This Row],[GroupByKey]])*DiscreteStatsTable[Replication]))</f>
        <v>30</v>
      </c>
      <c r="Y264">
        <f>IF(DiscreteStatsTable[[#This Row],[RepsRequested]]=DiscreteStatsTable[[#This Row],[RepsWithStatObserved]],1,0)</f>
        <v>1</v>
      </c>
    </row>
    <row r="265" spans="1:25" x14ac:dyDescent="0.2">
      <c r="A265" t="s">
        <v>67</v>
      </c>
      <c r="B265" t="s">
        <v>70</v>
      </c>
      <c r="C265">
        <v>24</v>
      </c>
      <c r="D265" t="s">
        <v>86</v>
      </c>
      <c r="E265" t="s">
        <v>72</v>
      </c>
      <c r="F265" t="s">
        <v>73</v>
      </c>
      <c r="G265">
        <v>0</v>
      </c>
      <c r="H265">
        <v>0</v>
      </c>
      <c r="I265">
        <v>0</v>
      </c>
      <c r="J265">
        <v>0</v>
      </c>
      <c r="K265">
        <v>371</v>
      </c>
      <c r="L265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65" cm="1">
        <f t="array" ref="M265">MAX(IF((ProjectInfoTable[ProjectName]=DiscreteStatsTable[[#This Row],[ProjectName]]),(ProjectInfoTable[ProjectName]=DiscreteStatsTable[[#This Row],[ProjectName]])*ProjectInfoTable[NumberOfReplications]))</f>
        <v>30</v>
      </c>
      <c r="N265" cm="1">
        <f t="array" ref="N265">IFERROR(AVERAGE(IF((DiscreteStatsTable[GroupByKey]=DiscreteStatsTable[[#This Row],[GroupByKey]]),(DiscreteStatsTable[GroupByKey]=DiscreteStatsTable[[#This Row],[GroupByKey]])*DiscreteStatsTable[Average])),0)</f>
        <v>0</v>
      </c>
      <c r="O265" cm="1">
        <f t="array" ref="O265">IFERROR(_xlfn.STDEV.S(IF((DiscreteStatsTable[GroupByKey]=DiscreteStatsTable[[#This Row],[GroupByKey]]),(DiscreteStatsTable[GroupByKey]=DiscreteStatsTable[[#This Row],[GroupByKey]])*DiscreteStatsTable[Average])),0)</f>
        <v>0</v>
      </c>
      <c r="P26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cm="1">
        <f t="array" ref="S265">MAX(IF((DiscreteStatsTable[GroupByKey]=DiscreteStatsTable[[#This Row],[GroupByKey]]),(DiscreteStatsTable[GroupByKey]=DiscreteStatsTable[[#This Row],[GroupByKey]])*DiscreteStatsTable[Average]))</f>
        <v>0</v>
      </c>
      <c r="T26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cm="1">
        <f t="array" ref="U265">MAX(IF((DiscreteStatsTable[GroupByKey]=DiscreteStatsTable[[#This Row],[GroupByKey]]),(DiscreteStatsTable[GroupByKey]=DiscreteStatsTable[[#This Row],[GroupByKey]])*DiscreteStatsTable[Maximum]))</f>
        <v>0</v>
      </c>
      <c r="V265" cm="1">
        <f t="array" ref="V265">IFERROR(AVERAGE(IF((DiscreteStatsTable[GroupByKey]=DiscreteStatsTable[[#This Row],[GroupByKey]]),(DiscreteStatsTable[GroupByKey]=DiscreteStatsTable[[#This Row],[GroupByKey]])*DiscreteStatsTable[NumberObservations])),0)</f>
        <v>344.6</v>
      </c>
      <c r="W265">
        <f>IF((DiscreteStatsTable[[#This Row],[RepsRequested]]&gt;1),DiscreteStatsTable[[#This Row],[HalfWidth]],DiscreteStatsTable[[#This Row],[BatchMeansHalfWidth]])</f>
        <v>0</v>
      </c>
      <c r="X265" cm="1">
        <f t="array" ref="X265">COUNT(IF((DiscreteStatsTable[GroupByKey]=DiscreteStatsTable[[#This Row],[GroupByKey]]),(DiscreteStatsTable[GroupByKey]=DiscreteStatsTable[[#This Row],[GroupByKey]])*DiscreteStatsTable[Replication]))</f>
        <v>30</v>
      </c>
      <c r="Y265">
        <f>IF(DiscreteStatsTable[[#This Row],[RepsRequested]]=DiscreteStatsTable[[#This Row],[RepsWithStatObserved]],1,0)</f>
        <v>1</v>
      </c>
    </row>
    <row r="266" spans="1:25" x14ac:dyDescent="0.2">
      <c r="A266" t="s">
        <v>67</v>
      </c>
      <c r="B266" t="s">
        <v>70</v>
      </c>
      <c r="C266">
        <v>25</v>
      </c>
      <c r="D266" t="s">
        <v>86</v>
      </c>
      <c r="E266" t="s">
        <v>72</v>
      </c>
      <c r="F266" t="s">
        <v>73</v>
      </c>
      <c r="G266">
        <v>0</v>
      </c>
      <c r="H266">
        <v>0</v>
      </c>
      <c r="I266">
        <v>0</v>
      </c>
      <c r="J266">
        <v>0</v>
      </c>
      <c r="K266">
        <v>374</v>
      </c>
      <c r="L266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66" cm="1">
        <f t="array" ref="M266">MAX(IF((ProjectInfoTable[ProjectName]=DiscreteStatsTable[[#This Row],[ProjectName]]),(ProjectInfoTable[ProjectName]=DiscreteStatsTable[[#This Row],[ProjectName]])*ProjectInfoTable[NumberOfReplications]))</f>
        <v>30</v>
      </c>
      <c r="N266" cm="1">
        <f t="array" ref="N266">IFERROR(AVERAGE(IF((DiscreteStatsTable[GroupByKey]=DiscreteStatsTable[[#This Row],[GroupByKey]]),(DiscreteStatsTable[GroupByKey]=DiscreteStatsTable[[#This Row],[GroupByKey]])*DiscreteStatsTable[Average])),0)</f>
        <v>0</v>
      </c>
      <c r="O266" cm="1">
        <f t="array" ref="O266">IFERROR(_xlfn.STDEV.S(IF((DiscreteStatsTable[GroupByKey]=DiscreteStatsTable[[#This Row],[GroupByKey]]),(DiscreteStatsTable[GroupByKey]=DiscreteStatsTable[[#This Row],[GroupByKey]])*DiscreteStatsTable[Average])),0)</f>
        <v>0</v>
      </c>
      <c r="P266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6" cm="1">
        <f t="array" ref="R266">MIN(IF((DiscreteStatsTable[GroupByKey]=DiscreteStatsTable[[#This Row],[GroupByKey]]),(DiscreteStatsTable[GroupByKey]=DiscreteStatsTable[[#This Row],[GroupByKey]])*DiscreteStatsTable[Average]))</f>
        <v>0</v>
      </c>
      <c r="S266" cm="1">
        <f t="array" ref="S266">MAX(IF((DiscreteStatsTable[GroupByKey]=DiscreteStatsTable[[#This Row],[GroupByKey]]),(DiscreteStatsTable[GroupByKey]=DiscreteStatsTable[[#This Row],[GroupByKey]])*DiscreteStatsTable[Average]))</f>
        <v>0</v>
      </c>
      <c r="T266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cm="1">
        <f t="array" ref="U266">MAX(IF((DiscreteStatsTable[GroupByKey]=DiscreteStatsTable[[#This Row],[GroupByKey]]),(DiscreteStatsTable[GroupByKey]=DiscreteStatsTable[[#This Row],[GroupByKey]])*DiscreteStatsTable[Maximum]))</f>
        <v>0</v>
      </c>
      <c r="V266" cm="1">
        <f t="array" ref="V266">IFERROR(AVERAGE(IF((DiscreteStatsTable[GroupByKey]=DiscreteStatsTable[[#This Row],[GroupByKey]]),(DiscreteStatsTable[GroupByKey]=DiscreteStatsTable[[#This Row],[GroupByKey]])*DiscreteStatsTable[NumberObservations])),0)</f>
        <v>344.6</v>
      </c>
      <c r="W266">
        <f>IF((DiscreteStatsTable[[#This Row],[RepsRequested]]&gt;1),DiscreteStatsTable[[#This Row],[HalfWidth]],DiscreteStatsTable[[#This Row],[BatchMeansHalfWidth]])</f>
        <v>0</v>
      </c>
      <c r="X266" cm="1">
        <f t="array" ref="X266">COUNT(IF((DiscreteStatsTable[GroupByKey]=DiscreteStatsTable[[#This Row],[GroupByKey]]),(DiscreteStatsTable[GroupByKey]=DiscreteStatsTable[[#This Row],[GroupByKey]])*DiscreteStatsTable[Replication]))</f>
        <v>30</v>
      </c>
      <c r="Y266">
        <f>IF(DiscreteStatsTable[[#This Row],[RepsRequested]]=DiscreteStatsTable[[#This Row],[RepsWithStatObserved]],1,0)</f>
        <v>1</v>
      </c>
    </row>
    <row r="267" spans="1:25" x14ac:dyDescent="0.2">
      <c r="A267" t="s">
        <v>67</v>
      </c>
      <c r="B267" t="s">
        <v>70</v>
      </c>
      <c r="C267">
        <v>26</v>
      </c>
      <c r="D267" t="s">
        <v>86</v>
      </c>
      <c r="E267" t="s">
        <v>72</v>
      </c>
      <c r="F267" t="s">
        <v>73</v>
      </c>
      <c r="G267">
        <v>0</v>
      </c>
      <c r="H267">
        <v>0</v>
      </c>
      <c r="I267">
        <v>0</v>
      </c>
      <c r="J267">
        <v>0</v>
      </c>
      <c r="K267">
        <v>344</v>
      </c>
      <c r="L267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67" cm="1">
        <f t="array" ref="M267">MAX(IF((ProjectInfoTable[ProjectName]=DiscreteStatsTable[[#This Row],[ProjectName]]),(ProjectInfoTable[ProjectName]=DiscreteStatsTable[[#This Row],[ProjectName]])*ProjectInfoTable[NumberOfReplications]))</f>
        <v>30</v>
      </c>
      <c r="N267" cm="1">
        <f t="array" ref="N267">IFERROR(AVERAGE(IF((DiscreteStatsTable[GroupByKey]=DiscreteStatsTable[[#This Row],[GroupByKey]]),(DiscreteStatsTable[GroupByKey]=DiscreteStatsTable[[#This Row],[GroupByKey]])*DiscreteStatsTable[Average])),0)</f>
        <v>0</v>
      </c>
      <c r="O267" cm="1">
        <f t="array" ref="O267">IFERROR(_xlfn.STDEV.S(IF((DiscreteStatsTable[GroupByKey]=DiscreteStatsTable[[#This Row],[GroupByKey]]),(DiscreteStatsTable[GroupByKey]=DiscreteStatsTable[[#This Row],[GroupByKey]])*DiscreteStatsTable[Average])),0)</f>
        <v>0</v>
      </c>
      <c r="P267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7" cm="1">
        <f t="array" ref="R267">MIN(IF((DiscreteStatsTable[GroupByKey]=DiscreteStatsTable[[#This Row],[GroupByKey]]),(DiscreteStatsTable[GroupByKey]=DiscreteStatsTable[[#This Row],[GroupByKey]])*DiscreteStatsTable[Average]))</f>
        <v>0</v>
      </c>
      <c r="S267" cm="1">
        <f t="array" ref="S267">MAX(IF((DiscreteStatsTable[GroupByKey]=DiscreteStatsTable[[#This Row],[GroupByKey]]),(DiscreteStatsTable[GroupByKey]=DiscreteStatsTable[[#This Row],[GroupByKey]])*DiscreteStatsTable[Average]))</f>
        <v>0</v>
      </c>
      <c r="T267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cm="1">
        <f t="array" ref="U267">MAX(IF((DiscreteStatsTable[GroupByKey]=DiscreteStatsTable[[#This Row],[GroupByKey]]),(DiscreteStatsTable[GroupByKey]=DiscreteStatsTable[[#This Row],[GroupByKey]])*DiscreteStatsTable[Maximum]))</f>
        <v>0</v>
      </c>
      <c r="V267" cm="1">
        <f t="array" ref="V267">IFERROR(AVERAGE(IF((DiscreteStatsTable[GroupByKey]=DiscreteStatsTable[[#This Row],[GroupByKey]]),(DiscreteStatsTable[GroupByKey]=DiscreteStatsTable[[#This Row],[GroupByKey]])*DiscreteStatsTable[NumberObservations])),0)</f>
        <v>344.6</v>
      </c>
      <c r="W267">
        <f>IF((DiscreteStatsTable[[#This Row],[RepsRequested]]&gt;1),DiscreteStatsTable[[#This Row],[HalfWidth]],DiscreteStatsTable[[#This Row],[BatchMeansHalfWidth]])</f>
        <v>0</v>
      </c>
      <c r="X267" cm="1">
        <f t="array" ref="X267">COUNT(IF((DiscreteStatsTable[GroupByKey]=DiscreteStatsTable[[#This Row],[GroupByKey]]),(DiscreteStatsTable[GroupByKey]=DiscreteStatsTable[[#This Row],[GroupByKey]])*DiscreteStatsTable[Replication]))</f>
        <v>30</v>
      </c>
      <c r="Y267">
        <f>IF(DiscreteStatsTable[[#This Row],[RepsRequested]]=DiscreteStatsTable[[#This Row],[RepsWithStatObserved]],1,0)</f>
        <v>1</v>
      </c>
    </row>
    <row r="268" spans="1:25" x14ac:dyDescent="0.2">
      <c r="A268" t="s">
        <v>67</v>
      </c>
      <c r="B268" t="s">
        <v>70</v>
      </c>
      <c r="C268">
        <v>27</v>
      </c>
      <c r="D268" t="s">
        <v>86</v>
      </c>
      <c r="E268" t="s">
        <v>72</v>
      </c>
      <c r="F268" t="s">
        <v>73</v>
      </c>
      <c r="G268">
        <v>0</v>
      </c>
      <c r="H268">
        <v>0</v>
      </c>
      <c r="I268">
        <v>0</v>
      </c>
      <c r="J268">
        <v>0</v>
      </c>
      <c r="K268">
        <v>327</v>
      </c>
      <c r="L268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68" cm="1">
        <f t="array" ref="M268">MAX(IF((ProjectInfoTable[ProjectName]=DiscreteStatsTable[[#This Row],[ProjectName]]),(ProjectInfoTable[ProjectName]=DiscreteStatsTable[[#This Row],[ProjectName]])*ProjectInfoTable[NumberOfReplications]))</f>
        <v>30</v>
      </c>
      <c r="N268" cm="1">
        <f t="array" ref="N268">IFERROR(AVERAGE(IF((DiscreteStatsTable[GroupByKey]=DiscreteStatsTable[[#This Row],[GroupByKey]]),(DiscreteStatsTable[GroupByKey]=DiscreteStatsTable[[#This Row],[GroupByKey]])*DiscreteStatsTable[Average])),0)</f>
        <v>0</v>
      </c>
      <c r="O268" cm="1">
        <f t="array" ref="O268">IFERROR(_xlfn.STDEV.S(IF((DiscreteStatsTable[GroupByKey]=DiscreteStatsTable[[#This Row],[GroupByKey]]),(DiscreteStatsTable[GroupByKey]=DiscreteStatsTable[[#This Row],[GroupByKey]])*DiscreteStatsTable[Average])),0)</f>
        <v>0</v>
      </c>
      <c r="P268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8" cm="1">
        <f t="array" ref="R268">MIN(IF((DiscreteStatsTable[GroupByKey]=DiscreteStatsTable[[#This Row],[GroupByKey]]),(DiscreteStatsTable[GroupByKey]=DiscreteStatsTable[[#This Row],[GroupByKey]])*DiscreteStatsTable[Average]))</f>
        <v>0</v>
      </c>
      <c r="S268" cm="1">
        <f t="array" ref="S268">MAX(IF((DiscreteStatsTable[GroupByKey]=DiscreteStatsTable[[#This Row],[GroupByKey]]),(DiscreteStatsTable[GroupByKey]=DiscreteStatsTable[[#This Row],[GroupByKey]])*DiscreteStatsTable[Average]))</f>
        <v>0</v>
      </c>
      <c r="T268" cm="1">
        <f t="array" ref="T268">MIN(IF((DiscreteStatsTable[GroupByKey]=DiscreteStatsTable[[#This Row],[GroupByKey]]),(DiscreteStatsTable[GroupByKey]=DiscreteStatsTable[[#This Row],[GroupByKey]])*DiscreteStatsTable[Minimum]))</f>
        <v>0</v>
      </c>
      <c r="U268" cm="1">
        <f t="array" ref="U268">MAX(IF((DiscreteStatsTable[GroupByKey]=DiscreteStatsTable[[#This Row],[GroupByKey]]),(DiscreteStatsTable[GroupByKey]=DiscreteStatsTable[[#This Row],[GroupByKey]])*DiscreteStatsTable[Maximum]))</f>
        <v>0</v>
      </c>
      <c r="V268" cm="1">
        <f t="array" ref="V268">IFERROR(AVERAGE(IF((DiscreteStatsTable[GroupByKey]=DiscreteStatsTable[[#This Row],[GroupByKey]]),(DiscreteStatsTable[GroupByKey]=DiscreteStatsTable[[#This Row],[GroupByKey]])*DiscreteStatsTable[NumberObservations])),0)</f>
        <v>344.6</v>
      </c>
      <c r="W268">
        <f>IF((DiscreteStatsTable[[#This Row],[RepsRequested]]&gt;1),DiscreteStatsTable[[#This Row],[HalfWidth]],DiscreteStatsTable[[#This Row],[BatchMeansHalfWidth]])</f>
        <v>0</v>
      </c>
      <c r="X268" cm="1">
        <f t="array" ref="X268">COUNT(IF((DiscreteStatsTable[GroupByKey]=DiscreteStatsTable[[#This Row],[GroupByKey]]),(DiscreteStatsTable[GroupByKey]=DiscreteStatsTable[[#This Row],[GroupByKey]])*DiscreteStatsTable[Replication]))</f>
        <v>30</v>
      </c>
      <c r="Y268">
        <f>IF(DiscreteStatsTable[[#This Row],[RepsRequested]]=DiscreteStatsTable[[#This Row],[RepsWithStatObserved]],1,0)</f>
        <v>1</v>
      </c>
    </row>
    <row r="269" spans="1:25" x14ac:dyDescent="0.2">
      <c r="A269" t="s">
        <v>67</v>
      </c>
      <c r="B269" t="s">
        <v>70</v>
      </c>
      <c r="C269">
        <v>28</v>
      </c>
      <c r="D269" t="s">
        <v>86</v>
      </c>
      <c r="E269" t="s">
        <v>72</v>
      </c>
      <c r="F269" t="s">
        <v>73</v>
      </c>
      <c r="G269">
        <v>0</v>
      </c>
      <c r="H269">
        <v>2E+20</v>
      </c>
      <c r="I269">
        <v>0</v>
      </c>
      <c r="J269">
        <v>0</v>
      </c>
      <c r="K269">
        <v>314</v>
      </c>
      <c r="L269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69" cm="1">
        <f t="array" ref="M269">MAX(IF((ProjectInfoTable[ProjectName]=DiscreteStatsTable[[#This Row],[ProjectName]]),(ProjectInfoTable[ProjectName]=DiscreteStatsTable[[#This Row],[ProjectName]])*ProjectInfoTable[NumberOfReplications]))</f>
        <v>30</v>
      </c>
      <c r="N269" cm="1">
        <f t="array" ref="N269">IFERROR(AVERAGE(IF((DiscreteStatsTable[GroupByKey]=DiscreteStatsTable[[#This Row],[GroupByKey]]),(DiscreteStatsTable[GroupByKey]=DiscreteStatsTable[[#This Row],[GroupByKey]])*DiscreteStatsTable[Average])),0)</f>
        <v>0</v>
      </c>
      <c r="O269" cm="1">
        <f t="array" ref="O269">IFERROR(_xlfn.STDEV.S(IF((DiscreteStatsTable[GroupByKey]=DiscreteStatsTable[[#This Row],[GroupByKey]]),(DiscreteStatsTable[GroupByKey]=DiscreteStatsTable[[#This Row],[GroupByKey]])*DiscreteStatsTable[Average])),0)</f>
        <v>0</v>
      </c>
      <c r="P269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9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cm="1">
        <f t="array" ref="S269">MAX(IF((DiscreteStatsTable[GroupByKey]=DiscreteStatsTable[[#This Row],[GroupByKey]]),(DiscreteStatsTable[GroupByKey]=DiscreteStatsTable[[#This Row],[GroupByKey]])*DiscreteStatsTable[Average]))</f>
        <v>0</v>
      </c>
      <c r="T269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cm="1">
        <f t="array" ref="U269">MAX(IF((DiscreteStatsTable[GroupByKey]=DiscreteStatsTable[[#This Row],[GroupByKey]]),(DiscreteStatsTable[GroupByKey]=DiscreteStatsTable[[#This Row],[GroupByKey]])*DiscreteStatsTable[Maximum]))</f>
        <v>0</v>
      </c>
      <c r="V269" cm="1">
        <f t="array" ref="V269">IFERROR(AVERAGE(IF((DiscreteStatsTable[GroupByKey]=DiscreteStatsTable[[#This Row],[GroupByKey]]),(DiscreteStatsTable[GroupByKey]=DiscreteStatsTable[[#This Row],[GroupByKey]])*DiscreteStatsTable[NumberObservations])),0)</f>
        <v>344.6</v>
      </c>
      <c r="W269">
        <f>IF((DiscreteStatsTable[[#This Row],[RepsRequested]]&gt;1),DiscreteStatsTable[[#This Row],[HalfWidth]],DiscreteStatsTable[[#This Row],[BatchMeansHalfWidth]])</f>
        <v>0</v>
      </c>
      <c r="X269" cm="1">
        <f t="array" ref="X269">COUNT(IF((DiscreteStatsTable[GroupByKey]=DiscreteStatsTable[[#This Row],[GroupByKey]]),(DiscreteStatsTable[GroupByKey]=DiscreteStatsTable[[#This Row],[GroupByKey]])*DiscreteStatsTable[Replication]))</f>
        <v>30</v>
      </c>
      <c r="Y269">
        <f>IF(DiscreteStatsTable[[#This Row],[RepsRequested]]=DiscreteStatsTable[[#This Row],[RepsWithStatObserved]],1,0)</f>
        <v>1</v>
      </c>
    </row>
    <row r="270" spans="1:25" x14ac:dyDescent="0.2">
      <c r="A270" t="s">
        <v>67</v>
      </c>
      <c r="B270" t="s">
        <v>70</v>
      </c>
      <c r="C270">
        <v>29</v>
      </c>
      <c r="D270" t="s">
        <v>86</v>
      </c>
      <c r="E270" t="s">
        <v>72</v>
      </c>
      <c r="F270" t="s">
        <v>73</v>
      </c>
      <c r="G270">
        <v>0</v>
      </c>
      <c r="H270">
        <v>0</v>
      </c>
      <c r="I270">
        <v>0</v>
      </c>
      <c r="J270">
        <v>0</v>
      </c>
      <c r="K270">
        <v>378</v>
      </c>
      <c r="L270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70" cm="1">
        <f t="array" ref="M270">MAX(IF((ProjectInfoTable[ProjectName]=DiscreteStatsTable[[#This Row],[ProjectName]]),(ProjectInfoTable[ProjectName]=DiscreteStatsTable[[#This Row],[ProjectName]])*ProjectInfoTable[NumberOfReplications]))</f>
        <v>30</v>
      </c>
      <c r="N270" cm="1">
        <f t="array" ref="N270">IFERROR(AVERAGE(IF((DiscreteStatsTable[GroupByKey]=DiscreteStatsTable[[#This Row],[GroupByKey]]),(DiscreteStatsTable[GroupByKey]=DiscreteStatsTable[[#This Row],[GroupByKey]])*DiscreteStatsTable[Average])),0)</f>
        <v>0</v>
      </c>
      <c r="O270" cm="1">
        <f t="array" ref="O270">IFERROR(_xlfn.STDEV.S(IF((DiscreteStatsTable[GroupByKey]=DiscreteStatsTable[[#This Row],[GroupByKey]]),(DiscreteStatsTable[GroupByKey]=DiscreteStatsTable[[#This Row],[GroupByKey]])*DiscreteStatsTable[Average])),0)</f>
        <v>0</v>
      </c>
      <c r="P270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0" cm="1">
        <f t="array" ref="R270">MIN(IF((DiscreteStatsTable[GroupByKey]=DiscreteStatsTable[[#This Row],[GroupByKey]]),(DiscreteStatsTable[GroupByKey]=DiscreteStatsTable[[#This Row],[GroupByKey]])*DiscreteStatsTable[Average]))</f>
        <v>0</v>
      </c>
      <c r="S270" cm="1">
        <f t="array" ref="S270">MAX(IF((DiscreteStatsTable[GroupByKey]=DiscreteStatsTable[[#This Row],[GroupByKey]]),(DiscreteStatsTable[GroupByKey]=DiscreteStatsTable[[#This Row],[GroupByKey]])*DiscreteStatsTable[Average]))</f>
        <v>0</v>
      </c>
      <c r="T270" cm="1">
        <f t="array" ref="T270">MIN(IF((DiscreteStatsTable[GroupByKey]=DiscreteStatsTable[[#This Row],[GroupByKey]]),(DiscreteStatsTable[GroupByKey]=DiscreteStatsTable[[#This Row],[GroupByKey]])*DiscreteStatsTable[Minimum]))</f>
        <v>0</v>
      </c>
      <c r="U270" cm="1">
        <f t="array" ref="U270">MAX(IF((DiscreteStatsTable[GroupByKey]=DiscreteStatsTable[[#This Row],[GroupByKey]]),(DiscreteStatsTable[GroupByKey]=DiscreteStatsTable[[#This Row],[GroupByKey]])*DiscreteStatsTable[Maximum]))</f>
        <v>0</v>
      </c>
      <c r="V270" cm="1">
        <f t="array" ref="V270">IFERROR(AVERAGE(IF((DiscreteStatsTable[GroupByKey]=DiscreteStatsTable[[#This Row],[GroupByKey]]),(DiscreteStatsTable[GroupByKey]=DiscreteStatsTable[[#This Row],[GroupByKey]])*DiscreteStatsTable[NumberObservations])),0)</f>
        <v>344.6</v>
      </c>
      <c r="W270">
        <f>IF((DiscreteStatsTable[[#This Row],[RepsRequested]]&gt;1),DiscreteStatsTable[[#This Row],[HalfWidth]],DiscreteStatsTable[[#This Row],[BatchMeansHalfWidth]])</f>
        <v>0</v>
      </c>
      <c r="X270" cm="1">
        <f t="array" ref="X270">COUNT(IF((DiscreteStatsTable[GroupByKey]=DiscreteStatsTable[[#This Row],[GroupByKey]]),(DiscreteStatsTable[GroupByKey]=DiscreteStatsTable[[#This Row],[GroupByKey]])*DiscreteStatsTable[Replication]))</f>
        <v>30</v>
      </c>
      <c r="Y270">
        <f>IF(DiscreteStatsTable[[#This Row],[RepsRequested]]=DiscreteStatsTable[[#This Row],[RepsWithStatObserved]],1,0)</f>
        <v>1</v>
      </c>
    </row>
    <row r="271" spans="1:25" x14ac:dyDescent="0.2">
      <c r="A271" t="s">
        <v>67</v>
      </c>
      <c r="B271" t="s">
        <v>70</v>
      </c>
      <c r="C271">
        <v>30</v>
      </c>
      <c r="D271" t="s">
        <v>86</v>
      </c>
      <c r="E271" t="s">
        <v>72</v>
      </c>
      <c r="F271" t="s">
        <v>73</v>
      </c>
      <c r="G271">
        <v>0</v>
      </c>
      <c r="H271">
        <v>0</v>
      </c>
      <c r="I271">
        <v>0</v>
      </c>
      <c r="J271">
        <v>0</v>
      </c>
      <c r="K271">
        <v>326</v>
      </c>
      <c r="L271" t="str">
        <f>DiscreteStatsTable[[#This Row],[ProjectName]]&amp;DiscreteStatsTable[[#This Row],[Name]]&amp;DiscreteStatsTable[[#This Row],[Type]]&amp;DiscreteStatsTable[[#This Row],[Source]]</f>
        <v>Unnamed ProjectInside_Table_Standing.QueueWaiting TimeQueue</v>
      </c>
      <c r="M271" cm="1">
        <f t="array" ref="M271">MAX(IF((ProjectInfoTable[ProjectName]=DiscreteStatsTable[[#This Row],[ProjectName]]),(ProjectInfoTable[ProjectName]=DiscreteStatsTable[[#This Row],[ProjectName]])*ProjectInfoTable[NumberOfReplications]))</f>
        <v>30</v>
      </c>
      <c r="N271" cm="1">
        <f t="array" ref="N271">IFERROR(AVERAGE(IF((DiscreteStatsTable[GroupByKey]=DiscreteStatsTable[[#This Row],[GroupByKey]]),(DiscreteStatsTable[GroupByKey]=DiscreteStatsTable[[#This Row],[GroupByKey]])*DiscreteStatsTable[Average])),0)</f>
        <v>0</v>
      </c>
      <c r="O271" cm="1">
        <f t="array" ref="O271">IFERROR(_xlfn.STDEV.S(IF((DiscreteStatsTable[GroupByKey]=DiscreteStatsTable[[#This Row],[GroupByKey]]),(DiscreteStatsTable[GroupByKey]=DiscreteStatsTable[[#This Row],[GroupByKey]])*DiscreteStatsTable[Average])),0)</f>
        <v>0</v>
      </c>
      <c r="P271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1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cm="1">
        <f t="array" ref="S271">MAX(IF((DiscreteStatsTable[GroupByKey]=DiscreteStatsTable[[#This Row],[GroupByKey]]),(DiscreteStatsTable[GroupByKey]=DiscreteStatsTable[[#This Row],[GroupByKey]])*DiscreteStatsTable[Average]))</f>
        <v>0</v>
      </c>
      <c r="T271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cm="1">
        <f t="array" ref="U271">MAX(IF((DiscreteStatsTable[GroupByKey]=DiscreteStatsTable[[#This Row],[GroupByKey]]),(DiscreteStatsTable[GroupByKey]=DiscreteStatsTable[[#This Row],[GroupByKey]])*DiscreteStatsTable[Maximum]))</f>
        <v>0</v>
      </c>
      <c r="V271" cm="1">
        <f t="array" ref="V271">IFERROR(AVERAGE(IF((DiscreteStatsTable[GroupByKey]=DiscreteStatsTable[[#This Row],[GroupByKey]]),(DiscreteStatsTable[GroupByKey]=DiscreteStatsTable[[#This Row],[GroupByKey]])*DiscreteStatsTable[NumberObservations])),0)</f>
        <v>344.6</v>
      </c>
      <c r="W271">
        <f>IF((DiscreteStatsTable[[#This Row],[RepsRequested]]&gt;1),DiscreteStatsTable[[#This Row],[HalfWidth]],DiscreteStatsTable[[#This Row],[BatchMeansHalfWidth]])</f>
        <v>0</v>
      </c>
      <c r="X271" cm="1">
        <f t="array" ref="X271">COUNT(IF((DiscreteStatsTable[GroupByKey]=DiscreteStatsTable[[#This Row],[GroupByKey]]),(DiscreteStatsTable[GroupByKey]=DiscreteStatsTable[[#This Row],[GroupByKey]])*DiscreteStatsTable[Replication]))</f>
        <v>30</v>
      </c>
      <c r="Y271">
        <f>IF(DiscreteStatsTable[[#This Row],[RepsRequested]]=DiscreteStatsTable[[#This Row],[RepsWithStatObserved]],1,0)</f>
        <v>1</v>
      </c>
    </row>
    <row r="272" spans="1:25" x14ac:dyDescent="0.2">
      <c r="A272" t="s">
        <v>67</v>
      </c>
      <c r="B272" t="s">
        <v>70</v>
      </c>
      <c r="C272">
        <v>1</v>
      </c>
      <c r="D272" t="s">
        <v>87</v>
      </c>
      <c r="E272" t="s">
        <v>72</v>
      </c>
      <c r="F272" t="s">
        <v>73</v>
      </c>
      <c r="G272">
        <v>0</v>
      </c>
      <c r="H272">
        <v>2E+20</v>
      </c>
      <c r="I272">
        <v>0</v>
      </c>
      <c r="J272">
        <v>0</v>
      </c>
      <c r="K272">
        <v>301</v>
      </c>
      <c r="L272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72" cm="1">
        <f t="array" ref="M272">MAX(IF((ProjectInfoTable[ProjectName]=DiscreteStatsTable[[#This Row],[ProjectName]]),(ProjectInfoTable[ProjectName]=DiscreteStatsTable[[#This Row],[ProjectName]])*ProjectInfoTable[NumberOfReplications]))</f>
        <v>30</v>
      </c>
      <c r="N272" cm="1">
        <f t="array" ref="N272">IFERROR(AVERAGE(IF((DiscreteStatsTable[GroupByKey]=DiscreteStatsTable[[#This Row],[GroupByKey]]),(DiscreteStatsTable[GroupByKey]=DiscreteStatsTable[[#This Row],[GroupByKey]])*DiscreteStatsTable[Average])),0)</f>
        <v>0</v>
      </c>
      <c r="O272" cm="1">
        <f t="array" ref="O272">IFERROR(_xlfn.STDEV.S(IF((DiscreteStatsTable[GroupByKey]=DiscreteStatsTable[[#This Row],[GroupByKey]]),(DiscreteStatsTable[GroupByKey]=DiscreteStatsTable[[#This Row],[GroupByKey]])*DiscreteStatsTable[Average])),0)</f>
        <v>0</v>
      </c>
      <c r="P272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2" cm="1">
        <f t="array" ref="R272">MIN(IF((DiscreteStatsTable[GroupByKey]=DiscreteStatsTable[[#This Row],[GroupByKey]]),(DiscreteStatsTable[GroupByKey]=DiscreteStatsTable[[#This Row],[GroupByKey]])*DiscreteStatsTable[Average]))</f>
        <v>0</v>
      </c>
      <c r="S272" cm="1">
        <f t="array" ref="S272">MAX(IF((DiscreteStatsTable[GroupByKey]=DiscreteStatsTable[[#This Row],[GroupByKey]]),(DiscreteStatsTable[GroupByKey]=DiscreteStatsTable[[#This Row],[GroupByKey]])*DiscreteStatsTable[Average]))</f>
        <v>0</v>
      </c>
      <c r="T272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cm="1">
        <f t="array" ref="U272">MAX(IF((DiscreteStatsTable[GroupByKey]=DiscreteStatsTable[[#This Row],[GroupByKey]]),(DiscreteStatsTable[GroupByKey]=DiscreteStatsTable[[#This Row],[GroupByKey]])*DiscreteStatsTable[Maximum]))</f>
        <v>0</v>
      </c>
      <c r="V272" cm="1">
        <f t="array" ref="V272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72">
        <f>IF((DiscreteStatsTable[[#This Row],[RepsRequested]]&gt;1),DiscreteStatsTable[[#This Row],[HalfWidth]],DiscreteStatsTable[[#This Row],[BatchMeansHalfWidth]])</f>
        <v>0</v>
      </c>
      <c r="X272" cm="1">
        <f t="array" ref="X272">COUNT(IF((DiscreteStatsTable[GroupByKey]=DiscreteStatsTable[[#This Row],[GroupByKey]]),(DiscreteStatsTable[GroupByKey]=DiscreteStatsTable[[#This Row],[GroupByKey]])*DiscreteStatsTable[Replication]))</f>
        <v>30</v>
      </c>
      <c r="Y272">
        <f>IF(DiscreteStatsTable[[#This Row],[RepsRequested]]=DiscreteStatsTable[[#This Row],[RepsWithStatObserved]],1,0)</f>
        <v>1</v>
      </c>
    </row>
    <row r="273" spans="1:25" x14ac:dyDescent="0.2">
      <c r="A273" t="s">
        <v>67</v>
      </c>
      <c r="B273" t="s">
        <v>70</v>
      </c>
      <c r="C273">
        <v>2</v>
      </c>
      <c r="D273" t="s">
        <v>87</v>
      </c>
      <c r="E273" t="s">
        <v>72</v>
      </c>
      <c r="F273" t="s">
        <v>73</v>
      </c>
      <c r="G273">
        <v>0</v>
      </c>
      <c r="H273">
        <v>2E+20</v>
      </c>
      <c r="I273">
        <v>0</v>
      </c>
      <c r="J273">
        <v>0</v>
      </c>
      <c r="K273">
        <v>304</v>
      </c>
      <c r="L273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73" cm="1">
        <f t="array" ref="M273">MAX(IF((ProjectInfoTable[ProjectName]=DiscreteStatsTable[[#This Row],[ProjectName]]),(ProjectInfoTable[ProjectName]=DiscreteStatsTable[[#This Row],[ProjectName]])*ProjectInfoTable[NumberOfReplications]))</f>
        <v>30</v>
      </c>
      <c r="N273" cm="1">
        <f t="array" ref="N273">IFERROR(AVERAGE(IF((DiscreteStatsTable[GroupByKey]=DiscreteStatsTable[[#This Row],[GroupByKey]]),(DiscreteStatsTable[GroupByKey]=DiscreteStatsTable[[#This Row],[GroupByKey]])*DiscreteStatsTable[Average])),0)</f>
        <v>0</v>
      </c>
      <c r="O273" cm="1">
        <f t="array" ref="O273">IFERROR(_xlfn.STDEV.S(IF((DiscreteStatsTable[GroupByKey]=DiscreteStatsTable[[#This Row],[GroupByKey]]),(DiscreteStatsTable[GroupByKey]=DiscreteStatsTable[[#This Row],[GroupByKey]])*DiscreteStatsTable[Average])),0)</f>
        <v>0</v>
      </c>
      <c r="P273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3" cm="1">
        <f t="array" ref="R273">MIN(IF((DiscreteStatsTable[GroupByKey]=DiscreteStatsTable[[#This Row],[GroupByKey]]),(DiscreteStatsTable[GroupByKey]=DiscreteStatsTable[[#This Row],[GroupByKey]])*DiscreteStatsTable[Average]))</f>
        <v>0</v>
      </c>
      <c r="S273" cm="1">
        <f t="array" ref="S273">MAX(IF((DiscreteStatsTable[GroupByKey]=DiscreteStatsTable[[#This Row],[GroupByKey]]),(DiscreteStatsTable[GroupByKey]=DiscreteStatsTable[[#This Row],[GroupByKey]])*DiscreteStatsTable[Average]))</f>
        <v>0</v>
      </c>
      <c r="T273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cm="1">
        <f t="array" ref="U273">MAX(IF((DiscreteStatsTable[GroupByKey]=DiscreteStatsTable[[#This Row],[GroupByKey]]),(DiscreteStatsTable[GroupByKey]=DiscreteStatsTable[[#This Row],[GroupByKey]])*DiscreteStatsTable[Maximum]))</f>
        <v>0</v>
      </c>
      <c r="V273" cm="1">
        <f t="array" ref="V273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73">
        <f>IF((DiscreteStatsTable[[#This Row],[RepsRequested]]&gt;1),DiscreteStatsTable[[#This Row],[HalfWidth]],DiscreteStatsTable[[#This Row],[BatchMeansHalfWidth]])</f>
        <v>0</v>
      </c>
      <c r="X273" cm="1">
        <f t="array" ref="X273">COUNT(IF((DiscreteStatsTable[GroupByKey]=DiscreteStatsTable[[#This Row],[GroupByKey]]),(DiscreteStatsTable[GroupByKey]=DiscreteStatsTable[[#This Row],[GroupByKey]])*DiscreteStatsTable[Replication]))</f>
        <v>30</v>
      </c>
      <c r="Y273">
        <f>IF(DiscreteStatsTable[[#This Row],[RepsRequested]]=DiscreteStatsTable[[#This Row],[RepsWithStatObserved]],1,0)</f>
        <v>1</v>
      </c>
    </row>
    <row r="274" spans="1:25" x14ac:dyDescent="0.2">
      <c r="A274" t="s">
        <v>67</v>
      </c>
      <c r="B274" t="s">
        <v>70</v>
      </c>
      <c r="C274">
        <v>3</v>
      </c>
      <c r="D274" t="s">
        <v>87</v>
      </c>
      <c r="E274" t="s">
        <v>72</v>
      </c>
      <c r="F274" t="s">
        <v>73</v>
      </c>
      <c r="G274">
        <v>0</v>
      </c>
      <c r="H274">
        <v>2E+20</v>
      </c>
      <c r="I274">
        <v>0</v>
      </c>
      <c r="J274">
        <v>0</v>
      </c>
      <c r="K274">
        <v>296</v>
      </c>
      <c r="L274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74" cm="1">
        <f t="array" ref="M274">MAX(IF((ProjectInfoTable[ProjectName]=DiscreteStatsTable[[#This Row],[ProjectName]]),(ProjectInfoTable[ProjectName]=DiscreteStatsTable[[#This Row],[ProjectName]])*ProjectInfoTable[NumberOfReplications]))</f>
        <v>30</v>
      </c>
      <c r="N274" cm="1">
        <f t="array" ref="N274">IFERROR(AVERAGE(IF((DiscreteStatsTable[GroupByKey]=DiscreteStatsTable[[#This Row],[GroupByKey]]),(DiscreteStatsTable[GroupByKey]=DiscreteStatsTable[[#This Row],[GroupByKey]])*DiscreteStatsTable[Average])),0)</f>
        <v>0</v>
      </c>
      <c r="O274" cm="1">
        <f t="array" ref="O274">IFERROR(_xlfn.STDEV.S(IF((DiscreteStatsTable[GroupByKey]=DiscreteStatsTable[[#This Row],[GroupByKey]]),(DiscreteStatsTable[GroupByKey]=DiscreteStatsTable[[#This Row],[GroupByKey]])*DiscreteStatsTable[Average])),0)</f>
        <v>0</v>
      </c>
      <c r="P274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4" cm="1">
        <f t="array" ref="R274">MIN(IF((DiscreteStatsTable[GroupByKey]=DiscreteStatsTable[[#This Row],[GroupByKey]]),(DiscreteStatsTable[GroupByKey]=DiscreteStatsTable[[#This Row],[GroupByKey]])*DiscreteStatsTable[Average]))</f>
        <v>0</v>
      </c>
      <c r="S274" cm="1">
        <f t="array" ref="S274">MAX(IF((DiscreteStatsTable[GroupByKey]=DiscreteStatsTable[[#This Row],[GroupByKey]]),(DiscreteStatsTable[GroupByKey]=DiscreteStatsTable[[#This Row],[GroupByKey]])*DiscreteStatsTable[Average]))</f>
        <v>0</v>
      </c>
      <c r="T274" cm="1">
        <f t="array" ref="T274">MIN(IF((DiscreteStatsTable[GroupByKey]=DiscreteStatsTable[[#This Row],[GroupByKey]]),(DiscreteStatsTable[GroupByKey]=DiscreteStatsTable[[#This Row],[GroupByKey]])*DiscreteStatsTable[Minimum]))</f>
        <v>0</v>
      </c>
      <c r="U274" cm="1">
        <f t="array" ref="U274">MAX(IF((DiscreteStatsTable[GroupByKey]=DiscreteStatsTable[[#This Row],[GroupByKey]]),(DiscreteStatsTable[GroupByKey]=DiscreteStatsTable[[#This Row],[GroupByKey]])*DiscreteStatsTable[Maximum]))</f>
        <v>0</v>
      </c>
      <c r="V274" cm="1">
        <f t="array" ref="V274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74">
        <f>IF((DiscreteStatsTable[[#This Row],[RepsRequested]]&gt;1),DiscreteStatsTable[[#This Row],[HalfWidth]],DiscreteStatsTable[[#This Row],[BatchMeansHalfWidth]])</f>
        <v>0</v>
      </c>
      <c r="X274" cm="1">
        <f t="array" ref="X274">COUNT(IF((DiscreteStatsTable[GroupByKey]=DiscreteStatsTable[[#This Row],[GroupByKey]]),(DiscreteStatsTable[GroupByKey]=DiscreteStatsTable[[#This Row],[GroupByKey]])*DiscreteStatsTable[Replication]))</f>
        <v>30</v>
      </c>
      <c r="Y274">
        <f>IF(DiscreteStatsTable[[#This Row],[RepsRequested]]=DiscreteStatsTable[[#This Row],[RepsWithStatObserved]],1,0)</f>
        <v>1</v>
      </c>
    </row>
    <row r="275" spans="1:25" x14ac:dyDescent="0.2">
      <c r="A275" t="s">
        <v>67</v>
      </c>
      <c r="B275" t="s">
        <v>70</v>
      </c>
      <c r="C275">
        <v>4</v>
      </c>
      <c r="D275" t="s">
        <v>87</v>
      </c>
      <c r="E275" t="s">
        <v>72</v>
      </c>
      <c r="F275" t="s">
        <v>73</v>
      </c>
      <c r="G275">
        <v>0</v>
      </c>
      <c r="H275">
        <v>0</v>
      </c>
      <c r="I275">
        <v>0</v>
      </c>
      <c r="J275">
        <v>0</v>
      </c>
      <c r="K275">
        <v>339</v>
      </c>
      <c r="L275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75" cm="1">
        <f t="array" ref="M275">MAX(IF((ProjectInfoTable[ProjectName]=DiscreteStatsTable[[#This Row],[ProjectName]]),(ProjectInfoTable[ProjectName]=DiscreteStatsTable[[#This Row],[ProjectName]])*ProjectInfoTable[NumberOfReplications]))</f>
        <v>30</v>
      </c>
      <c r="N275" cm="1">
        <f t="array" ref="N275">IFERROR(AVERAGE(IF((DiscreteStatsTable[GroupByKey]=DiscreteStatsTable[[#This Row],[GroupByKey]]),(DiscreteStatsTable[GroupByKey]=DiscreteStatsTable[[#This Row],[GroupByKey]])*DiscreteStatsTable[Average])),0)</f>
        <v>0</v>
      </c>
      <c r="O275" cm="1">
        <f t="array" ref="O275">IFERROR(_xlfn.STDEV.S(IF((DiscreteStatsTable[GroupByKey]=DiscreteStatsTable[[#This Row],[GroupByKey]]),(DiscreteStatsTable[GroupByKey]=DiscreteStatsTable[[#This Row],[GroupByKey]])*DiscreteStatsTable[Average])),0)</f>
        <v>0</v>
      </c>
      <c r="P27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cm="1">
        <f t="array" ref="S275">MAX(IF((DiscreteStatsTable[GroupByKey]=DiscreteStatsTable[[#This Row],[GroupByKey]]),(DiscreteStatsTable[GroupByKey]=DiscreteStatsTable[[#This Row],[GroupByKey]])*DiscreteStatsTable[Average]))</f>
        <v>0</v>
      </c>
      <c r="T27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cm="1">
        <f t="array" ref="U275">MAX(IF((DiscreteStatsTable[GroupByKey]=DiscreteStatsTable[[#This Row],[GroupByKey]]),(DiscreteStatsTable[GroupByKey]=DiscreteStatsTable[[#This Row],[GroupByKey]])*DiscreteStatsTable[Maximum]))</f>
        <v>0</v>
      </c>
      <c r="V275" cm="1">
        <f t="array" ref="V275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75">
        <f>IF((DiscreteStatsTable[[#This Row],[RepsRequested]]&gt;1),DiscreteStatsTable[[#This Row],[HalfWidth]],DiscreteStatsTable[[#This Row],[BatchMeansHalfWidth]])</f>
        <v>0</v>
      </c>
      <c r="X275" cm="1">
        <f t="array" ref="X275">COUNT(IF((DiscreteStatsTable[GroupByKey]=DiscreteStatsTable[[#This Row],[GroupByKey]]),(DiscreteStatsTable[GroupByKey]=DiscreteStatsTable[[#This Row],[GroupByKey]])*DiscreteStatsTable[Replication]))</f>
        <v>30</v>
      </c>
      <c r="Y275">
        <f>IF(DiscreteStatsTable[[#This Row],[RepsRequested]]=DiscreteStatsTable[[#This Row],[RepsWithStatObserved]],1,0)</f>
        <v>1</v>
      </c>
    </row>
    <row r="276" spans="1:25" x14ac:dyDescent="0.2">
      <c r="A276" t="s">
        <v>67</v>
      </c>
      <c r="B276" t="s">
        <v>70</v>
      </c>
      <c r="C276">
        <v>5</v>
      </c>
      <c r="D276" t="s">
        <v>87</v>
      </c>
      <c r="E276" t="s">
        <v>72</v>
      </c>
      <c r="F276" t="s">
        <v>73</v>
      </c>
      <c r="G276">
        <v>0</v>
      </c>
      <c r="H276">
        <v>2E+20</v>
      </c>
      <c r="I276">
        <v>0</v>
      </c>
      <c r="J276">
        <v>0</v>
      </c>
      <c r="K276">
        <v>312</v>
      </c>
      <c r="L276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76" cm="1">
        <f t="array" ref="M276">MAX(IF((ProjectInfoTable[ProjectName]=DiscreteStatsTable[[#This Row],[ProjectName]]),(ProjectInfoTable[ProjectName]=DiscreteStatsTable[[#This Row],[ProjectName]])*ProjectInfoTable[NumberOfReplications]))</f>
        <v>30</v>
      </c>
      <c r="N276" cm="1">
        <f t="array" ref="N276">IFERROR(AVERAGE(IF((DiscreteStatsTable[GroupByKey]=DiscreteStatsTable[[#This Row],[GroupByKey]]),(DiscreteStatsTable[GroupByKey]=DiscreteStatsTable[[#This Row],[GroupByKey]])*DiscreteStatsTable[Average])),0)</f>
        <v>0</v>
      </c>
      <c r="O276" cm="1">
        <f t="array" ref="O276">IFERROR(_xlfn.STDEV.S(IF((DiscreteStatsTable[GroupByKey]=DiscreteStatsTable[[#This Row],[GroupByKey]]),(DiscreteStatsTable[GroupByKey]=DiscreteStatsTable[[#This Row],[GroupByKey]])*DiscreteStatsTable[Average])),0)</f>
        <v>0</v>
      </c>
      <c r="P276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6" cm="1">
        <f t="array" ref="R276">MIN(IF((DiscreteStatsTable[GroupByKey]=DiscreteStatsTable[[#This Row],[GroupByKey]]),(DiscreteStatsTable[GroupByKey]=DiscreteStatsTable[[#This Row],[GroupByKey]])*DiscreteStatsTable[Average]))</f>
        <v>0</v>
      </c>
      <c r="S276" cm="1">
        <f t="array" ref="S276">MAX(IF((DiscreteStatsTable[GroupByKey]=DiscreteStatsTable[[#This Row],[GroupByKey]]),(DiscreteStatsTable[GroupByKey]=DiscreteStatsTable[[#This Row],[GroupByKey]])*DiscreteStatsTable[Average]))</f>
        <v>0</v>
      </c>
      <c r="T276" cm="1">
        <f t="array" ref="T276">MIN(IF((DiscreteStatsTable[GroupByKey]=DiscreteStatsTable[[#This Row],[GroupByKey]]),(DiscreteStatsTable[GroupByKey]=DiscreteStatsTable[[#This Row],[GroupByKey]])*DiscreteStatsTable[Minimum]))</f>
        <v>0</v>
      </c>
      <c r="U276" cm="1">
        <f t="array" ref="U276">MAX(IF((DiscreteStatsTable[GroupByKey]=DiscreteStatsTable[[#This Row],[GroupByKey]]),(DiscreteStatsTable[GroupByKey]=DiscreteStatsTable[[#This Row],[GroupByKey]])*DiscreteStatsTable[Maximum]))</f>
        <v>0</v>
      </c>
      <c r="V276" cm="1">
        <f t="array" ref="V276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76">
        <f>IF((DiscreteStatsTable[[#This Row],[RepsRequested]]&gt;1),DiscreteStatsTable[[#This Row],[HalfWidth]],DiscreteStatsTable[[#This Row],[BatchMeansHalfWidth]])</f>
        <v>0</v>
      </c>
      <c r="X276" cm="1">
        <f t="array" ref="X276">COUNT(IF((DiscreteStatsTable[GroupByKey]=DiscreteStatsTable[[#This Row],[GroupByKey]]),(DiscreteStatsTable[GroupByKey]=DiscreteStatsTable[[#This Row],[GroupByKey]])*DiscreteStatsTable[Replication]))</f>
        <v>30</v>
      </c>
      <c r="Y276">
        <f>IF(DiscreteStatsTable[[#This Row],[RepsRequested]]=DiscreteStatsTable[[#This Row],[RepsWithStatObserved]],1,0)</f>
        <v>1</v>
      </c>
    </row>
    <row r="277" spans="1:25" x14ac:dyDescent="0.2">
      <c r="A277" t="s">
        <v>67</v>
      </c>
      <c r="B277" t="s">
        <v>70</v>
      </c>
      <c r="C277">
        <v>6</v>
      </c>
      <c r="D277" t="s">
        <v>87</v>
      </c>
      <c r="E277" t="s">
        <v>72</v>
      </c>
      <c r="F277" t="s">
        <v>73</v>
      </c>
      <c r="G277">
        <v>0</v>
      </c>
      <c r="H277">
        <v>0</v>
      </c>
      <c r="I277">
        <v>0</v>
      </c>
      <c r="J277">
        <v>0</v>
      </c>
      <c r="K277">
        <v>330</v>
      </c>
      <c r="L277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77" cm="1">
        <f t="array" ref="M277">MAX(IF((ProjectInfoTable[ProjectName]=DiscreteStatsTable[[#This Row],[ProjectName]]),(ProjectInfoTable[ProjectName]=DiscreteStatsTable[[#This Row],[ProjectName]])*ProjectInfoTable[NumberOfReplications]))</f>
        <v>30</v>
      </c>
      <c r="N277" cm="1">
        <f t="array" ref="N277">IFERROR(AVERAGE(IF((DiscreteStatsTable[GroupByKey]=DiscreteStatsTable[[#This Row],[GroupByKey]]),(DiscreteStatsTable[GroupByKey]=DiscreteStatsTable[[#This Row],[GroupByKey]])*DiscreteStatsTable[Average])),0)</f>
        <v>0</v>
      </c>
      <c r="O277" cm="1">
        <f t="array" ref="O277">IFERROR(_xlfn.STDEV.S(IF((DiscreteStatsTable[GroupByKey]=DiscreteStatsTable[[#This Row],[GroupByKey]]),(DiscreteStatsTable[GroupByKey]=DiscreteStatsTable[[#This Row],[GroupByKey]])*DiscreteStatsTable[Average])),0)</f>
        <v>0</v>
      </c>
      <c r="P277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7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cm="1">
        <f t="array" ref="S277">MAX(IF((DiscreteStatsTable[GroupByKey]=DiscreteStatsTable[[#This Row],[GroupByKey]]),(DiscreteStatsTable[GroupByKey]=DiscreteStatsTable[[#This Row],[GroupByKey]])*DiscreteStatsTable[Average]))</f>
        <v>0</v>
      </c>
      <c r="T277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cm="1">
        <f t="array" ref="U277">MAX(IF((DiscreteStatsTable[GroupByKey]=DiscreteStatsTable[[#This Row],[GroupByKey]]),(DiscreteStatsTable[GroupByKey]=DiscreteStatsTable[[#This Row],[GroupByKey]])*DiscreteStatsTable[Maximum]))</f>
        <v>0</v>
      </c>
      <c r="V277" cm="1">
        <f t="array" ref="V277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77">
        <f>IF((DiscreteStatsTable[[#This Row],[RepsRequested]]&gt;1),DiscreteStatsTable[[#This Row],[HalfWidth]],DiscreteStatsTable[[#This Row],[BatchMeansHalfWidth]])</f>
        <v>0</v>
      </c>
      <c r="X277" cm="1">
        <f t="array" ref="X277">COUNT(IF((DiscreteStatsTable[GroupByKey]=DiscreteStatsTable[[#This Row],[GroupByKey]]),(DiscreteStatsTable[GroupByKey]=DiscreteStatsTable[[#This Row],[GroupByKey]])*DiscreteStatsTable[Replication]))</f>
        <v>30</v>
      </c>
      <c r="Y277">
        <f>IF(DiscreteStatsTable[[#This Row],[RepsRequested]]=DiscreteStatsTable[[#This Row],[RepsWithStatObserved]],1,0)</f>
        <v>1</v>
      </c>
    </row>
    <row r="278" spans="1:25" x14ac:dyDescent="0.2">
      <c r="A278" t="s">
        <v>67</v>
      </c>
      <c r="B278" t="s">
        <v>70</v>
      </c>
      <c r="C278">
        <v>7</v>
      </c>
      <c r="D278" t="s">
        <v>87</v>
      </c>
      <c r="E278" t="s">
        <v>72</v>
      </c>
      <c r="F278" t="s">
        <v>73</v>
      </c>
      <c r="G278">
        <v>0</v>
      </c>
      <c r="H278">
        <v>2E+20</v>
      </c>
      <c r="I278">
        <v>0</v>
      </c>
      <c r="J278">
        <v>0</v>
      </c>
      <c r="K278">
        <v>282</v>
      </c>
      <c r="L278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78" cm="1">
        <f t="array" ref="M278">MAX(IF((ProjectInfoTable[ProjectName]=DiscreteStatsTable[[#This Row],[ProjectName]]),(ProjectInfoTable[ProjectName]=DiscreteStatsTable[[#This Row],[ProjectName]])*ProjectInfoTable[NumberOfReplications]))</f>
        <v>30</v>
      </c>
      <c r="N278" cm="1">
        <f t="array" ref="N278">IFERROR(AVERAGE(IF((DiscreteStatsTable[GroupByKey]=DiscreteStatsTable[[#This Row],[GroupByKey]]),(DiscreteStatsTable[GroupByKey]=DiscreteStatsTable[[#This Row],[GroupByKey]])*DiscreteStatsTable[Average])),0)</f>
        <v>0</v>
      </c>
      <c r="O278" cm="1">
        <f t="array" ref="O278">IFERROR(_xlfn.STDEV.S(IF((DiscreteStatsTable[GroupByKey]=DiscreteStatsTable[[#This Row],[GroupByKey]]),(DiscreteStatsTable[GroupByKey]=DiscreteStatsTable[[#This Row],[GroupByKey]])*DiscreteStatsTable[Average])),0)</f>
        <v>0</v>
      </c>
      <c r="P278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8" cm="1">
        <f t="array" ref="R278">MIN(IF((DiscreteStatsTable[GroupByKey]=DiscreteStatsTable[[#This Row],[GroupByKey]]),(DiscreteStatsTable[GroupByKey]=DiscreteStatsTable[[#This Row],[GroupByKey]])*DiscreteStatsTable[Average]))</f>
        <v>0</v>
      </c>
      <c r="S278" cm="1">
        <f t="array" ref="S278">MAX(IF((DiscreteStatsTable[GroupByKey]=DiscreteStatsTable[[#This Row],[GroupByKey]]),(DiscreteStatsTable[GroupByKey]=DiscreteStatsTable[[#This Row],[GroupByKey]])*DiscreteStatsTable[Average]))</f>
        <v>0</v>
      </c>
      <c r="T278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cm="1">
        <f t="array" ref="U278">MAX(IF((DiscreteStatsTable[GroupByKey]=DiscreteStatsTable[[#This Row],[GroupByKey]]),(DiscreteStatsTable[GroupByKey]=DiscreteStatsTable[[#This Row],[GroupByKey]])*DiscreteStatsTable[Maximum]))</f>
        <v>0</v>
      </c>
      <c r="V278" cm="1">
        <f t="array" ref="V278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78">
        <f>IF((DiscreteStatsTable[[#This Row],[RepsRequested]]&gt;1),DiscreteStatsTable[[#This Row],[HalfWidth]],DiscreteStatsTable[[#This Row],[BatchMeansHalfWidth]])</f>
        <v>0</v>
      </c>
      <c r="X278" cm="1">
        <f t="array" ref="X278">COUNT(IF((DiscreteStatsTable[GroupByKey]=DiscreteStatsTable[[#This Row],[GroupByKey]]),(DiscreteStatsTable[GroupByKey]=DiscreteStatsTable[[#This Row],[GroupByKey]])*DiscreteStatsTable[Replication]))</f>
        <v>30</v>
      </c>
      <c r="Y278">
        <f>IF(DiscreteStatsTable[[#This Row],[RepsRequested]]=DiscreteStatsTable[[#This Row],[RepsWithStatObserved]],1,0)</f>
        <v>1</v>
      </c>
    </row>
    <row r="279" spans="1:25" x14ac:dyDescent="0.2">
      <c r="A279" t="s">
        <v>67</v>
      </c>
      <c r="B279" t="s">
        <v>70</v>
      </c>
      <c r="C279">
        <v>8</v>
      </c>
      <c r="D279" t="s">
        <v>87</v>
      </c>
      <c r="E279" t="s">
        <v>72</v>
      </c>
      <c r="F279" t="s">
        <v>73</v>
      </c>
      <c r="G279">
        <v>0</v>
      </c>
      <c r="H279">
        <v>2E+20</v>
      </c>
      <c r="I279">
        <v>0</v>
      </c>
      <c r="J279">
        <v>0</v>
      </c>
      <c r="K279">
        <v>290</v>
      </c>
      <c r="L279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79" cm="1">
        <f t="array" ref="M279">MAX(IF((ProjectInfoTable[ProjectName]=DiscreteStatsTable[[#This Row],[ProjectName]]),(ProjectInfoTable[ProjectName]=DiscreteStatsTable[[#This Row],[ProjectName]])*ProjectInfoTable[NumberOfReplications]))</f>
        <v>30</v>
      </c>
      <c r="N279" cm="1">
        <f t="array" ref="N279">IFERROR(AVERAGE(IF((DiscreteStatsTable[GroupByKey]=DiscreteStatsTable[[#This Row],[GroupByKey]]),(DiscreteStatsTable[GroupByKey]=DiscreteStatsTable[[#This Row],[GroupByKey]])*DiscreteStatsTable[Average])),0)</f>
        <v>0</v>
      </c>
      <c r="O279" cm="1">
        <f t="array" ref="O279">IFERROR(_xlfn.STDEV.S(IF((DiscreteStatsTable[GroupByKey]=DiscreteStatsTable[[#This Row],[GroupByKey]]),(DiscreteStatsTable[GroupByKey]=DiscreteStatsTable[[#This Row],[GroupByKey]])*DiscreteStatsTable[Average])),0)</f>
        <v>0</v>
      </c>
      <c r="P279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9" cm="1">
        <f t="array" ref="R279">MIN(IF((DiscreteStatsTable[GroupByKey]=DiscreteStatsTable[[#This Row],[GroupByKey]]),(DiscreteStatsTable[GroupByKey]=DiscreteStatsTable[[#This Row],[GroupByKey]])*DiscreteStatsTable[Average]))</f>
        <v>0</v>
      </c>
      <c r="S279" cm="1">
        <f t="array" ref="S279">MAX(IF((DiscreteStatsTable[GroupByKey]=DiscreteStatsTable[[#This Row],[GroupByKey]]),(DiscreteStatsTable[GroupByKey]=DiscreteStatsTable[[#This Row],[GroupByKey]])*DiscreteStatsTable[Average]))</f>
        <v>0</v>
      </c>
      <c r="T279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cm="1">
        <f t="array" ref="U279">MAX(IF((DiscreteStatsTable[GroupByKey]=DiscreteStatsTable[[#This Row],[GroupByKey]]),(DiscreteStatsTable[GroupByKey]=DiscreteStatsTable[[#This Row],[GroupByKey]])*DiscreteStatsTable[Maximum]))</f>
        <v>0</v>
      </c>
      <c r="V279" cm="1">
        <f t="array" ref="V279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79">
        <f>IF((DiscreteStatsTable[[#This Row],[RepsRequested]]&gt;1),DiscreteStatsTable[[#This Row],[HalfWidth]],DiscreteStatsTable[[#This Row],[BatchMeansHalfWidth]])</f>
        <v>0</v>
      </c>
      <c r="X279" cm="1">
        <f t="array" ref="X279">COUNT(IF((DiscreteStatsTable[GroupByKey]=DiscreteStatsTable[[#This Row],[GroupByKey]]),(DiscreteStatsTable[GroupByKey]=DiscreteStatsTable[[#This Row],[GroupByKey]])*DiscreteStatsTable[Replication]))</f>
        <v>30</v>
      </c>
      <c r="Y279">
        <f>IF(DiscreteStatsTable[[#This Row],[RepsRequested]]=DiscreteStatsTable[[#This Row],[RepsWithStatObserved]],1,0)</f>
        <v>1</v>
      </c>
    </row>
    <row r="280" spans="1:25" x14ac:dyDescent="0.2">
      <c r="A280" t="s">
        <v>67</v>
      </c>
      <c r="B280" t="s">
        <v>70</v>
      </c>
      <c r="C280">
        <v>9</v>
      </c>
      <c r="D280" t="s">
        <v>87</v>
      </c>
      <c r="E280" t="s">
        <v>72</v>
      </c>
      <c r="F280" t="s">
        <v>73</v>
      </c>
      <c r="G280">
        <v>0</v>
      </c>
      <c r="H280">
        <v>2E+20</v>
      </c>
      <c r="I280">
        <v>0</v>
      </c>
      <c r="J280">
        <v>0</v>
      </c>
      <c r="K280">
        <v>297</v>
      </c>
      <c r="L280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80" cm="1">
        <f t="array" ref="M280">MAX(IF((ProjectInfoTable[ProjectName]=DiscreteStatsTable[[#This Row],[ProjectName]]),(ProjectInfoTable[ProjectName]=DiscreteStatsTable[[#This Row],[ProjectName]])*ProjectInfoTable[NumberOfReplications]))</f>
        <v>30</v>
      </c>
      <c r="N280" cm="1">
        <f t="array" ref="N280">IFERROR(AVERAGE(IF((DiscreteStatsTable[GroupByKey]=DiscreteStatsTable[[#This Row],[GroupByKey]]),(DiscreteStatsTable[GroupByKey]=DiscreteStatsTable[[#This Row],[GroupByKey]])*DiscreteStatsTable[Average])),0)</f>
        <v>0</v>
      </c>
      <c r="O280" cm="1">
        <f t="array" ref="O280">IFERROR(_xlfn.STDEV.S(IF((DiscreteStatsTable[GroupByKey]=DiscreteStatsTable[[#This Row],[GroupByKey]]),(DiscreteStatsTable[GroupByKey]=DiscreteStatsTable[[#This Row],[GroupByKey]])*DiscreteStatsTable[Average])),0)</f>
        <v>0</v>
      </c>
      <c r="P280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0" cm="1">
        <f t="array" ref="R280">MIN(IF((DiscreteStatsTable[GroupByKey]=DiscreteStatsTable[[#This Row],[GroupByKey]]),(DiscreteStatsTable[GroupByKey]=DiscreteStatsTable[[#This Row],[GroupByKey]])*DiscreteStatsTable[Average]))</f>
        <v>0</v>
      </c>
      <c r="S280" cm="1">
        <f t="array" ref="S280">MAX(IF((DiscreteStatsTable[GroupByKey]=DiscreteStatsTable[[#This Row],[GroupByKey]]),(DiscreteStatsTable[GroupByKey]=DiscreteStatsTable[[#This Row],[GroupByKey]])*DiscreteStatsTable[Average]))</f>
        <v>0</v>
      </c>
      <c r="T280" cm="1">
        <f t="array" ref="T280">MIN(IF((DiscreteStatsTable[GroupByKey]=DiscreteStatsTable[[#This Row],[GroupByKey]]),(DiscreteStatsTable[GroupByKey]=DiscreteStatsTable[[#This Row],[GroupByKey]])*DiscreteStatsTable[Minimum]))</f>
        <v>0</v>
      </c>
      <c r="U280" cm="1">
        <f t="array" ref="U280">MAX(IF((DiscreteStatsTable[GroupByKey]=DiscreteStatsTable[[#This Row],[GroupByKey]]),(DiscreteStatsTable[GroupByKey]=DiscreteStatsTable[[#This Row],[GroupByKey]])*DiscreteStatsTable[Maximum]))</f>
        <v>0</v>
      </c>
      <c r="V280" cm="1">
        <f t="array" ref="V280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80">
        <f>IF((DiscreteStatsTable[[#This Row],[RepsRequested]]&gt;1),DiscreteStatsTable[[#This Row],[HalfWidth]],DiscreteStatsTable[[#This Row],[BatchMeansHalfWidth]])</f>
        <v>0</v>
      </c>
      <c r="X280" cm="1">
        <f t="array" ref="X280">COUNT(IF((DiscreteStatsTable[GroupByKey]=DiscreteStatsTable[[#This Row],[GroupByKey]]),(DiscreteStatsTable[GroupByKey]=DiscreteStatsTable[[#This Row],[GroupByKey]])*DiscreteStatsTable[Replication]))</f>
        <v>30</v>
      </c>
      <c r="Y280">
        <f>IF(DiscreteStatsTable[[#This Row],[RepsRequested]]=DiscreteStatsTable[[#This Row],[RepsWithStatObserved]],1,0)</f>
        <v>1</v>
      </c>
    </row>
    <row r="281" spans="1:25" x14ac:dyDescent="0.2">
      <c r="A281" t="s">
        <v>67</v>
      </c>
      <c r="B281" t="s">
        <v>70</v>
      </c>
      <c r="C281">
        <v>10</v>
      </c>
      <c r="D281" t="s">
        <v>87</v>
      </c>
      <c r="E281" t="s">
        <v>72</v>
      </c>
      <c r="F281" t="s">
        <v>73</v>
      </c>
      <c r="G281">
        <v>0</v>
      </c>
      <c r="H281">
        <v>2E+20</v>
      </c>
      <c r="I281">
        <v>0</v>
      </c>
      <c r="J281">
        <v>0</v>
      </c>
      <c r="K281">
        <v>277</v>
      </c>
      <c r="L281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81" cm="1">
        <f t="array" ref="M281">MAX(IF((ProjectInfoTable[ProjectName]=DiscreteStatsTable[[#This Row],[ProjectName]]),(ProjectInfoTable[ProjectName]=DiscreteStatsTable[[#This Row],[ProjectName]])*ProjectInfoTable[NumberOfReplications]))</f>
        <v>30</v>
      </c>
      <c r="N281" cm="1">
        <f t="array" ref="N281">IFERROR(AVERAGE(IF((DiscreteStatsTable[GroupByKey]=DiscreteStatsTable[[#This Row],[GroupByKey]]),(DiscreteStatsTable[GroupByKey]=DiscreteStatsTable[[#This Row],[GroupByKey]])*DiscreteStatsTable[Average])),0)</f>
        <v>0</v>
      </c>
      <c r="O281" cm="1">
        <f t="array" ref="O281">IFERROR(_xlfn.STDEV.S(IF((DiscreteStatsTable[GroupByKey]=DiscreteStatsTable[[#This Row],[GroupByKey]]),(DiscreteStatsTable[GroupByKey]=DiscreteStatsTable[[#This Row],[GroupByKey]])*DiscreteStatsTable[Average])),0)</f>
        <v>0</v>
      </c>
      <c r="P281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1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cm="1">
        <f t="array" ref="S281">MAX(IF((DiscreteStatsTable[GroupByKey]=DiscreteStatsTable[[#This Row],[GroupByKey]]),(DiscreteStatsTable[GroupByKey]=DiscreteStatsTable[[#This Row],[GroupByKey]])*DiscreteStatsTable[Average]))</f>
        <v>0</v>
      </c>
      <c r="T281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cm="1">
        <f t="array" ref="U281">MAX(IF((DiscreteStatsTable[GroupByKey]=DiscreteStatsTable[[#This Row],[GroupByKey]]),(DiscreteStatsTable[GroupByKey]=DiscreteStatsTable[[#This Row],[GroupByKey]])*DiscreteStatsTable[Maximum]))</f>
        <v>0</v>
      </c>
      <c r="V281" cm="1">
        <f t="array" ref="V281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81">
        <f>IF((DiscreteStatsTable[[#This Row],[RepsRequested]]&gt;1),DiscreteStatsTable[[#This Row],[HalfWidth]],DiscreteStatsTable[[#This Row],[BatchMeansHalfWidth]])</f>
        <v>0</v>
      </c>
      <c r="X281" cm="1">
        <f t="array" ref="X281">COUNT(IF((DiscreteStatsTable[GroupByKey]=DiscreteStatsTable[[#This Row],[GroupByKey]]),(DiscreteStatsTable[GroupByKey]=DiscreteStatsTable[[#This Row],[GroupByKey]])*DiscreteStatsTable[Replication]))</f>
        <v>30</v>
      </c>
      <c r="Y281">
        <f>IF(DiscreteStatsTable[[#This Row],[RepsRequested]]=DiscreteStatsTable[[#This Row],[RepsWithStatObserved]],1,0)</f>
        <v>1</v>
      </c>
    </row>
    <row r="282" spans="1:25" x14ac:dyDescent="0.2">
      <c r="A282" t="s">
        <v>67</v>
      </c>
      <c r="B282" t="s">
        <v>70</v>
      </c>
      <c r="C282">
        <v>11</v>
      </c>
      <c r="D282" t="s">
        <v>87</v>
      </c>
      <c r="E282" t="s">
        <v>72</v>
      </c>
      <c r="F282" t="s">
        <v>73</v>
      </c>
      <c r="G282">
        <v>0</v>
      </c>
      <c r="H282">
        <v>2E+20</v>
      </c>
      <c r="I282">
        <v>0</v>
      </c>
      <c r="J282">
        <v>0</v>
      </c>
      <c r="K282">
        <v>294</v>
      </c>
      <c r="L282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82" cm="1">
        <f t="array" ref="M282">MAX(IF((ProjectInfoTable[ProjectName]=DiscreteStatsTable[[#This Row],[ProjectName]]),(ProjectInfoTable[ProjectName]=DiscreteStatsTable[[#This Row],[ProjectName]])*ProjectInfoTable[NumberOfReplications]))</f>
        <v>30</v>
      </c>
      <c r="N282" cm="1">
        <f t="array" ref="N282">IFERROR(AVERAGE(IF((DiscreteStatsTable[GroupByKey]=DiscreteStatsTable[[#This Row],[GroupByKey]]),(DiscreteStatsTable[GroupByKey]=DiscreteStatsTable[[#This Row],[GroupByKey]])*DiscreteStatsTable[Average])),0)</f>
        <v>0</v>
      </c>
      <c r="O282" cm="1">
        <f t="array" ref="O282">IFERROR(_xlfn.STDEV.S(IF((DiscreteStatsTable[GroupByKey]=DiscreteStatsTable[[#This Row],[GroupByKey]]),(DiscreteStatsTable[GroupByKey]=DiscreteStatsTable[[#This Row],[GroupByKey]])*DiscreteStatsTable[Average])),0)</f>
        <v>0</v>
      </c>
      <c r="P282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2" cm="1">
        <f t="array" ref="R282">MIN(IF((DiscreteStatsTable[GroupByKey]=DiscreteStatsTable[[#This Row],[GroupByKey]]),(DiscreteStatsTable[GroupByKey]=DiscreteStatsTable[[#This Row],[GroupByKey]])*DiscreteStatsTable[Average]))</f>
        <v>0</v>
      </c>
      <c r="S282" cm="1">
        <f t="array" ref="S282">MAX(IF((DiscreteStatsTable[GroupByKey]=DiscreteStatsTable[[#This Row],[GroupByKey]]),(DiscreteStatsTable[GroupByKey]=DiscreteStatsTable[[#This Row],[GroupByKey]])*DiscreteStatsTable[Average]))</f>
        <v>0</v>
      </c>
      <c r="T282" cm="1">
        <f t="array" ref="T282">MIN(IF((DiscreteStatsTable[GroupByKey]=DiscreteStatsTable[[#This Row],[GroupByKey]]),(DiscreteStatsTable[GroupByKey]=DiscreteStatsTable[[#This Row],[GroupByKey]])*DiscreteStatsTable[Minimum]))</f>
        <v>0</v>
      </c>
      <c r="U282" cm="1">
        <f t="array" ref="U282">MAX(IF((DiscreteStatsTable[GroupByKey]=DiscreteStatsTable[[#This Row],[GroupByKey]]),(DiscreteStatsTable[GroupByKey]=DiscreteStatsTable[[#This Row],[GroupByKey]])*DiscreteStatsTable[Maximum]))</f>
        <v>0</v>
      </c>
      <c r="V282" cm="1">
        <f t="array" ref="V282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82">
        <f>IF((DiscreteStatsTable[[#This Row],[RepsRequested]]&gt;1),DiscreteStatsTable[[#This Row],[HalfWidth]],DiscreteStatsTable[[#This Row],[BatchMeansHalfWidth]])</f>
        <v>0</v>
      </c>
      <c r="X282" cm="1">
        <f t="array" ref="X282">COUNT(IF((DiscreteStatsTable[GroupByKey]=DiscreteStatsTable[[#This Row],[GroupByKey]]),(DiscreteStatsTable[GroupByKey]=DiscreteStatsTable[[#This Row],[GroupByKey]])*DiscreteStatsTable[Replication]))</f>
        <v>30</v>
      </c>
      <c r="Y282">
        <f>IF(DiscreteStatsTable[[#This Row],[RepsRequested]]=DiscreteStatsTable[[#This Row],[RepsWithStatObserved]],1,0)</f>
        <v>1</v>
      </c>
    </row>
    <row r="283" spans="1:25" x14ac:dyDescent="0.2">
      <c r="A283" t="s">
        <v>67</v>
      </c>
      <c r="B283" t="s">
        <v>70</v>
      </c>
      <c r="C283">
        <v>12</v>
      </c>
      <c r="D283" t="s">
        <v>87</v>
      </c>
      <c r="E283" t="s">
        <v>72</v>
      </c>
      <c r="F283" t="s">
        <v>73</v>
      </c>
      <c r="G283">
        <v>0</v>
      </c>
      <c r="H283">
        <v>2E+20</v>
      </c>
      <c r="I283">
        <v>0</v>
      </c>
      <c r="J283">
        <v>0</v>
      </c>
      <c r="K283">
        <v>280</v>
      </c>
      <c r="L283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83" cm="1">
        <f t="array" ref="M283">MAX(IF((ProjectInfoTable[ProjectName]=DiscreteStatsTable[[#This Row],[ProjectName]]),(ProjectInfoTable[ProjectName]=DiscreteStatsTable[[#This Row],[ProjectName]])*ProjectInfoTable[NumberOfReplications]))</f>
        <v>30</v>
      </c>
      <c r="N283" cm="1">
        <f t="array" ref="N283">IFERROR(AVERAGE(IF((DiscreteStatsTable[GroupByKey]=DiscreteStatsTable[[#This Row],[GroupByKey]]),(DiscreteStatsTable[GroupByKey]=DiscreteStatsTable[[#This Row],[GroupByKey]])*DiscreteStatsTable[Average])),0)</f>
        <v>0</v>
      </c>
      <c r="O283" cm="1">
        <f t="array" ref="O283">IFERROR(_xlfn.STDEV.S(IF((DiscreteStatsTable[GroupByKey]=DiscreteStatsTable[[#This Row],[GroupByKey]]),(DiscreteStatsTable[GroupByKey]=DiscreteStatsTable[[#This Row],[GroupByKey]])*DiscreteStatsTable[Average])),0)</f>
        <v>0</v>
      </c>
      <c r="P283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3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cm="1">
        <f t="array" ref="S283">MAX(IF((DiscreteStatsTable[GroupByKey]=DiscreteStatsTable[[#This Row],[GroupByKey]]),(DiscreteStatsTable[GroupByKey]=DiscreteStatsTable[[#This Row],[GroupByKey]])*DiscreteStatsTable[Average]))</f>
        <v>0</v>
      </c>
      <c r="T283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cm="1">
        <f t="array" ref="U283">MAX(IF((DiscreteStatsTable[GroupByKey]=DiscreteStatsTable[[#This Row],[GroupByKey]]),(DiscreteStatsTable[GroupByKey]=DiscreteStatsTable[[#This Row],[GroupByKey]])*DiscreteStatsTable[Maximum]))</f>
        <v>0</v>
      </c>
      <c r="V283" cm="1">
        <f t="array" ref="V283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83">
        <f>IF((DiscreteStatsTable[[#This Row],[RepsRequested]]&gt;1),DiscreteStatsTable[[#This Row],[HalfWidth]],DiscreteStatsTable[[#This Row],[BatchMeansHalfWidth]])</f>
        <v>0</v>
      </c>
      <c r="X283" cm="1">
        <f t="array" ref="X283">COUNT(IF((DiscreteStatsTable[GroupByKey]=DiscreteStatsTable[[#This Row],[GroupByKey]]),(DiscreteStatsTable[GroupByKey]=DiscreteStatsTable[[#This Row],[GroupByKey]])*DiscreteStatsTable[Replication]))</f>
        <v>30</v>
      </c>
      <c r="Y283">
        <f>IF(DiscreteStatsTable[[#This Row],[RepsRequested]]=DiscreteStatsTable[[#This Row],[RepsWithStatObserved]],1,0)</f>
        <v>1</v>
      </c>
    </row>
    <row r="284" spans="1:25" x14ac:dyDescent="0.2">
      <c r="A284" t="s">
        <v>67</v>
      </c>
      <c r="B284" t="s">
        <v>70</v>
      </c>
      <c r="C284">
        <v>13</v>
      </c>
      <c r="D284" t="s">
        <v>87</v>
      </c>
      <c r="E284" t="s">
        <v>72</v>
      </c>
      <c r="F284" t="s">
        <v>73</v>
      </c>
      <c r="G284">
        <v>0</v>
      </c>
      <c r="H284">
        <v>2E+20</v>
      </c>
      <c r="I284">
        <v>0</v>
      </c>
      <c r="J284">
        <v>0</v>
      </c>
      <c r="K284">
        <v>306</v>
      </c>
      <c r="L284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84" cm="1">
        <f t="array" ref="M284">MAX(IF((ProjectInfoTable[ProjectName]=DiscreteStatsTable[[#This Row],[ProjectName]]),(ProjectInfoTable[ProjectName]=DiscreteStatsTable[[#This Row],[ProjectName]])*ProjectInfoTable[NumberOfReplications]))</f>
        <v>30</v>
      </c>
      <c r="N284" cm="1">
        <f t="array" ref="N284">IFERROR(AVERAGE(IF((DiscreteStatsTable[GroupByKey]=DiscreteStatsTable[[#This Row],[GroupByKey]]),(DiscreteStatsTable[GroupByKey]=DiscreteStatsTable[[#This Row],[GroupByKey]])*DiscreteStatsTable[Average])),0)</f>
        <v>0</v>
      </c>
      <c r="O284" cm="1">
        <f t="array" ref="O284">IFERROR(_xlfn.STDEV.S(IF((DiscreteStatsTable[GroupByKey]=DiscreteStatsTable[[#This Row],[GroupByKey]]),(DiscreteStatsTable[GroupByKey]=DiscreteStatsTable[[#This Row],[GroupByKey]])*DiscreteStatsTable[Average])),0)</f>
        <v>0</v>
      </c>
      <c r="P284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4" cm="1">
        <f t="array" ref="R284">MIN(IF((DiscreteStatsTable[GroupByKey]=DiscreteStatsTable[[#This Row],[GroupByKey]]),(DiscreteStatsTable[GroupByKey]=DiscreteStatsTable[[#This Row],[GroupByKey]])*DiscreteStatsTable[Average]))</f>
        <v>0</v>
      </c>
      <c r="S284" cm="1">
        <f t="array" ref="S284">MAX(IF((DiscreteStatsTable[GroupByKey]=DiscreteStatsTable[[#This Row],[GroupByKey]]),(DiscreteStatsTable[GroupByKey]=DiscreteStatsTable[[#This Row],[GroupByKey]])*DiscreteStatsTable[Average]))</f>
        <v>0</v>
      </c>
      <c r="T284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cm="1">
        <f t="array" ref="U284">MAX(IF((DiscreteStatsTable[GroupByKey]=DiscreteStatsTable[[#This Row],[GroupByKey]]),(DiscreteStatsTable[GroupByKey]=DiscreteStatsTable[[#This Row],[GroupByKey]])*DiscreteStatsTable[Maximum]))</f>
        <v>0</v>
      </c>
      <c r="V284" cm="1">
        <f t="array" ref="V284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84">
        <f>IF((DiscreteStatsTable[[#This Row],[RepsRequested]]&gt;1),DiscreteStatsTable[[#This Row],[HalfWidth]],DiscreteStatsTable[[#This Row],[BatchMeansHalfWidth]])</f>
        <v>0</v>
      </c>
      <c r="X284" cm="1">
        <f t="array" ref="X284">COUNT(IF((DiscreteStatsTable[GroupByKey]=DiscreteStatsTable[[#This Row],[GroupByKey]]),(DiscreteStatsTable[GroupByKey]=DiscreteStatsTable[[#This Row],[GroupByKey]])*DiscreteStatsTable[Replication]))</f>
        <v>30</v>
      </c>
      <c r="Y284">
        <f>IF(DiscreteStatsTable[[#This Row],[RepsRequested]]=DiscreteStatsTable[[#This Row],[RepsWithStatObserved]],1,0)</f>
        <v>1</v>
      </c>
    </row>
    <row r="285" spans="1:25" x14ac:dyDescent="0.2">
      <c r="A285" t="s">
        <v>67</v>
      </c>
      <c r="B285" t="s">
        <v>70</v>
      </c>
      <c r="C285">
        <v>14</v>
      </c>
      <c r="D285" t="s">
        <v>87</v>
      </c>
      <c r="E285" t="s">
        <v>72</v>
      </c>
      <c r="F285" t="s">
        <v>73</v>
      </c>
      <c r="G285">
        <v>0</v>
      </c>
      <c r="H285">
        <v>2E+20</v>
      </c>
      <c r="I285">
        <v>0</v>
      </c>
      <c r="J285">
        <v>0</v>
      </c>
      <c r="K285">
        <v>295</v>
      </c>
      <c r="L285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85" cm="1">
        <f t="array" ref="M285">MAX(IF((ProjectInfoTable[ProjectName]=DiscreteStatsTable[[#This Row],[ProjectName]]),(ProjectInfoTable[ProjectName]=DiscreteStatsTable[[#This Row],[ProjectName]])*ProjectInfoTable[NumberOfReplications]))</f>
        <v>30</v>
      </c>
      <c r="N285" cm="1">
        <f t="array" ref="N285">IFERROR(AVERAGE(IF((DiscreteStatsTable[GroupByKey]=DiscreteStatsTable[[#This Row],[GroupByKey]]),(DiscreteStatsTable[GroupByKey]=DiscreteStatsTable[[#This Row],[GroupByKey]])*DiscreteStatsTable[Average])),0)</f>
        <v>0</v>
      </c>
      <c r="O285" cm="1">
        <f t="array" ref="O285">IFERROR(_xlfn.STDEV.S(IF((DiscreteStatsTable[GroupByKey]=DiscreteStatsTable[[#This Row],[GroupByKey]]),(DiscreteStatsTable[GroupByKey]=DiscreteStatsTable[[#This Row],[GroupByKey]])*DiscreteStatsTable[Average])),0)</f>
        <v>0</v>
      </c>
      <c r="P28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5" cm="1">
        <f t="array" ref="R285">MIN(IF((DiscreteStatsTable[GroupByKey]=DiscreteStatsTable[[#This Row],[GroupByKey]]),(DiscreteStatsTable[GroupByKey]=DiscreteStatsTable[[#This Row],[GroupByKey]])*DiscreteStatsTable[Average]))</f>
        <v>0</v>
      </c>
      <c r="S285" cm="1">
        <f t="array" ref="S285">MAX(IF((DiscreteStatsTable[GroupByKey]=DiscreteStatsTable[[#This Row],[GroupByKey]]),(DiscreteStatsTable[GroupByKey]=DiscreteStatsTable[[#This Row],[GroupByKey]])*DiscreteStatsTable[Average]))</f>
        <v>0</v>
      </c>
      <c r="T28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cm="1">
        <f t="array" ref="U285">MAX(IF((DiscreteStatsTable[GroupByKey]=DiscreteStatsTable[[#This Row],[GroupByKey]]),(DiscreteStatsTable[GroupByKey]=DiscreteStatsTable[[#This Row],[GroupByKey]])*DiscreteStatsTable[Maximum]))</f>
        <v>0</v>
      </c>
      <c r="V285" cm="1">
        <f t="array" ref="V285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85">
        <f>IF((DiscreteStatsTable[[#This Row],[RepsRequested]]&gt;1),DiscreteStatsTable[[#This Row],[HalfWidth]],DiscreteStatsTable[[#This Row],[BatchMeansHalfWidth]])</f>
        <v>0</v>
      </c>
      <c r="X285" cm="1">
        <f t="array" ref="X285">COUNT(IF((DiscreteStatsTable[GroupByKey]=DiscreteStatsTable[[#This Row],[GroupByKey]]),(DiscreteStatsTable[GroupByKey]=DiscreteStatsTable[[#This Row],[GroupByKey]])*DiscreteStatsTable[Replication]))</f>
        <v>30</v>
      </c>
      <c r="Y285">
        <f>IF(DiscreteStatsTable[[#This Row],[RepsRequested]]=DiscreteStatsTable[[#This Row],[RepsWithStatObserved]],1,0)</f>
        <v>1</v>
      </c>
    </row>
    <row r="286" spans="1:25" x14ac:dyDescent="0.2">
      <c r="A286" t="s">
        <v>67</v>
      </c>
      <c r="B286" t="s">
        <v>70</v>
      </c>
      <c r="C286">
        <v>15</v>
      </c>
      <c r="D286" t="s">
        <v>87</v>
      </c>
      <c r="E286" t="s">
        <v>72</v>
      </c>
      <c r="F286" t="s">
        <v>73</v>
      </c>
      <c r="G286">
        <v>0</v>
      </c>
      <c r="H286">
        <v>2E+20</v>
      </c>
      <c r="I286">
        <v>0</v>
      </c>
      <c r="J286">
        <v>0</v>
      </c>
      <c r="K286">
        <v>310</v>
      </c>
      <c r="L286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86" cm="1">
        <f t="array" ref="M286">MAX(IF((ProjectInfoTable[ProjectName]=DiscreteStatsTable[[#This Row],[ProjectName]]),(ProjectInfoTable[ProjectName]=DiscreteStatsTable[[#This Row],[ProjectName]])*ProjectInfoTable[NumberOfReplications]))</f>
        <v>30</v>
      </c>
      <c r="N286" cm="1">
        <f t="array" ref="N286">IFERROR(AVERAGE(IF((DiscreteStatsTable[GroupByKey]=DiscreteStatsTable[[#This Row],[GroupByKey]]),(DiscreteStatsTable[GroupByKey]=DiscreteStatsTable[[#This Row],[GroupByKey]])*DiscreteStatsTable[Average])),0)</f>
        <v>0</v>
      </c>
      <c r="O286" cm="1">
        <f t="array" ref="O286">IFERROR(_xlfn.STDEV.S(IF((DiscreteStatsTable[GroupByKey]=DiscreteStatsTable[[#This Row],[GroupByKey]]),(DiscreteStatsTable[GroupByKey]=DiscreteStatsTable[[#This Row],[GroupByKey]])*DiscreteStatsTable[Average])),0)</f>
        <v>0</v>
      </c>
      <c r="P286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6" cm="1">
        <f t="array" ref="R286">MIN(IF((DiscreteStatsTable[GroupByKey]=DiscreteStatsTable[[#This Row],[GroupByKey]]),(DiscreteStatsTable[GroupByKey]=DiscreteStatsTable[[#This Row],[GroupByKey]])*DiscreteStatsTable[Average]))</f>
        <v>0</v>
      </c>
      <c r="S286" cm="1">
        <f t="array" ref="S286">MAX(IF((DiscreteStatsTable[GroupByKey]=DiscreteStatsTable[[#This Row],[GroupByKey]]),(DiscreteStatsTable[GroupByKey]=DiscreteStatsTable[[#This Row],[GroupByKey]])*DiscreteStatsTable[Average]))</f>
        <v>0</v>
      </c>
      <c r="T286" cm="1">
        <f t="array" ref="T286">MIN(IF((DiscreteStatsTable[GroupByKey]=DiscreteStatsTable[[#This Row],[GroupByKey]]),(DiscreteStatsTable[GroupByKey]=DiscreteStatsTable[[#This Row],[GroupByKey]])*DiscreteStatsTable[Minimum]))</f>
        <v>0</v>
      </c>
      <c r="U286" cm="1">
        <f t="array" ref="U286">MAX(IF((DiscreteStatsTable[GroupByKey]=DiscreteStatsTable[[#This Row],[GroupByKey]]),(DiscreteStatsTable[GroupByKey]=DiscreteStatsTable[[#This Row],[GroupByKey]])*DiscreteStatsTable[Maximum]))</f>
        <v>0</v>
      </c>
      <c r="V286" cm="1">
        <f t="array" ref="V286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86">
        <f>IF((DiscreteStatsTable[[#This Row],[RepsRequested]]&gt;1),DiscreteStatsTable[[#This Row],[HalfWidth]],DiscreteStatsTable[[#This Row],[BatchMeansHalfWidth]])</f>
        <v>0</v>
      </c>
      <c r="X286" cm="1">
        <f t="array" ref="X286">COUNT(IF((DiscreteStatsTable[GroupByKey]=DiscreteStatsTable[[#This Row],[GroupByKey]]),(DiscreteStatsTable[GroupByKey]=DiscreteStatsTable[[#This Row],[GroupByKey]])*DiscreteStatsTable[Replication]))</f>
        <v>30</v>
      </c>
      <c r="Y286">
        <f>IF(DiscreteStatsTable[[#This Row],[RepsRequested]]=DiscreteStatsTable[[#This Row],[RepsWithStatObserved]],1,0)</f>
        <v>1</v>
      </c>
    </row>
    <row r="287" spans="1:25" x14ac:dyDescent="0.2">
      <c r="A287" t="s">
        <v>67</v>
      </c>
      <c r="B287" t="s">
        <v>70</v>
      </c>
      <c r="C287">
        <v>16</v>
      </c>
      <c r="D287" t="s">
        <v>87</v>
      </c>
      <c r="E287" t="s">
        <v>72</v>
      </c>
      <c r="F287" t="s">
        <v>73</v>
      </c>
      <c r="G287">
        <v>0</v>
      </c>
      <c r="H287">
        <v>2E+20</v>
      </c>
      <c r="I287">
        <v>0</v>
      </c>
      <c r="J287">
        <v>0</v>
      </c>
      <c r="K287">
        <v>293</v>
      </c>
      <c r="L287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87" cm="1">
        <f t="array" ref="M287">MAX(IF((ProjectInfoTable[ProjectName]=DiscreteStatsTable[[#This Row],[ProjectName]]),(ProjectInfoTable[ProjectName]=DiscreteStatsTable[[#This Row],[ProjectName]])*ProjectInfoTable[NumberOfReplications]))</f>
        <v>30</v>
      </c>
      <c r="N287" cm="1">
        <f t="array" ref="N287">IFERROR(AVERAGE(IF((DiscreteStatsTable[GroupByKey]=DiscreteStatsTable[[#This Row],[GroupByKey]]),(DiscreteStatsTable[GroupByKey]=DiscreteStatsTable[[#This Row],[GroupByKey]])*DiscreteStatsTable[Average])),0)</f>
        <v>0</v>
      </c>
      <c r="O287" cm="1">
        <f t="array" ref="O287">IFERROR(_xlfn.STDEV.S(IF((DiscreteStatsTable[GroupByKey]=DiscreteStatsTable[[#This Row],[GroupByKey]]),(DiscreteStatsTable[GroupByKey]=DiscreteStatsTable[[#This Row],[GroupByKey]])*DiscreteStatsTable[Average])),0)</f>
        <v>0</v>
      </c>
      <c r="P287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7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cm="1">
        <f t="array" ref="S287">MAX(IF((DiscreteStatsTable[GroupByKey]=DiscreteStatsTable[[#This Row],[GroupByKey]]),(DiscreteStatsTable[GroupByKey]=DiscreteStatsTable[[#This Row],[GroupByKey]])*DiscreteStatsTable[Average]))</f>
        <v>0</v>
      </c>
      <c r="T287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cm="1">
        <f t="array" ref="U287">MAX(IF((DiscreteStatsTable[GroupByKey]=DiscreteStatsTable[[#This Row],[GroupByKey]]),(DiscreteStatsTable[GroupByKey]=DiscreteStatsTable[[#This Row],[GroupByKey]])*DiscreteStatsTable[Maximum]))</f>
        <v>0</v>
      </c>
      <c r="V287" cm="1">
        <f t="array" ref="V287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87">
        <f>IF((DiscreteStatsTable[[#This Row],[RepsRequested]]&gt;1),DiscreteStatsTable[[#This Row],[HalfWidth]],DiscreteStatsTable[[#This Row],[BatchMeansHalfWidth]])</f>
        <v>0</v>
      </c>
      <c r="X287" cm="1">
        <f t="array" ref="X287">COUNT(IF((DiscreteStatsTable[GroupByKey]=DiscreteStatsTable[[#This Row],[GroupByKey]]),(DiscreteStatsTable[GroupByKey]=DiscreteStatsTable[[#This Row],[GroupByKey]])*DiscreteStatsTable[Replication]))</f>
        <v>30</v>
      </c>
      <c r="Y287">
        <f>IF(DiscreteStatsTable[[#This Row],[RepsRequested]]=DiscreteStatsTable[[#This Row],[RepsWithStatObserved]],1,0)</f>
        <v>1</v>
      </c>
    </row>
    <row r="288" spans="1:25" x14ac:dyDescent="0.2">
      <c r="A288" t="s">
        <v>67</v>
      </c>
      <c r="B288" t="s">
        <v>70</v>
      </c>
      <c r="C288">
        <v>17</v>
      </c>
      <c r="D288" t="s">
        <v>87</v>
      </c>
      <c r="E288" t="s">
        <v>72</v>
      </c>
      <c r="F288" t="s">
        <v>73</v>
      </c>
      <c r="G288">
        <v>0</v>
      </c>
      <c r="H288">
        <v>2E+20</v>
      </c>
      <c r="I288">
        <v>0</v>
      </c>
      <c r="J288">
        <v>0</v>
      </c>
      <c r="K288">
        <v>306</v>
      </c>
      <c r="L288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88" cm="1">
        <f t="array" ref="M288">MAX(IF((ProjectInfoTable[ProjectName]=DiscreteStatsTable[[#This Row],[ProjectName]]),(ProjectInfoTable[ProjectName]=DiscreteStatsTable[[#This Row],[ProjectName]])*ProjectInfoTable[NumberOfReplications]))</f>
        <v>30</v>
      </c>
      <c r="N288" cm="1">
        <f t="array" ref="N288">IFERROR(AVERAGE(IF((DiscreteStatsTable[GroupByKey]=DiscreteStatsTable[[#This Row],[GroupByKey]]),(DiscreteStatsTable[GroupByKey]=DiscreteStatsTable[[#This Row],[GroupByKey]])*DiscreteStatsTable[Average])),0)</f>
        <v>0</v>
      </c>
      <c r="O288" cm="1">
        <f t="array" ref="O288">IFERROR(_xlfn.STDEV.S(IF((DiscreteStatsTable[GroupByKey]=DiscreteStatsTable[[#This Row],[GroupByKey]]),(DiscreteStatsTable[GroupByKey]=DiscreteStatsTable[[#This Row],[GroupByKey]])*DiscreteStatsTable[Average])),0)</f>
        <v>0</v>
      </c>
      <c r="P288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8" cm="1">
        <f t="array" ref="R288">MIN(IF((DiscreteStatsTable[GroupByKey]=DiscreteStatsTable[[#This Row],[GroupByKey]]),(DiscreteStatsTable[GroupByKey]=DiscreteStatsTable[[#This Row],[GroupByKey]])*DiscreteStatsTable[Average]))</f>
        <v>0</v>
      </c>
      <c r="S288" cm="1">
        <f t="array" ref="S288">MAX(IF((DiscreteStatsTable[GroupByKey]=DiscreteStatsTable[[#This Row],[GroupByKey]]),(DiscreteStatsTable[GroupByKey]=DiscreteStatsTable[[#This Row],[GroupByKey]])*DiscreteStatsTable[Average]))</f>
        <v>0</v>
      </c>
      <c r="T288" cm="1">
        <f t="array" ref="T288">MIN(IF((DiscreteStatsTable[GroupByKey]=DiscreteStatsTable[[#This Row],[GroupByKey]]),(DiscreteStatsTable[GroupByKey]=DiscreteStatsTable[[#This Row],[GroupByKey]])*DiscreteStatsTable[Minimum]))</f>
        <v>0</v>
      </c>
      <c r="U288" cm="1">
        <f t="array" ref="U288">MAX(IF((DiscreteStatsTable[GroupByKey]=DiscreteStatsTable[[#This Row],[GroupByKey]]),(DiscreteStatsTable[GroupByKey]=DiscreteStatsTable[[#This Row],[GroupByKey]])*DiscreteStatsTable[Maximum]))</f>
        <v>0</v>
      </c>
      <c r="V288" cm="1">
        <f t="array" ref="V288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88">
        <f>IF((DiscreteStatsTable[[#This Row],[RepsRequested]]&gt;1),DiscreteStatsTable[[#This Row],[HalfWidth]],DiscreteStatsTable[[#This Row],[BatchMeansHalfWidth]])</f>
        <v>0</v>
      </c>
      <c r="X288" cm="1">
        <f t="array" ref="X288">COUNT(IF((DiscreteStatsTable[GroupByKey]=DiscreteStatsTable[[#This Row],[GroupByKey]]),(DiscreteStatsTable[GroupByKey]=DiscreteStatsTable[[#This Row],[GroupByKey]])*DiscreteStatsTable[Replication]))</f>
        <v>30</v>
      </c>
      <c r="Y288">
        <f>IF(DiscreteStatsTable[[#This Row],[RepsRequested]]=DiscreteStatsTable[[#This Row],[RepsWithStatObserved]],1,0)</f>
        <v>1</v>
      </c>
    </row>
    <row r="289" spans="1:25" x14ac:dyDescent="0.2">
      <c r="A289" t="s">
        <v>67</v>
      </c>
      <c r="B289" t="s">
        <v>70</v>
      </c>
      <c r="C289">
        <v>18</v>
      </c>
      <c r="D289" t="s">
        <v>87</v>
      </c>
      <c r="E289" t="s">
        <v>72</v>
      </c>
      <c r="F289" t="s">
        <v>73</v>
      </c>
      <c r="G289">
        <v>0</v>
      </c>
      <c r="H289">
        <v>2E+20</v>
      </c>
      <c r="I289">
        <v>0</v>
      </c>
      <c r="J289">
        <v>0</v>
      </c>
      <c r="K289">
        <v>301</v>
      </c>
      <c r="L289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89" cm="1">
        <f t="array" ref="M289">MAX(IF((ProjectInfoTable[ProjectName]=DiscreteStatsTable[[#This Row],[ProjectName]]),(ProjectInfoTable[ProjectName]=DiscreteStatsTable[[#This Row],[ProjectName]])*ProjectInfoTable[NumberOfReplications]))</f>
        <v>30</v>
      </c>
      <c r="N289" cm="1">
        <f t="array" ref="N289">IFERROR(AVERAGE(IF((DiscreteStatsTable[GroupByKey]=DiscreteStatsTable[[#This Row],[GroupByKey]]),(DiscreteStatsTable[GroupByKey]=DiscreteStatsTable[[#This Row],[GroupByKey]])*DiscreteStatsTable[Average])),0)</f>
        <v>0</v>
      </c>
      <c r="O289" cm="1">
        <f t="array" ref="O289">IFERROR(_xlfn.STDEV.S(IF((DiscreteStatsTable[GroupByKey]=DiscreteStatsTable[[#This Row],[GroupByKey]]),(DiscreteStatsTable[GroupByKey]=DiscreteStatsTable[[#This Row],[GroupByKey]])*DiscreteStatsTable[Average])),0)</f>
        <v>0</v>
      </c>
      <c r="P289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9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cm="1">
        <f t="array" ref="S289">MAX(IF((DiscreteStatsTable[GroupByKey]=DiscreteStatsTable[[#This Row],[GroupByKey]]),(DiscreteStatsTable[GroupByKey]=DiscreteStatsTable[[#This Row],[GroupByKey]])*DiscreteStatsTable[Average]))</f>
        <v>0</v>
      </c>
      <c r="T289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cm="1">
        <f t="array" ref="U289">MAX(IF((DiscreteStatsTable[GroupByKey]=DiscreteStatsTable[[#This Row],[GroupByKey]]),(DiscreteStatsTable[GroupByKey]=DiscreteStatsTable[[#This Row],[GroupByKey]])*DiscreteStatsTable[Maximum]))</f>
        <v>0</v>
      </c>
      <c r="V289" cm="1">
        <f t="array" ref="V289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89">
        <f>IF((DiscreteStatsTable[[#This Row],[RepsRequested]]&gt;1),DiscreteStatsTable[[#This Row],[HalfWidth]],DiscreteStatsTable[[#This Row],[BatchMeansHalfWidth]])</f>
        <v>0</v>
      </c>
      <c r="X289" cm="1">
        <f t="array" ref="X289">COUNT(IF((DiscreteStatsTable[GroupByKey]=DiscreteStatsTable[[#This Row],[GroupByKey]]),(DiscreteStatsTable[GroupByKey]=DiscreteStatsTable[[#This Row],[GroupByKey]])*DiscreteStatsTable[Replication]))</f>
        <v>30</v>
      </c>
      <c r="Y289">
        <f>IF(DiscreteStatsTable[[#This Row],[RepsRequested]]=DiscreteStatsTable[[#This Row],[RepsWithStatObserved]],1,0)</f>
        <v>1</v>
      </c>
    </row>
    <row r="290" spans="1:25" x14ac:dyDescent="0.2">
      <c r="A290" t="s">
        <v>67</v>
      </c>
      <c r="B290" t="s">
        <v>70</v>
      </c>
      <c r="C290">
        <v>19</v>
      </c>
      <c r="D290" t="s">
        <v>87</v>
      </c>
      <c r="E290" t="s">
        <v>72</v>
      </c>
      <c r="F290" t="s">
        <v>73</v>
      </c>
      <c r="G290">
        <v>0</v>
      </c>
      <c r="H290">
        <v>2E+20</v>
      </c>
      <c r="I290">
        <v>0</v>
      </c>
      <c r="J290">
        <v>0</v>
      </c>
      <c r="K290">
        <v>315</v>
      </c>
      <c r="L290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90" cm="1">
        <f t="array" ref="M290">MAX(IF((ProjectInfoTable[ProjectName]=DiscreteStatsTable[[#This Row],[ProjectName]]),(ProjectInfoTable[ProjectName]=DiscreteStatsTable[[#This Row],[ProjectName]])*ProjectInfoTable[NumberOfReplications]))</f>
        <v>30</v>
      </c>
      <c r="N290" cm="1">
        <f t="array" ref="N290">IFERROR(AVERAGE(IF((DiscreteStatsTable[GroupByKey]=DiscreteStatsTable[[#This Row],[GroupByKey]]),(DiscreteStatsTable[GroupByKey]=DiscreteStatsTable[[#This Row],[GroupByKey]])*DiscreteStatsTable[Average])),0)</f>
        <v>0</v>
      </c>
      <c r="O290" cm="1">
        <f t="array" ref="O290">IFERROR(_xlfn.STDEV.S(IF((DiscreteStatsTable[GroupByKey]=DiscreteStatsTable[[#This Row],[GroupByKey]]),(DiscreteStatsTable[GroupByKey]=DiscreteStatsTable[[#This Row],[GroupByKey]])*DiscreteStatsTable[Average])),0)</f>
        <v>0</v>
      </c>
      <c r="P290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0" cm="1">
        <f t="array" ref="R290">MIN(IF((DiscreteStatsTable[GroupByKey]=DiscreteStatsTable[[#This Row],[GroupByKey]]),(DiscreteStatsTable[GroupByKey]=DiscreteStatsTable[[#This Row],[GroupByKey]])*DiscreteStatsTable[Average]))</f>
        <v>0</v>
      </c>
      <c r="S290" cm="1">
        <f t="array" ref="S290">MAX(IF((DiscreteStatsTable[GroupByKey]=DiscreteStatsTable[[#This Row],[GroupByKey]]),(DiscreteStatsTable[GroupByKey]=DiscreteStatsTable[[#This Row],[GroupByKey]])*DiscreteStatsTable[Average]))</f>
        <v>0</v>
      </c>
      <c r="T290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cm="1">
        <f t="array" ref="U290">MAX(IF((DiscreteStatsTable[GroupByKey]=DiscreteStatsTable[[#This Row],[GroupByKey]]),(DiscreteStatsTable[GroupByKey]=DiscreteStatsTable[[#This Row],[GroupByKey]])*DiscreteStatsTable[Maximum]))</f>
        <v>0</v>
      </c>
      <c r="V290" cm="1">
        <f t="array" ref="V290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90">
        <f>IF((DiscreteStatsTable[[#This Row],[RepsRequested]]&gt;1),DiscreteStatsTable[[#This Row],[HalfWidth]],DiscreteStatsTable[[#This Row],[BatchMeansHalfWidth]])</f>
        <v>0</v>
      </c>
      <c r="X290" cm="1">
        <f t="array" ref="X290">COUNT(IF((DiscreteStatsTable[GroupByKey]=DiscreteStatsTable[[#This Row],[GroupByKey]]),(DiscreteStatsTable[GroupByKey]=DiscreteStatsTable[[#This Row],[GroupByKey]])*DiscreteStatsTable[Replication]))</f>
        <v>30</v>
      </c>
      <c r="Y290">
        <f>IF(DiscreteStatsTable[[#This Row],[RepsRequested]]=DiscreteStatsTable[[#This Row],[RepsWithStatObserved]],1,0)</f>
        <v>1</v>
      </c>
    </row>
    <row r="291" spans="1:25" x14ac:dyDescent="0.2">
      <c r="A291" t="s">
        <v>67</v>
      </c>
      <c r="B291" t="s">
        <v>70</v>
      </c>
      <c r="C291">
        <v>20</v>
      </c>
      <c r="D291" t="s">
        <v>87</v>
      </c>
      <c r="E291" t="s">
        <v>72</v>
      </c>
      <c r="F291" t="s">
        <v>73</v>
      </c>
      <c r="G291">
        <v>0</v>
      </c>
      <c r="H291">
        <v>2E+20</v>
      </c>
      <c r="I291">
        <v>0</v>
      </c>
      <c r="J291">
        <v>0</v>
      </c>
      <c r="K291">
        <v>277</v>
      </c>
      <c r="L291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91" cm="1">
        <f t="array" ref="M291">MAX(IF((ProjectInfoTable[ProjectName]=DiscreteStatsTable[[#This Row],[ProjectName]]),(ProjectInfoTable[ProjectName]=DiscreteStatsTable[[#This Row],[ProjectName]])*ProjectInfoTable[NumberOfReplications]))</f>
        <v>30</v>
      </c>
      <c r="N291" cm="1">
        <f t="array" ref="N291">IFERROR(AVERAGE(IF((DiscreteStatsTable[GroupByKey]=DiscreteStatsTable[[#This Row],[GroupByKey]]),(DiscreteStatsTable[GroupByKey]=DiscreteStatsTable[[#This Row],[GroupByKey]])*DiscreteStatsTable[Average])),0)</f>
        <v>0</v>
      </c>
      <c r="O291" cm="1">
        <f t="array" ref="O291">IFERROR(_xlfn.STDEV.S(IF((DiscreteStatsTable[GroupByKey]=DiscreteStatsTable[[#This Row],[GroupByKey]]),(DiscreteStatsTable[GroupByKey]=DiscreteStatsTable[[#This Row],[GroupByKey]])*DiscreteStatsTable[Average])),0)</f>
        <v>0</v>
      </c>
      <c r="P291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1" cm="1">
        <f t="array" ref="R291">MIN(IF((DiscreteStatsTable[GroupByKey]=DiscreteStatsTable[[#This Row],[GroupByKey]]),(DiscreteStatsTable[GroupByKey]=DiscreteStatsTable[[#This Row],[GroupByKey]])*DiscreteStatsTable[Average]))</f>
        <v>0</v>
      </c>
      <c r="S291" cm="1">
        <f t="array" ref="S291">MAX(IF((DiscreteStatsTable[GroupByKey]=DiscreteStatsTable[[#This Row],[GroupByKey]]),(DiscreteStatsTable[GroupByKey]=DiscreteStatsTable[[#This Row],[GroupByKey]])*DiscreteStatsTable[Average]))</f>
        <v>0</v>
      </c>
      <c r="T291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cm="1">
        <f t="array" ref="U291">MAX(IF((DiscreteStatsTable[GroupByKey]=DiscreteStatsTable[[#This Row],[GroupByKey]]),(DiscreteStatsTable[GroupByKey]=DiscreteStatsTable[[#This Row],[GroupByKey]])*DiscreteStatsTable[Maximum]))</f>
        <v>0</v>
      </c>
      <c r="V291" cm="1">
        <f t="array" ref="V291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91">
        <f>IF((DiscreteStatsTable[[#This Row],[RepsRequested]]&gt;1),DiscreteStatsTable[[#This Row],[HalfWidth]],DiscreteStatsTable[[#This Row],[BatchMeansHalfWidth]])</f>
        <v>0</v>
      </c>
      <c r="X291" cm="1">
        <f t="array" ref="X291">COUNT(IF((DiscreteStatsTable[GroupByKey]=DiscreteStatsTable[[#This Row],[GroupByKey]]),(DiscreteStatsTable[GroupByKey]=DiscreteStatsTable[[#This Row],[GroupByKey]])*DiscreteStatsTable[Replication]))</f>
        <v>30</v>
      </c>
      <c r="Y291">
        <f>IF(DiscreteStatsTable[[#This Row],[RepsRequested]]=DiscreteStatsTable[[#This Row],[RepsWithStatObserved]],1,0)</f>
        <v>1</v>
      </c>
    </row>
    <row r="292" spans="1:25" x14ac:dyDescent="0.2">
      <c r="A292" t="s">
        <v>67</v>
      </c>
      <c r="B292" t="s">
        <v>70</v>
      </c>
      <c r="C292">
        <v>21</v>
      </c>
      <c r="D292" t="s">
        <v>87</v>
      </c>
      <c r="E292" t="s">
        <v>72</v>
      </c>
      <c r="F292" t="s">
        <v>73</v>
      </c>
      <c r="G292">
        <v>0</v>
      </c>
      <c r="H292">
        <v>2E+20</v>
      </c>
      <c r="I292">
        <v>0</v>
      </c>
      <c r="J292">
        <v>0</v>
      </c>
      <c r="K292">
        <v>284</v>
      </c>
      <c r="L292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92" cm="1">
        <f t="array" ref="M292">MAX(IF((ProjectInfoTable[ProjectName]=DiscreteStatsTable[[#This Row],[ProjectName]]),(ProjectInfoTable[ProjectName]=DiscreteStatsTable[[#This Row],[ProjectName]])*ProjectInfoTable[NumberOfReplications]))</f>
        <v>30</v>
      </c>
      <c r="N292" cm="1">
        <f t="array" ref="N292">IFERROR(AVERAGE(IF((DiscreteStatsTable[GroupByKey]=DiscreteStatsTable[[#This Row],[GroupByKey]]),(DiscreteStatsTable[GroupByKey]=DiscreteStatsTable[[#This Row],[GroupByKey]])*DiscreteStatsTable[Average])),0)</f>
        <v>0</v>
      </c>
      <c r="O292" cm="1">
        <f t="array" ref="O292">IFERROR(_xlfn.STDEV.S(IF((DiscreteStatsTable[GroupByKey]=DiscreteStatsTable[[#This Row],[GroupByKey]]),(DiscreteStatsTable[GroupByKey]=DiscreteStatsTable[[#This Row],[GroupByKey]])*DiscreteStatsTable[Average])),0)</f>
        <v>0</v>
      </c>
      <c r="P292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2" cm="1">
        <f t="array" ref="R292">MIN(IF((DiscreteStatsTable[GroupByKey]=DiscreteStatsTable[[#This Row],[GroupByKey]]),(DiscreteStatsTable[GroupByKey]=DiscreteStatsTable[[#This Row],[GroupByKey]])*DiscreteStatsTable[Average]))</f>
        <v>0</v>
      </c>
      <c r="S292" cm="1">
        <f t="array" ref="S292">MAX(IF((DiscreteStatsTable[GroupByKey]=DiscreteStatsTable[[#This Row],[GroupByKey]]),(DiscreteStatsTable[GroupByKey]=DiscreteStatsTable[[#This Row],[GroupByKey]])*DiscreteStatsTable[Average]))</f>
        <v>0</v>
      </c>
      <c r="T292" cm="1">
        <f t="array" ref="T292">MIN(IF((DiscreteStatsTable[GroupByKey]=DiscreteStatsTable[[#This Row],[GroupByKey]]),(DiscreteStatsTable[GroupByKey]=DiscreteStatsTable[[#This Row],[GroupByKey]])*DiscreteStatsTable[Minimum]))</f>
        <v>0</v>
      </c>
      <c r="U292" cm="1">
        <f t="array" ref="U292">MAX(IF((DiscreteStatsTable[GroupByKey]=DiscreteStatsTable[[#This Row],[GroupByKey]]),(DiscreteStatsTable[GroupByKey]=DiscreteStatsTable[[#This Row],[GroupByKey]])*DiscreteStatsTable[Maximum]))</f>
        <v>0</v>
      </c>
      <c r="V292" cm="1">
        <f t="array" ref="V292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92">
        <f>IF((DiscreteStatsTable[[#This Row],[RepsRequested]]&gt;1),DiscreteStatsTable[[#This Row],[HalfWidth]],DiscreteStatsTable[[#This Row],[BatchMeansHalfWidth]])</f>
        <v>0</v>
      </c>
      <c r="X292" cm="1">
        <f t="array" ref="X292">COUNT(IF((DiscreteStatsTable[GroupByKey]=DiscreteStatsTable[[#This Row],[GroupByKey]]),(DiscreteStatsTable[GroupByKey]=DiscreteStatsTable[[#This Row],[GroupByKey]])*DiscreteStatsTable[Replication]))</f>
        <v>30</v>
      </c>
      <c r="Y292">
        <f>IF(DiscreteStatsTable[[#This Row],[RepsRequested]]=DiscreteStatsTable[[#This Row],[RepsWithStatObserved]],1,0)</f>
        <v>1</v>
      </c>
    </row>
    <row r="293" spans="1:25" x14ac:dyDescent="0.2">
      <c r="A293" t="s">
        <v>67</v>
      </c>
      <c r="B293" t="s">
        <v>70</v>
      </c>
      <c r="C293">
        <v>22</v>
      </c>
      <c r="D293" t="s">
        <v>87</v>
      </c>
      <c r="E293" t="s">
        <v>72</v>
      </c>
      <c r="F293" t="s">
        <v>73</v>
      </c>
      <c r="G293">
        <v>0</v>
      </c>
      <c r="H293">
        <v>2E+20</v>
      </c>
      <c r="I293">
        <v>0</v>
      </c>
      <c r="J293">
        <v>0</v>
      </c>
      <c r="K293">
        <v>280</v>
      </c>
      <c r="L293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93" cm="1">
        <f t="array" ref="M293">MAX(IF((ProjectInfoTable[ProjectName]=DiscreteStatsTable[[#This Row],[ProjectName]]),(ProjectInfoTable[ProjectName]=DiscreteStatsTable[[#This Row],[ProjectName]])*ProjectInfoTable[NumberOfReplications]))</f>
        <v>30</v>
      </c>
      <c r="N293" cm="1">
        <f t="array" ref="N293">IFERROR(AVERAGE(IF((DiscreteStatsTable[GroupByKey]=DiscreteStatsTable[[#This Row],[GroupByKey]]),(DiscreteStatsTable[GroupByKey]=DiscreteStatsTable[[#This Row],[GroupByKey]])*DiscreteStatsTable[Average])),0)</f>
        <v>0</v>
      </c>
      <c r="O293" cm="1">
        <f t="array" ref="O293">IFERROR(_xlfn.STDEV.S(IF((DiscreteStatsTable[GroupByKey]=DiscreteStatsTable[[#This Row],[GroupByKey]]),(DiscreteStatsTable[GroupByKey]=DiscreteStatsTable[[#This Row],[GroupByKey]])*DiscreteStatsTable[Average])),0)</f>
        <v>0</v>
      </c>
      <c r="P293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3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cm="1">
        <f t="array" ref="S293">MAX(IF((DiscreteStatsTable[GroupByKey]=DiscreteStatsTable[[#This Row],[GroupByKey]]),(DiscreteStatsTable[GroupByKey]=DiscreteStatsTable[[#This Row],[GroupByKey]])*DiscreteStatsTable[Average]))</f>
        <v>0</v>
      </c>
      <c r="T293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cm="1">
        <f t="array" ref="U293">MAX(IF((DiscreteStatsTable[GroupByKey]=DiscreteStatsTable[[#This Row],[GroupByKey]]),(DiscreteStatsTable[GroupByKey]=DiscreteStatsTable[[#This Row],[GroupByKey]])*DiscreteStatsTable[Maximum]))</f>
        <v>0</v>
      </c>
      <c r="V293" cm="1">
        <f t="array" ref="V293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93">
        <f>IF((DiscreteStatsTable[[#This Row],[RepsRequested]]&gt;1),DiscreteStatsTable[[#This Row],[HalfWidth]],DiscreteStatsTable[[#This Row],[BatchMeansHalfWidth]])</f>
        <v>0</v>
      </c>
      <c r="X293" cm="1">
        <f t="array" ref="X293">COUNT(IF((DiscreteStatsTable[GroupByKey]=DiscreteStatsTable[[#This Row],[GroupByKey]]),(DiscreteStatsTable[GroupByKey]=DiscreteStatsTable[[#This Row],[GroupByKey]])*DiscreteStatsTable[Replication]))</f>
        <v>30</v>
      </c>
      <c r="Y293">
        <f>IF(DiscreteStatsTable[[#This Row],[RepsRequested]]=DiscreteStatsTable[[#This Row],[RepsWithStatObserved]],1,0)</f>
        <v>1</v>
      </c>
    </row>
    <row r="294" spans="1:25" x14ac:dyDescent="0.2">
      <c r="A294" t="s">
        <v>67</v>
      </c>
      <c r="B294" t="s">
        <v>70</v>
      </c>
      <c r="C294">
        <v>23</v>
      </c>
      <c r="D294" t="s">
        <v>87</v>
      </c>
      <c r="E294" t="s">
        <v>72</v>
      </c>
      <c r="F294" t="s">
        <v>73</v>
      </c>
      <c r="G294">
        <v>0</v>
      </c>
      <c r="H294">
        <v>2E+20</v>
      </c>
      <c r="I294">
        <v>0</v>
      </c>
      <c r="J294">
        <v>0</v>
      </c>
      <c r="K294">
        <v>269</v>
      </c>
      <c r="L294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94" cm="1">
        <f t="array" ref="M294">MAX(IF((ProjectInfoTable[ProjectName]=DiscreteStatsTable[[#This Row],[ProjectName]]),(ProjectInfoTable[ProjectName]=DiscreteStatsTable[[#This Row],[ProjectName]])*ProjectInfoTable[NumberOfReplications]))</f>
        <v>30</v>
      </c>
      <c r="N294" cm="1">
        <f t="array" ref="N294">IFERROR(AVERAGE(IF((DiscreteStatsTable[GroupByKey]=DiscreteStatsTable[[#This Row],[GroupByKey]]),(DiscreteStatsTable[GroupByKey]=DiscreteStatsTable[[#This Row],[GroupByKey]])*DiscreteStatsTable[Average])),0)</f>
        <v>0</v>
      </c>
      <c r="O294" cm="1">
        <f t="array" ref="O294">IFERROR(_xlfn.STDEV.S(IF((DiscreteStatsTable[GroupByKey]=DiscreteStatsTable[[#This Row],[GroupByKey]]),(DiscreteStatsTable[GroupByKey]=DiscreteStatsTable[[#This Row],[GroupByKey]])*DiscreteStatsTable[Average])),0)</f>
        <v>0</v>
      </c>
      <c r="P294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4" cm="1">
        <f t="array" ref="R294">MIN(IF((DiscreteStatsTable[GroupByKey]=DiscreteStatsTable[[#This Row],[GroupByKey]]),(DiscreteStatsTable[GroupByKey]=DiscreteStatsTable[[#This Row],[GroupByKey]])*DiscreteStatsTable[Average]))</f>
        <v>0</v>
      </c>
      <c r="S294" cm="1">
        <f t="array" ref="S294">MAX(IF((DiscreteStatsTable[GroupByKey]=DiscreteStatsTable[[#This Row],[GroupByKey]]),(DiscreteStatsTable[GroupByKey]=DiscreteStatsTable[[#This Row],[GroupByKey]])*DiscreteStatsTable[Average]))</f>
        <v>0</v>
      </c>
      <c r="T294" cm="1">
        <f t="array" ref="T294">MIN(IF((DiscreteStatsTable[GroupByKey]=DiscreteStatsTable[[#This Row],[GroupByKey]]),(DiscreteStatsTable[GroupByKey]=DiscreteStatsTable[[#This Row],[GroupByKey]])*DiscreteStatsTable[Minimum]))</f>
        <v>0</v>
      </c>
      <c r="U294" cm="1">
        <f t="array" ref="U294">MAX(IF((DiscreteStatsTable[GroupByKey]=DiscreteStatsTable[[#This Row],[GroupByKey]]),(DiscreteStatsTable[GroupByKey]=DiscreteStatsTable[[#This Row],[GroupByKey]])*DiscreteStatsTable[Maximum]))</f>
        <v>0</v>
      </c>
      <c r="V294" cm="1">
        <f t="array" ref="V294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94">
        <f>IF((DiscreteStatsTable[[#This Row],[RepsRequested]]&gt;1),DiscreteStatsTable[[#This Row],[HalfWidth]],DiscreteStatsTable[[#This Row],[BatchMeansHalfWidth]])</f>
        <v>0</v>
      </c>
      <c r="X294" cm="1">
        <f t="array" ref="X294">COUNT(IF((DiscreteStatsTable[GroupByKey]=DiscreteStatsTable[[#This Row],[GroupByKey]]),(DiscreteStatsTable[GroupByKey]=DiscreteStatsTable[[#This Row],[GroupByKey]])*DiscreteStatsTable[Replication]))</f>
        <v>30</v>
      </c>
      <c r="Y294">
        <f>IF(DiscreteStatsTable[[#This Row],[RepsRequested]]=DiscreteStatsTable[[#This Row],[RepsWithStatObserved]],1,0)</f>
        <v>1</v>
      </c>
    </row>
    <row r="295" spans="1:25" x14ac:dyDescent="0.2">
      <c r="A295" t="s">
        <v>67</v>
      </c>
      <c r="B295" t="s">
        <v>70</v>
      </c>
      <c r="C295">
        <v>24</v>
      </c>
      <c r="D295" t="s">
        <v>87</v>
      </c>
      <c r="E295" t="s">
        <v>72</v>
      </c>
      <c r="F295" t="s">
        <v>73</v>
      </c>
      <c r="G295">
        <v>0</v>
      </c>
      <c r="H295">
        <v>0</v>
      </c>
      <c r="I295">
        <v>0</v>
      </c>
      <c r="J295">
        <v>0</v>
      </c>
      <c r="K295">
        <v>331</v>
      </c>
      <c r="L295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95" cm="1">
        <f t="array" ref="M295">MAX(IF((ProjectInfoTable[ProjectName]=DiscreteStatsTable[[#This Row],[ProjectName]]),(ProjectInfoTable[ProjectName]=DiscreteStatsTable[[#This Row],[ProjectName]])*ProjectInfoTable[NumberOfReplications]))</f>
        <v>30</v>
      </c>
      <c r="N295" cm="1">
        <f t="array" ref="N295">IFERROR(AVERAGE(IF((DiscreteStatsTable[GroupByKey]=DiscreteStatsTable[[#This Row],[GroupByKey]]),(DiscreteStatsTable[GroupByKey]=DiscreteStatsTable[[#This Row],[GroupByKey]])*DiscreteStatsTable[Average])),0)</f>
        <v>0</v>
      </c>
      <c r="O295" cm="1">
        <f t="array" ref="O295">IFERROR(_xlfn.STDEV.S(IF((DiscreteStatsTable[GroupByKey]=DiscreteStatsTable[[#This Row],[GroupByKey]]),(DiscreteStatsTable[GroupByKey]=DiscreteStatsTable[[#This Row],[GroupByKey]])*DiscreteStatsTable[Average])),0)</f>
        <v>0</v>
      </c>
      <c r="P29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cm="1">
        <f t="array" ref="S295">MAX(IF((DiscreteStatsTable[GroupByKey]=DiscreteStatsTable[[#This Row],[GroupByKey]]),(DiscreteStatsTable[GroupByKey]=DiscreteStatsTable[[#This Row],[GroupByKey]])*DiscreteStatsTable[Average]))</f>
        <v>0</v>
      </c>
      <c r="T29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cm="1">
        <f t="array" ref="U295">MAX(IF((DiscreteStatsTable[GroupByKey]=DiscreteStatsTable[[#This Row],[GroupByKey]]),(DiscreteStatsTable[GroupByKey]=DiscreteStatsTable[[#This Row],[GroupByKey]])*DiscreteStatsTable[Maximum]))</f>
        <v>0</v>
      </c>
      <c r="V295" cm="1">
        <f t="array" ref="V295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95">
        <f>IF((DiscreteStatsTable[[#This Row],[RepsRequested]]&gt;1),DiscreteStatsTable[[#This Row],[HalfWidth]],DiscreteStatsTable[[#This Row],[BatchMeansHalfWidth]])</f>
        <v>0</v>
      </c>
      <c r="X295" cm="1">
        <f t="array" ref="X295">COUNT(IF((DiscreteStatsTable[GroupByKey]=DiscreteStatsTable[[#This Row],[GroupByKey]]),(DiscreteStatsTable[GroupByKey]=DiscreteStatsTable[[#This Row],[GroupByKey]])*DiscreteStatsTable[Replication]))</f>
        <v>30</v>
      </c>
      <c r="Y295">
        <f>IF(DiscreteStatsTable[[#This Row],[RepsRequested]]=DiscreteStatsTable[[#This Row],[RepsWithStatObserved]],1,0)</f>
        <v>1</v>
      </c>
    </row>
    <row r="296" spans="1:25" x14ac:dyDescent="0.2">
      <c r="A296" t="s">
        <v>67</v>
      </c>
      <c r="B296" t="s">
        <v>70</v>
      </c>
      <c r="C296">
        <v>25</v>
      </c>
      <c r="D296" t="s">
        <v>87</v>
      </c>
      <c r="E296" t="s">
        <v>72</v>
      </c>
      <c r="F296" t="s">
        <v>73</v>
      </c>
      <c r="G296">
        <v>0</v>
      </c>
      <c r="H296">
        <v>2E+20</v>
      </c>
      <c r="I296">
        <v>0</v>
      </c>
      <c r="J296">
        <v>0</v>
      </c>
      <c r="K296">
        <v>311</v>
      </c>
      <c r="L296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96" cm="1">
        <f t="array" ref="M296">MAX(IF((ProjectInfoTable[ProjectName]=DiscreteStatsTable[[#This Row],[ProjectName]]),(ProjectInfoTable[ProjectName]=DiscreteStatsTable[[#This Row],[ProjectName]])*ProjectInfoTable[NumberOfReplications]))</f>
        <v>30</v>
      </c>
      <c r="N296" cm="1">
        <f t="array" ref="N296">IFERROR(AVERAGE(IF((DiscreteStatsTable[GroupByKey]=DiscreteStatsTable[[#This Row],[GroupByKey]]),(DiscreteStatsTable[GroupByKey]=DiscreteStatsTable[[#This Row],[GroupByKey]])*DiscreteStatsTable[Average])),0)</f>
        <v>0</v>
      </c>
      <c r="O296" cm="1">
        <f t="array" ref="O296">IFERROR(_xlfn.STDEV.S(IF((DiscreteStatsTable[GroupByKey]=DiscreteStatsTable[[#This Row],[GroupByKey]]),(DiscreteStatsTable[GroupByKey]=DiscreteStatsTable[[#This Row],[GroupByKey]])*DiscreteStatsTable[Average])),0)</f>
        <v>0</v>
      </c>
      <c r="P296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6" cm="1">
        <f t="array" ref="R296">MIN(IF((DiscreteStatsTable[GroupByKey]=DiscreteStatsTable[[#This Row],[GroupByKey]]),(DiscreteStatsTable[GroupByKey]=DiscreteStatsTable[[#This Row],[GroupByKey]])*DiscreteStatsTable[Average]))</f>
        <v>0</v>
      </c>
      <c r="S296" cm="1">
        <f t="array" ref="S296">MAX(IF((DiscreteStatsTable[GroupByKey]=DiscreteStatsTable[[#This Row],[GroupByKey]]),(DiscreteStatsTable[GroupByKey]=DiscreteStatsTable[[#This Row],[GroupByKey]])*DiscreteStatsTable[Average]))</f>
        <v>0</v>
      </c>
      <c r="T296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cm="1">
        <f t="array" ref="U296">MAX(IF((DiscreteStatsTable[GroupByKey]=DiscreteStatsTable[[#This Row],[GroupByKey]]),(DiscreteStatsTable[GroupByKey]=DiscreteStatsTable[[#This Row],[GroupByKey]])*DiscreteStatsTable[Maximum]))</f>
        <v>0</v>
      </c>
      <c r="V296" cm="1">
        <f t="array" ref="V296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96">
        <f>IF((DiscreteStatsTable[[#This Row],[RepsRequested]]&gt;1),DiscreteStatsTable[[#This Row],[HalfWidth]],DiscreteStatsTable[[#This Row],[BatchMeansHalfWidth]])</f>
        <v>0</v>
      </c>
      <c r="X296" cm="1">
        <f t="array" ref="X296">COUNT(IF((DiscreteStatsTable[GroupByKey]=DiscreteStatsTable[[#This Row],[GroupByKey]]),(DiscreteStatsTable[GroupByKey]=DiscreteStatsTable[[#This Row],[GroupByKey]])*DiscreteStatsTable[Replication]))</f>
        <v>30</v>
      </c>
      <c r="Y296">
        <f>IF(DiscreteStatsTable[[#This Row],[RepsRequested]]=DiscreteStatsTable[[#This Row],[RepsWithStatObserved]],1,0)</f>
        <v>1</v>
      </c>
    </row>
    <row r="297" spans="1:25" x14ac:dyDescent="0.2">
      <c r="A297" t="s">
        <v>67</v>
      </c>
      <c r="B297" t="s">
        <v>70</v>
      </c>
      <c r="C297">
        <v>26</v>
      </c>
      <c r="D297" t="s">
        <v>87</v>
      </c>
      <c r="E297" t="s">
        <v>72</v>
      </c>
      <c r="F297" t="s">
        <v>73</v>
      </c>
      <c r="G297">
        <v>0</v>
      </c>
      <c r="H297">
        <v>2E+20</v>
      </c>
      <c r="I297">
        <v>0</v>
      </c>
      <c r="J297">
        <v>0</v>
      </c>
      <c r="K297">
        <v>301</v>
      </c>
      <c r="L297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97" cm="1">
        <f t="array" ref="M297">MAX(IF((ProjectInfoTable[ProjectName]=DiscreteStatsTable[[#This Row],[ProjectName]]),(ProjectInfoTable[ProjectName]=DiscreteStatsTable[[#This Row],[ProjectName]])*ProjectInfoTable[NumberOfReplications]))</f>
        <v>30</v>
      </c>
      <c r="N297" cm="1">
        <f t="array" ref="N297">IFERROR(AVERAGE(IF((DiscreteStatsTable[GroupByKey]=DiscreteStatsTable[[#This Row],[GroupByKey]]),(DiscreteStatsTable[GroupByKey]=DiscreteStatsTable[[#This Row],[GroupByKey]])*DiscreteStatsTable[Average])),0)</f>
        <v>0</v>
      </c>
      <c r="O297" cm="1">
        <f t="array" ref="O297">IFERROR(_xlfn.STDEV.S(IF((DiscreteStatsTable[GroupByKey]=DiscreteStatsTable[[#This Row],[GroupByKey]]),(DiscreteStatsTable[GroupByKey]=DiscreteStatsTable[[#This Row],[GroupByKey]])*DiscreteStatsTable[Average])),0)</f>
        <v>0</v>
      </c>
      <c r="P297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7" cm="1">
        <f t="array" ref="R297">MIN(IF((DiscreteStatsTable[GroupByKey]=DiscreteStatsTable[[#This Row],[GroupByKey]]),(DiscreteStatsTable[GroupByKey]=DiscreteStatsTable[[#This Row],[GroupByKey]])*DiscreteStatsTable[Average]))</f>
        <v>0</v>
      </c>
      <c r="S297" cm="1">
        <f t="array" ref="S297">MAX(IF((DiscreteStatsTable[GroupByKey]=DiscreteStatsTable[[#This Row],[GroupByKey]]),(DiscreteStatsTable[GroupByKey]=DiscreteStatsTable[[#This Row],[GroupByKey]])*DiscreteStatsTable[Average]))</f>
        <v>0</v>
      </c>
      <c r="T297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cm="1">
        <f t="array" ref="U297">MAX(IF((DiscreteStatsTable[GroupByKey]=DiscreteStatsTable[[#This Row],[GroupByKey]]),(DiscreteStatsTable[GroupByKey]=DiscreteStatsTable[[#This Row],[GroupByKey]])*DiscreteStatsTable[Maximum]))</f>
        <v>0</v>
      </c>
      <c r="V297" cm="1">
        <f t="array" ref="V297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97">
        <f>IF((DiscreteStatsTable[[#This Row],[RepsRequested]]&gt;1),DiscreteStatsTable[[#This Row],[HalfWidth]],DiscreteStatsTable[[#This Row],[BatchMeansHalfWidth]])</f>
        <v>0</v>
      </c>
      <c r="X297" cm="1">
        <f t="array" ref="X297">COUNT(IF((DiscreteStatsTable[GroupByKey]=DiscreteStatsTable[[#This Row],[GroupByKey]]),(DiscreteStatsTable[GroupByKey]=DiscreteStatsTable[[#This Row],[GroupByKey]])*DiscreteStatsTable[Replication]))</f>
        <v>30</v>
      </c>
      <c r="Y297">
        <f>IF(DiscreteStatsTable[[#This Row],[RepsRequested]]=DiscreteStatsTable[[#This Row],[RepsWithStatObserved]],1,0)</f>
        <v>1</v>
      </c>
    </row>
    <row r="298" spans="1:25" x14ac:dyDescent="0.2">
      <c r="A298" t="s">
        <v>67</v>
      </c>
      <c r="B298" t="s">
        <v>70</v>
      </c>
      <c r="C298">
        <v>27</v>
      </c>
      <c r="D298" t="s">
        <v>87</v>
      </c>
      <c r="E298" t="s">
        <v>72</v>
      </c>
      <c r="F298" t="s">
        <v>73</v>
      </c>
      <c r="G298">
        <v>0</v>
      </c>
      <c r="H298">
        <v>2E+20</v>
      </c>
      <c r="I298">
        <v>0</v>
      </c>
      <c r="J298">
        <v>0</v>
      </c>
      <c r="K298">
        <v>288</v>
      </c>
      <c r="L298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98" cm="1">
        <f t="array" ref="M298">MAX(IF((ProjectInfoTable[ProjectName]=DiscreteStatsTable[[#This Row],[ProjectName]]),(ProjectInfoTable[ProjectName]=DiscreteStatsTable[[#This Row],[ProjectName]])*ProjectInfoTable[NumberOfReplications]))</f>
        <v>30</v>
      </c>
      <c r="N298" cm="1">
        <f t="array" ref="N298">IFERROR(AVERAGE(IF((DiscreteStatsTable[GroupByKey]=DiscreteStatsTable[[#This Row],[GroupByKey]]),(DiscreteStatsTable[GroupByKey]=DiscreteStatsTable[[#This Row],[GroupByKey]])*DiscreteStatsTable[Average])),0)</f>
        <v>0</v>
      </c>
      <c r="O298" cm="1">
        <f t="array" ref="O298">IFERROR(_xlfn.STDEV.S(IF((DiscreteStatsTable[GroupByKey]=DiscreteStatsTable[[#This Row],[GroupByKey]]),(DiscreteStatsTable[GroupByKey]=DiscreteStatsTable[[#This Row],[GroupByKey]])*DiscreteStatsTable[Average])),0)</f>
        <v>0</v>
      </c>
      <c r="P298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8" cm="1">
        <f t="array" ref="R298">MIN(IF((DiscreteStatsTable[GroupByKey]=DiscreteStatsTable[[#This Row],[GroupByKey]]),(DiscreteStatsTable[GroupByKey]=DiscreteStatsTable[[#This Row],[GroupByKey]])*DiscreteStatsTable[Average]))</f>
        <v>0</v>
      </c>
      <c r="S298" cm="1">
        <f t="array" ref="S298">MAX(IF((DiscreteStatsTable[GroupByKey]=DiscreteStatsTable[[#This Row],[GroupByKey]]),(DiscreteStatsTable[GroupByKey]=DiscreteStatsTable[[#This Row],[GroupByKey]])*DiscreteStatsTable[Average]))</f>
        <v>0</v>
      </c>
      <c r="T298" cm="1">
        <f t="array" ref="T298">MIN(IF((DiscreteStatsTable[GroupByKey]=DiscreteStatsTable[[#This Row],[GroupByKey]]),(DiscreteStatsTable[GroupByKey]=DiscreteStatsTable[[#This Row],[GroupByKey]])*DiscreteStatsTable[Minimum]))</f>
        <v>0</v>
      </c>
      <c r="U298" cm="1">
        <f t="array" ref="U298">MAX(IF((DiscreteStatsTable[GroupByKey]=DiscreteStatsTable[[#This Row],[GroupByKey]]),(DiscreteStatsTable[GroupByKey]=DiscreteStatsTable[[#This Row],[GroupByKey]])*DiscreteStatsTable[Maximum]))</f>
        <v>0</v>
      </c>
      <c r="V298" cm="1">
        <f t="array" ref="V298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98">
        <f>IF((DiscreteStatsTable[[#This Row],[RepsRequested]]&gt;1),DiscreteStatsTable[[#This Row],[HalfWidth]],DiscreteStatsTable[[#This Row],[BatchMeansHalfWidth]])</f>
        <v>0</v>
      </c>
      <c r="X298" cm="1">
        <f t="array" ref="X298">COUNT(IF((DiscreteStatsTable[GroupByKey]=DiscreteStatsTable[[#This Row],[GroupByKey]]),(DiscreteStatsTable[GroupByKey]=DiscreteStatsTable[[#This Row],[GroupByKey]])*DiscreteStatsTable[Replication]))</f>
        <v>30</v>
      </c>
      <c r="Y298">
        <f>IF(DiscreteStatsTable[[#This Row],[RepsRequested]]=DiscreteStatsTable[[#This Row],[RepsWithStatObserved]],1,0)</f>
        <v>1</v>
      </c>
    </row>
    <row r="299" spans="1:25" x14ac:dyDescent="0.2">
      <c r="A299" t="s">
        <v>67</v>
      </c>
      <c r="B299" t="s">
        <v>70</v>
      </c>
      <c r="C299">
        <v>28</v>
      </c>
      <c r="D299" t="s">
        <v>87</v>
      </c>
      <c r="E299" t="s">
        <v>72</v>
      </c>
      <c r="F299" t="s">
        <v>73</v>
      </c>
      <c r="G299">
        <v>0</v>
      </c>
      <c r="H299">
        <v>2E+20</v>
      </c>
      <c r="I299">
        <v>0</v>
      </c>
      <c r="J299">
        <v>0</v>
      </c>
      <c r="K299">
        <v>270</v>
      </c>
      <c r="L299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299" cm="1">
        <f t="array" ref="M299">MAX(IF((ProjectInfoTable[ProjectName]=DiscreteStatsTable[[#This Row],[ProjectName]]),(ProjectInfoTable[ProjectName]=DiscreteStatsTable[[#This Row],[ProjectName]])*ProjectInfoTable[NumberOfReplications]))</f>
        <v>30</v>
      </c>
      <c r="N299" cm="1">
        <f t="array" ref="N299">IFERROR(AVERAGE(IF((DiscreteStatsTable[GroupByKey]=DiscreteStatsTable[[#This Row],[GroupByKey]]),(DiscreteStatsTable[GroupByKey]=DiscreteStatsTable[[#This Row],[GroupByKey]])*DiscreteStatsTable[Average])),0)</f>
        <v>0</v>
      </c>
      <c r="O299" cm="1">
        <f t="array" ref="O299">IFERROR(_xlfn.STDEV.S(IF((DiscreteStatsTable[GroupByKey]=DiscreteStatsTable[[#This Row],[GroupByKey]]),(DiscreteStatsTable[GroupByKey]=DiscreteStatsTable[[#This Row],[GroupByKey]])*DiscreteStatsTable[Average])),0)</f>
        <v>0</v>
      </c>
      <c r="P299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9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cm="1">
        <f t="array" ref="S299">MAX(IF((DiscreteStatsTable[GroupByKey]=DiscreteStatsTable[[#This Row],[GroupByKey]]),(DiscreteStatsTable[GroupByKey]=DiscreteStatsTable[[#This Row],[GroupByKey]])*DiscreteStatsTable[Average]))</f>
        <v>0</v>
      </c>
      <c r="T299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cm="1">
        <f t="array" ref="U299">MAX(IF((DiscreteStatsTable[GroupByKey]=DiscreteStatsTable[[#This Row],[GroupByKey]]),(DiscreteStatsTable[GroupByKey]=DiscreteStatsTable[[#This Row],[GroupByKey]])*DiscreteStatsTable[Maximum]))</f>
        <v>0</v>
      </c>
      <c r="V299" cm="1">
        <f t="array" ref="V299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299">
        <f>IF((DiscreteStatsTable[[#This Row],[RepsRequested]]&gt;1),DiscreteStatsTable[[#This Row],[HalfWidth]],DiscreteStatsTable[[#This Row],[BatchMeansHalfWidth]])</f>
        <v>0</v>
      </c>
      <c r="X299" cm="1">
        <f t="array" ref="X299">COUNT(IF((DiscreteStatsTable[GroupByKey]=DiscreteStatsTable[[#This Row],[GroupByKey]]),(DiscreteStatsTable[GroupByKey]=DiscreteStatsTable[[#This Row],[GroupByKey]])*DiscreteStatsTable[Replication]))</f>
        <v>30</v>
      </c>
      <c r="Y299">
        <f>IF(DiscreteStatsTable[[#This Row],[RepsRequested]]=DiscreteStatsTable[[#This Row],[RepsWithStatObserved]],1,0)</f>
        <v>1</v>
      </c>
    </row>
    <row r="300" spans="1:25" x14ac:dyDescent="0.2">
      <c r="A300" t="s">
        <v>67</v>
      </c>
      <c r="B300" t="s">
        <v>70</v>
      </c>
      <c r="C300">
        <v>29</v>
      </c>
      <c r="D300" t="s">
        <v>87</v>
      </c>
      <c r="E300" t="s">
        <v>72</v>
      </c>
      <c r="F300" t="s">
        <v>73</v>
      </c>
      <c r="G300">
        <v>0</v>
      </c>
      <c r="H300">
        <v>2E+20</v>
      </c>
      <c r="I300">
        <v>0</v>
      </c>
      <c r="J300">
        <v>0</v>
      </c>
      <c r="K300">
        <v>318</v>
      </c>
      <c r="L300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300" cm="1">
        <f t="array" ref="M300">MAX(IF((ProjectInfoTable[ProjectName]=DiscreteStatsTable[[#This Row],[ProjectName]]),(ProjectInfoTable[ProjectName]=DiscreteStatsTable[[#This Row],[ProjectName]])*ProjectInfoTable[NumberOfReplications]))</f>
        <v>30</v>
      </c>
      <c r="N300" cm="1">
        <f t="array" ref="N300">IFERROR(AVERAGE(IF((DiscreteStatsTable[GroupByKey]=DiscreteStatsTable[[#This Row],[GroupByKey]]),(DiscreteStatsTable[GroupByKey]=DiscreteStatsTable[[#This Row],[GroupByKey]])*DiscreteStatsTable[Average])),0)</f>
        <v>0</v>
      </c>
      <c r="O300" cm="1">
        <f t="array" ref="O300">IFERROR(_xlfn.STDEV.S(IF((DiscreteStatsTable[GroupByKey]=DiscreteStatsTable[[#This Row],[GroupByKey]]),(DiscreteStatsTable[GroupByKey]=DiscreteStatsTable[[#This Row],[GroupByKey]])*DiscreteStatsTable[Average])),0)</f>
        <v>0</v>
      </c>
      <c r="P300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0" cm="1">
        <f t="array" ref="R300">MIN(IF((DiscreteStatsTable[GroupByKey]=DiscreteStatsTable[[#This Row],[GroupByKey]]),(DiscreteStatsTable[GroupByKey]=DiscreteStatsTable[[#This Row],[GroupByKey]])*DiscreteStatsTable[Average]))</f>
        <v>0</v>
      </c>
      <c r="S300" cm="1">
        <f t="array" ref="S300">MAX(IF((DiscreteStatsTable[GroupByKey]=DiscreteStatsTable[[#This Row],[GroupByKey]]),(DiscreteStatsTable[GroupByKey]=DiscreteStatsTable[[#This Row],[GroupByKey]])*DiscreteStatsTable[Average]))</f>
        <v>0</v>
      </c>
      <c r="T300" cm="1">
        <f t="array" ref="T300">MIN(IF((DiscreteStatsTable[GroupByKey]=DiscreteStatsTable[[#This Row],[GroupByKey]]),(DiscreteStatsTable[GroupByKey]=DiscreteStatsTable[[#This Row],[GroupByKey]])*DiscreteStatsTable[Minimum]))</f>
        <v>0</v>
      </c>
      <c r="U300" cm="1">
        <f t="array" ref="U300">MAX(IF((DiscreteStatsTable[GroupByKey]=DiscreteStatsTable[[#This Row],[GroupByKey]]),(DiscreteStatsTable[GroupByKey]=DiscreteStatsTable[[#This Row],[GroupByKey]])*DiscreteStatsTable[Maximum]))</f>
        <v>0</v>
      </c>
      <c r="V300" cm="1">
        <f t="array" ref="V300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00">
        <f>IF((DiscreteStatsTable[[#This Row],[RepsRequested]]&gt;1),DiscreteStatsTable[[#This Row],[HalfWidth]],DiscreteStatsTable[[#This Row],[BatchMeansHalfWidth]])</f>
        <v>0</v>
      </c>
      <c r="X300" cm="1">
        <f t="array" ref="X300">COUNT(IF((DiscreteStatsTable[GroupByKey]=DiscreteStatsTable[[#This Row],[GroupByKey]]),(DiscreteStatsTable[GroupByKey]=DiscreteStatsTable[[#This Row],[GroupByKey]])*DiscreteStatsTable[Replication]))</f>
        <v>30</v>
      </c>
      <c r="Y300">
        <f>IF(DiscreteStatsTable[[#This Row],[RepsRequested]]=DiscreteStatsTable[[#This Row],[RepsWithStatObserved]],1,0)</f>
        <v>1</v>
      </c>
    </row>
    <row r="301" spans="1:25" x14ac:dyDescent="0.2">
      <c r="A301" t="s">
        <v>67</v>
      </c>
      <c r="B301" t="s">
        <v>70</v>
      </c>
      <c r="C301">
        <v>30</v>
      </c>
      <c r="D301" t="s">
        <v>87</v>
      </c>
      <c r="E301" t="s">
        <v>72</v>
      </c>
      <c r="F301" t="s">
        <v>73</v>
      </c>
      <c r="G301">
        <v>0</v>
      </c>
      <c r="H301">
        <v>2E+20</v>
      </c>
      <c r="I301">
        <v>0</v>
      </c>
      <c r="J301">
        <v>0</v>
      </c>
      <c r="K301">
        <v>278</v>
      </c>
      <c r="L301" t="str">
        <f>DiscreteStatsTable[[#This Row],[ProjectName]]&amp;DiscreteStatsTable[[#This Row],[Name]]&amp;DiscreteStatsTable[[#This Row],[Type]]&amp;DiscreteStatsTable[[#This Row],[Source]]</f>
        <v>Unnamed ProjectInside_Table_Waiting_QueueWaiting TimeQueue</v>
      </c>
      <c r="M301" cm="1">
        <f t="array" ref="M301">MAX(IF((ProjectInfoTable[ProjectName]=DiscreteStatsTable[[#This Row],[ProjectName]]),(ProjectInfoTable[ProjectName]=DiscreteStatsTable[[#This Row],[ProjectName]])*ProjectInfoTable[NumberOfReplications]))</f>
        <v>30</v>
      </c>
      <c r="N301" cm="1">
        <f t="array" ref="N301">IFERROR(AVERAGE(IF((DiscreteStatsTable[GroupByKey]=DiscreteStatsTable[[#This Row],[GroupByKey]]),(DiscreteStatsTable[GroupByKey]=DiscreteStatsTable[[#This Row],[GroupByKey]])*DiscreteStatsTable[Average])),0)</f>
        <v>0</v>
      </c>
      <c r="O301" cm="1">
        <f t="array" ref="O301">IFERROR(_xlfn.STDEV.S(IF((DiscreteStatsTable[GroupByKey]=DiscreteStatsTable[[#This Row],[GroupByKey]]),(DiscreteStatsTable[GroupByKey]=DiscreteStatsTable[[#This Row],[GroupByKey]])*DiscreteStatsTable[Average])),0)</f>
        <v>0</v>
      </c>
      <c r="P301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1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cm="1">
        <f t="array" ref="S301">MAX(IF((DiscreteStatsTable[GroupByKey]=DiscreteStatsTable[[#This Row],[GroupByKey]]),(DiscreteStatsTable[GroupByKey]=DiscreteStatsTable[[#This Row],[GroupByKey]])*DiscreteStatsTable[Average]))</f>
        <v>0</v>
      </c>
      <c r="T301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cm="1">
        <f t="array" ref="U301">MAX(IF((DiscreteStatsTable[GroupByKey]=DiscreteStatsTable[[#This Row],[GroupByKey]]),(DiscreteStatsTable[GroupByKey]=DiscreteStatsTable[[#This Row],[GroupByKey]])*DiscreteStatsTable[Maximum]))</f>
        <v>0</v>
      </c>
      <c r="V301" cm="1">
        <f t="array" ref="V301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01">
        <f>IF((DiscreteStatsTable[[#This Row],[RepsRequested]]&gt;1),DiscreteStatsTable[[#This Row],[HalfWidth]],DiscreteStatsTable[[#This Row],[BatchMeansHalfWidth]])</f>
        <v>0</v>
      </c>
      <c r="X301" cm="1">
        <f t="array" ref="X301">COUNT(IF((DiscreteStatsTable[GroupByKey]=DiscreteStatsTable[[#This Row],[GroupByKey]]),(DiscreteStatsTable[GroupByKey]=DiscreteStatsTable[[#This Row],[GroupByKey]])*DiscreteStatsTable[Replication]))</f>
        <v>30</v>
      </c>
      <c r="Y301">
        <f>IF(DiscreteStatsTable[[#This Row],[RepsRequested]]=DiscreteStatsTable[[#This Row],[RepsWithStatObserved]],1,0)</f>
        <v>1</v>
      </c>
    </row>
    <row r="302" spans="1:25" x14ac:dyDescent="0.2">
      <c r="A302" t="s">
        <v>67</v>
      </c>
      <c r="B302" t="s">
        <v>70</v>
      </c>
      <c r="C302">
        <v>1</v>
      </c>
      <c r="D302" t="s">
        <v>83</v>
      </c>
      <c r="E302" t="s">
        <v>84</v>
      </c>
      <c r="F302" t="s">
        <v>85</v>
      </c>
      <c r="G302">
        <v>0</v>
      </c>
      <c r="H302">
        <v>2E+20</v>
      </c>
      <c r="I302">
        <v>0</v>
      </c>
      <c r="J302">
        <v>0</v>
      </c>
      <c r="K302">
        <v>301</v>
      </c>
      <c r="L302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02" cm="1">
        <f t="array" ref="M302">MAX(IF((ProjectInfoTable[ProjectName]=DiscreteStatsTable[[#This Row],[ProjectName]]),(ProjectInfoTable[ProjectName]=DiscreteStatsTable[[#This Row],[ProjectName]])*ProjectInfoTable[NumberOfReplications]))</f>
        <v>30</v>
      </c>
      <c r="N302" cm="1">
        <f t="array" ref="N302">IFERROR(AVERAGE(IF((DiscreteStatsTable[GroupByKey]=DiscreteStatsTable[[#This Row],[GroupByKey]]),(DiscreteStatsTable[GroupByKey]=DiscreteStatsTable[[#This Row],[GroupByKey]])*DiscreteStatsTable[Average])),0)</f>
        <v>0</v>
      </c>
      <c r="O302" cm="1">
        <f t="array" ref="O302">IFERROR(_xlfn.STDEV.S(IF((DiscreteStatsTable[GroupByKey]=DiscreteStatsTable[[#This Row],[GroupByKey]]),(DiscreteStatsTable[GroupByKey]=DiscreteStatsTable[[#This Row],[GroupByKey]])*DiscreteStatsTable[Average])),0)</f>
        <v>0</v>
      </c>
      <c r="P302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2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cm="1">
        <f t="array" ref="S302">MAX(IF((DiscreteStatsTable[GroupByKey]=DiscreteStatsTable[[#This Row],[GroupByKey]]),(DiscreteStatsTable[GroupByKey]=DiscreteStatsTable[[#This Row],[GroupByKey]])*DiscreteStatsTable[Average]))</f>
        <v>0</v>
      </c>
      <c r="T302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cm="1">
        <f t="array" ref="U302">MAX(IF((DiscreteStatsTable[GroupByKey]=DiscreteStatsTable[[#This Row],[GroupByKey]]),(DiscreteStatsTable[GroupByKey]=DiscreteStatsTable[[#This Row],[GroupByKey]])*DiscreteStatsTable[Maximum]))</f>
        <v>0</v>
      </c>
      <c r="V302" cm="1">
        <f t="array" ref="V302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02">
        <f>IF((DiscreteStatsTable[[#This Row],[RepsRequested]]&gt;1),DiscreteStatsTable[[#This Row],[HalfWidth]],DiscreteStatsTable[[#This Row],[BatchMeansHalfWidth]])</f>
        <v>0</v>
      </c>
      <c r="X302" cm="1">
        <f t="array" ref="X302">COUNT(IF((DiscreteStatsTable[GroupByKey]=DiscreteStatsTable[[#This Row],[GroupByKey]]),(DiscreteStatsTable[GroupByKey]=DiscreteStatsTable[[#This Row],[GroupByKey]])*DiscreteStatsTable[Replication]))</f>
        <v>30</v>
      </c>
      <c r="Y302">
        <f>IF(DiscreteStatsTable[[#This Row],[RepsRequested]]=DiscreteStatsTable[[#This Row],[RepsWithStatObserved]],1,0)</f>
        <v>1</v>
      </c>
    </row>
    <row r="303" spans="1:25" x14ac:dyDescent="0.2">
      <c r="A303" t="s">
        <v>67</v>
      </c>
      <c r="B303" t="s">
        <v>70</v>
      </c>
      <c r="C303">
        <v>2</v>
      </c>
      <c r="D303" t="s">
        <v>83</v>
      </c>
      <c r="E303" t="s">
        <v>84</v>
      </c>
      <c r="F303" t="s">
        <v>85</v>
      </c>
      <c r="G303">
        <v>0</v>
      </c>
      <c r="H303">
        <v>2E+20</v>
      </c>
      <c r="I303">
        <v>0</v>
      </c>
      <c r="J303">
        <v>0</v>
      </c>
      <c r="K303">
        <v>304</v>
      </c>
      <c r="L303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03" cm="1">
        <f t="array" ref="M303">MAX(IF((ProjectInfoTable[ProjectName]=DiscreteStatsTable[[#This Row],[ProjectName]]),(ProjectInfoTable[ProjectName]=DiscreteStatsTable[[#This Row],[ProjectName]])*ProjectInfoTable[NumberOfReplications]))</f>
        <v>30</v>
      </c>
      <c r="N303" cm="1">
        <f t="array" ref="N303">IFERROR(AVERAGE(IF((DiscreteStatsTable[GroupByKey]=DiscreteStatsTable[[#This Row],[GroupByKey]]),(DiscreteStatsTable[GroupByKey]=DiscreteStatsTable[[#This Row],[GroupByKey]])*DiscreteStatsTable[Average])),0)</f>
        <v>0</v>
      </c>
      <c r="O303" cm="1">
        <f t="array" ref="O303">IFERROR(_xlfn.STDEV.S(IF((DiscreteStatsTable[GroupByKey]=DiscreteStatsTable[[#This Row],[GroupByKey]]),(DiscreteStatsTable[GroupByKey]=DiscreteStatsTable[[#This Row],[GroupByKey]])*DiscreteStatsTable[Average])),0)</f>
        <v>0</v>
      </c>
      <c r="P303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3" cm="1">
        <f t="array" ref="R303">MIN(IF((DiscreteStatsTable[GroupByKey]=DiscreteStatsTable[[#This Row],[GroupByKey]]),(DiscreteStatsTable[GroupByKey]=DiscreteStatsTable[[#This Row],[GroupByKey]])*DiscreteStatsTable[Average]))</f>
        <v>0</v>
      </c>
      <c r="S303" cm="1">
        <f t="array" ref="S303">MAX(IF((DiscreteStatsTable[GroupByKey]=DiscreteStatsTable[[#This Row],[GroupByKey]]),(DiscreteStatsTable[GroupByKey]=DiscreteStatsTable[[#This Row],[GroupByKey]])*DiscreteStatsTable[Average]))</f>
        <v>0</v>
      </c>
      <c r="T303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cm="1">
        <f t="array" ref="U303">MAX(IF((DiscreteStatsTable[GroupByKey]=DiscreteStatsTable[[#This Row],[GroupByKey]]),(DiscreteStatsTable[GroupByKey]=DiscreteStatsTable[[#This Row],[GroupByKey]])*DiscreteStatsTable[Maximum]))</f>
        <v>0</v>
      </c>
      <c r="V303" cm="1">
        <f t="array" ref="V303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03">
        <f>IF((DiscreteStatsTable[[#This Row],[RepsRequested]]&gt;1),DiscreteStatsTable[[#This Row],[HalfWidth]],DiscreteStatsTable[[#This Row],[BatchMeansHalfWidth]])</f>
        <v>0</v>
      </c>
      <c r="X303" cm="1">
        <f t="array" ref="X303">COUNT(IF((DiscreteStatsTable[GroupByKey]=DiscreteStatsTable[[#This Row],[GroupByKey]]),(DiscreteStatsTable[GroupByKey]=DiscreteStatsTable[[#This Row],[GroupByKey]])*DiscreteStatsTable[Replication]))</f>
        <v>30</v>
      </c>
      <c r="Y303">
        <f>IF(DiscreteStatsTable[[#This Row],[RepsRequested]]=DiscreteStatsTable[[#This Row],[RepsWithStatObserved]],1,0)</f>
        <v>1</v>
      </c>
    </row>
    <row r="304" spans="1:25" x14ac:dyDescent="0.2">
      <c r="A304" t="s">
        <v>67</v>
      </c>
      <c r="B304" t="s">
        <v>70</v>
      </c>
      <c r="C304">
        <v>3</v>
      </c>
      <c r="D304" t="s">
        <v>83</v>
      </c>
      <c r="E304" t="s">
        <v>84</v>
      </c>
      <c r="F304" t="s">
        <v>85</v>
      </c>
      <c r="G304">
        <v>0</v>
      </c>
      <c r="H304">
        <v>2E+20</v>
      </c>
      <c r="I304">
        <v>0</v>
      </c>
      <c r="J304">
        <v>0</v>
      </c>
      <c r="K304">
        <v>296</v>
      </c>
      <c r="L304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04" cm="1">
        <f t="array" ref="M304">MAX(IF((ProjectInfoTable[ProjectName]=DiscreteStatsTable[[#This Row],[ProjectName]]),(ProjectInfoTable[ProjectName]=DiscreteStatsTable[[#This Row],[ProjectName]])*ProjectInfoTable[NumberOfReplications]))</f>
        <v>30</v>
      </c>
      <c r="N304" cm="1">
        <f t="array" ref="N304">IFERROR(AVERAGE(IF((DiscreteStatsTable[GroupByKey]=DiscreteStatsTable[[#This Row],[GroupByKey]]),(DiscreteStatsTable[GroupByKey]=DiscreteStatsTable[[#This Row],[GroupByKey]])*DiscreteStatsTable[Average])),0)</f>
        <v>0</v>
      </c>
      <c r="O304" cm="1">
        <f t="array" ref="O304">IFERROR(_xlfn.STDEV.S(IF((DiscreteStatsTable[GroupByKey]=DiscreteStatsTable[[#This Row],[GroupByKey]]),(DiscreteStatsTable[GroupByKey]=DiscreteStatsTable[[#This Row],[GroupByKey]])*DiscreteStatsTable[Average])),0)</f>
        <v>0</v>
      </c>
      <c r="P304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4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cm="1">
        <f t="array" ref="S304">MAX(IF((DiscreteStatsTable[GroupByKey]=DiscreteStatsTable[[#This Row],[GroupByKey]]),(DiscreteStatsTable[GroupByKey]=DiscreteStatsTable[[#This Row],[GroupByKey]])*DiscreteStatsTable[Average]))</f>
        <v>0</v>
      </c>
      <c r="T304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cm="1">
        <f t="array" ref="U304">MAX(IF((DiscreteStatsTable[GroupByKey]=DiscreteStatsTable[[#This Row],[GroupByKey]]),(DiscreteStatsTable[GroupByKey]=DiscreteStatsTable[[#This Row],[GroupByKey]])*DiscreteStatsTable[Maximum]))</f>
        <v>0</v>
      </c>
      <c r="V304" cm="1">
        <f t="array" ref="V304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04">
        <f>IF((DiscreteStatsTable[[#This Row],[RepsRequested]]&gt;1),DiscreteStatsTable[[#This Row],[HalfWidth]],DiscreteStatsTable[[#This Row],[BatchMeansHalfWidth]])</f>
        <v>0</v>
      </c>
      <c r="X304" cm="1">
        <f t="array" ref="X304">COUNT(IF((DiscreteStatsTable[GroupByKey]=DiscreteStatsTable[[#This Row],[GroupByKey]]),(DiscreteStatsTable[GroupByKey]=DiscreteStatsTable[[#This Row],[GroupByKey]])*DiscreteStatsTable[Replication]))</f>
        <v>30</v>
      </c>
      <c r="Y304">
        <f>IF(DiscreteStatsTable[[#This Row],[RepsRequested]]=DiscreteStatsTable[[#This Row],[RepsWithStatObserved]],1,0)</f>
        <v>1</v>
      </c>
    </row>
    <row r="305" spans="1:25" x14ac:dyDescent="0.2">
      <c r="A305" t="s">
        <v>67</v>
      </c>
      <c r="B305" t="s">
        <v>70</v>
      </c>
      <c r="C305">
        <v>4</v>
      </c>
      <c r="D305" t="s">
        <v>83</v>
      </c>
      <c r="E305" t="s">
        <v>84</v>
      </c>
      <c r="F305" t="s">
        <v>85</v>
      </c>
      <c r="G305">
        <v>0</v>
      </c>
      <c r="H305">
        <v>0</v>
      </c>
      <c r="I305">
        <v>0</v>
      </c>
      <c r="J305">
        <v>0</v>
      </c>
      <c r="K305">
        <v>339</v>
      </c>
      <c r="L305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05" cm="1">
        <f t="array" ref="M305">MAX(IF((ProjectInfoTable[ProjectName]=DiscreteStatsTable[[#This Row],[ProjectName]]),(ProjectInfoTable[ProjectName]=DiscreteStatsTable[[#This Row],[ProjectName]])*ProjectInfoTable[NumberOfReplications]))</f>
        <v>30</v>
      </c>
      <c r="N305" cm="1">
        <f t="array" ref="N305">IFERROR(AVERAGE(IF((DiscreteStatsTable[GroupByKey]=DiscreteStatsTable[[#This Row],[GroupByKey]]),(DiscreteStatsTable[GroupByKey]=DiscreteStatsTable[[#This Row],[GroupByKey]])*DiscreteStatsTable[Average])),0)</f>
        <v>0</v>
      </c>
      <c r="O305" cm="1">
        <f t="array" ref="O305">IFERROR(_xlfn.STDEV.S(IF((DiscreteStatsTable[GroupByKey]=DiscreteStatsTable[[#This Row],[GroupByKey]]),(DiscreteStatsTable[GroupByKey]=DiscreteStatsTable[[#This Row],[GroupByKey]])*DiscreteStatsTable[Average])),0)</f>
        <v>0</v>
      </c>
      <c r="P30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cm="1">
        <f t="array" ref="S305">MAX(IF((DiscreteStatsTable[GroupByKey]=DiscreteStatsTable[[#This Row],[GroupByKey]]),(DiscreteStatsTable[GroupByKey]=DiscreteStatsTable[[#This Row],[GroupByKey]])*DiscreteStatsTable[Average]))</f>
        <v>0</v>
      </c>
      <c r="T30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cm="1">
        <f t="array" ref="U305">MAX(IF((DiscreteStatsTable[GroupByKey]=DiscreteStatsTable[[#This Row],[GroupByKey]]),(DiscreteStatsTable[GroupByKey]=DiscreteStatsTable[[#This Row],[GroupByKey]])*DiscreteStatsTable[Maximum]))</f>
        <v>0</v>
      </c>
      <c r="V305" cm="1">
        <f t="array" ref="V305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05">
        <f>IF((DiscreteStatsTable[[#This Row],[RepsRequested]]&gt;1),DiscreteStatsTable[[#This Row],[HalfWidth]],DiscreteStatsTable[[#This Row],[BatchMeansHalfWidth]])</f>
        <v>0</v>
      </c>
      <c r="X305" cm="1">
        <f t="array" ref="X305">COUNT(IF((DiscreteStatsTable[GroupByKey]=DiscreteStatsTable[[#This Row],[GroupByKey]]),(DiscreteStatsTable[GroupByKey]=DiscreteStatsTable[[#This Row],[GroupByKey]])*DiscreteStatsTable[Replication]))</f>
        <v>30</v>
      </c>
      <c r="Y305">
        <f>IF(DiscreteStatsTable[[#This Row],[RepsRequested]]=DiscreteStatsTable[[#This Row],[RepsWithStatObserved]],1,0)</f>
        <v>1</v>
      </c>
    </row>
    <row r="306" spans="1:25" x14ac:dyDescent="0.2">
      <c r="A306" t="s">
        <v>67</v>
      </c>
      <c r="B306" t="s">
        <v>70</v>
      </c>
      <c r="C306">
        <v>5</v>
      </c>
      <c r="D306" t="s">
        <v>83</v>
      </c>
      <c r="E306" t="s">
        <v>84</v>
      </c>
      <c r="F306" t="s">
        <v>85</v>
      </c>
      <c r="G306">
        <v>0</v>
      </c>
      <c r="H306">
        <v>2E+20</v>
      </c>
      <c r="I306">
        <v>0</v>
      </c>
      <c r="J306">
        <v>0</v>
      </c>
      <c r="K306">
        <v>312</v>
      </c>
      <c r="L306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06" cm="1">
        <f t="array" ref="M306">MAX(IF((ProjectInfoTable[ProjectName]=DiscreteStatsTable[[#This Row],[ProjectName]]),(ProjectInfoTable[ProjectName]=DiscreteStatsTable[[#This Row],[ProjectName]])*ProjectInfoTable[NumberOfReplications]))</f>
        <v>30</v>
      </c>
      <c r="N306" cm="1">
        <f t="array" ref="N306">IFERROR(AVERAGE(IF((DiscreteStatsTable[GroupByKey]=DiscreteStatsTable[[#This Row],[GroupByKey]]),(DiscreteStatsTable[GroupByKey]=DiscreteStatsTable[[#This Row],[GroupByKey]])*DiscreteStatsTable[Average])),0)</f>
        <v>0</v>
      </c>
      <c r="O306" cm="1">
        <f t="array" ref="O306">IFERROR(_xlfn.STDEV.S(IF((DiscreteStatsTable[GroupByKey]=DiscreteStatsTable[[#This Row],[GroupByKey]]),(DiscreteStatsTable[GroupByKey]=DiscreteStatsTable[[#This Row],[GroupByKey]])*DiscreteStatsTable[Average])),0)</f>
        <v>0</v>
      </c>
      <c r="P306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6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cm="1">
        <f t="array" ref="S306">MAX(IF((DiscreteStatsTable[GroupByKey]=DiscreteStatsTable[[#This Row],[GroupByKey]]),(DiscreteStatsTable[GroupByKey]=DiscreteStatsTable[[#This Row],[GroupByKey]])*DiscreteStatsTable[Average]))</f>
        <v>0</v>
      </c>
      <c r="T306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cm="1">
        <f t="array" ref="U306">MAX(IF((DiscreteStatsTable[GroupByKey]=DiscreteStatsTable[[#This Row],[GroupByKey]]),(DiscreteStatsTable[GroupByKey]=DiscreteStatsTable[[#This Row],[GroupByKey]])*DiscreteStatsTable[Maximum]))</f>
        <v>0</v>
      </c>
      <c r="V306" cm="1">
        <f t="array" ref="V306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06">
        <f>IF((DiscreteStatsTable[[#This Row],[RepsRequested]]&gt;1),DiscreteStatsTable[[#This Row],[HalfWidth]],DiscreteStatsTable[[#This Row],[BatchMeansHalfWidth]])</f>
        <v>0</v>
      </c>
      <c r="X306" cm="1">
        <f t="array" ref="X306">COUNT(IF((DiscreteStatsTable[GroupByKey]=DiscreteStatsTable[[#This Row],[GroupByKey]]),(DiscreteStatsTable[GroupByKey]=DiscreteStatsTable[[#This Row],[GroupByKey]])*DiscreteStatsTable[Replication]))</f>
        <v>30</v>
      </c>
      <c r="Y306">
        <f>IF(DiscreteStatsTable[[#This Row],[RepsRequested]]=DiscreteStatsTable[[#This Row],[RepsWithStatObserved]],1,0)</f>
        <v>1</v>
      </c>
    </row>
    <row r="307" spans="1:25" x14ac:dyDescent="0.2">
      <c r="A307" t="s">
        <v>67</v>
      </c>
      <c r="B307" t="s">
        <v>70</v>
      </c>
      <c r="C307">
        <v>6</v>
      </c>
      <c r="D307" t="s">
        <v>83</v>
      </c>
      <c r="E307" t="s">
        <v>84</v>
      </c>
      <c r="F307" t="s">
        <v>85</v>
      </c>
      <c r="G307">
        <v>0</v>
      </c>
      <c r="H307">
        <v>0</v>
      </c>
      <c r="I307">
        <v>0</v>
      </c>
      <c r="J307">
        <v>0</v>
      </c>
      <c r="K307">
        <v>330</v>
      </c>
      <c r="L307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07" cm="1">
        <f t="array" ref="M307">MAX(IF((ProjectInfoTable[ProjectName]=DiscreteStatsTable[[#This Row],[ProjectName]]),(ProjectInfoTable[ProjectName]=DiscreteStatsTable[[#This Row],[ProjectName]])*ProjectInfoTable[NumberOfReplications]))</f>
        <v>30</v>
      </c>
      <c r="N307" cm="1">
        <f t="array" ref="N307">IFERROR(AVERAGE(IF((DiscreteStatsTable[GroupByKey]=DiscreteStatsTable[[#This Row],[GroupByKey]]),(DiscreteStatsTable[GroupByKey]=DiscreteStatsTable[[#This Row],[GroupByKey]])*DiscreteStatsTable[Average])),0)</f>
        <v>0</v>
      </c>
      <c r="O307" cm="1">
        <f t="array" ref="O307">IFERROR(_xlfn.STDEV.S(IF((DiscreteStatsTable[GroupByKey]=DiscreteStatsTable[[#This Row],[GroupByKey]]),(DiscreteStatsTable[GroupByKey]=DiscreteStatsTable[[#This Row],[GroupByKey]])*DiscreteStatsTable[Average])),0)</f>
        <v>0</v>
      </c>
      <c r="P307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7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cm="1">
        <f t="array" ref="S307">MAX(IF((DiscreteStatsTable[GroupByKey]=DiscreteStatsTable[[#This Row],[GroupByKey]]),(DiscreteStatsTable[GroupByKey]=DiscreteStatsTable[[#This Row],[GroupByKey]])*DiscreteStatsTable[Average]))</f>
        <v>0</v>
      </c>
      <c r="T307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cm="1">
        <f t="array" ref="U307">MAX(IF((DiscreteStatsTable[GroupByKey]=DiscreteStatsTable[[#This Row],[GroupByKey]]),(DiscreteStatsTable[GroupByKey]=DiscreteStatsTable[[#This Row],[GroupByKey]])*DiscreteStatsTable[Maximum]))</f>
        <v>0</v>
      </c>
      <c r="V307" cm="1">
        <f t="array" ref="V307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07">
        <f>IF((DiscreteStatsTable[[#This Row],[RepsRequested]]&gt;1),DiscreteStatsTable[[#This Row],[HalfWidth]],DiscreteStatsTable[[#This Row],[BatchMeansHalfWidth]])</f>
        <v>0</v>
      </c>
      <c r="X307" cm="1">
        <f t="array" ref="X307">COUNT(IF((DiscreteStatsTable[GroupByKey]=DiscreteStatsTable[[#This Row],[GroupByKey]]),(DiscreteStatsTable[GroupByKey]=DiscreteStatsTable[[#This Row],[GroupByKey]])*DiscreteStatsTable[Replication]))</f>
        <v>30</v>
      </c>
      <c r="Y307">
        <f>IF(DiscreteStatsTable[[#This Row],[RepsRequested]]=DiscreteStatsTable[[#This Row],[RepsWithStatObserved]],1,0)</f>
        <v>1</v>
      </c>
    </row>
    <row r="308" spans="1:25" x14ac:dyDescent="0.2">
      <c r="A308" t="s">
        <v>67</v>
      </c>
      <c r="B308" t="s">
        <v>70</v>
      </c>
      <c r="C308">
        <v>7</v>
      </c>
      <c r="D308" t="s">
        <v>83</v>
      </c>
      <c r="E308" t="s">
        <v>84</v>
      </c>
      <c r="F308" t="s">
        <v>85</v>
      </c>
      <c r="G308">
        <v>0</v>
      </c>
      <c r="H308">
        <v>2E+20</v>
      </c>
      <c r="I308">
        <v>0</v>
      </c>
      <c r="J308">
        <v>0</v>
      </c>
      <c r="K308">
        <v>282</v>
      </c>
      <c r="L308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08" cm="1">
        <f t="array" ref="M308">MAX(IF((ProjectInfoTable[ProjectName]=DiscreteStatsTable[[#This Row],[ProjectName]]),(ProjectInfoTable[ProjectName]=DiscreteStatsTable[[#This Row],[ProjectName]])*ProjectInfoTable[NumberOfReplications]))</f>
        <v>30</v>
      </c>
      <c r="N308" cm="1">
        <f t="array" ref="N308">IFERROR(AVERAGE(IF((DiscreteStatsTable[GroupByKey]=DiscreteStatsTable[[#This Row],[GroupByKey]]),(DiscreteStatsTable[GroupByKey]=DiscreteStatsTable[[#This Row],[GroupByKey]])*DiscreteStatsTable[Average])),0)</f>
        <v>0</v>
      </c>
      <c r="O308" cm="1">
        <f t="array" ref="O308">IFERROR(_xlfn.STDEV.S(IF((DiscreteStatsTable[GroupByKey]=DiscreteStatsTable[[#This Row],[GroupByKey]]),(DiscreteStatsTable[GroupByKey]=DiscreteStatsTable[[#This Row],[GroupByKey]])*DiscreteStatsTable[Average])),0)</f>
        <v>0</v>
      </c>
      <c r="P308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8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cm="1">
        <f t="array" ref="S308">MAX(IF((DiscreteStatsTable[GroupByKey]=DiscreteStatsTable[[#This Row],[GroupByKey]]),(DiscreteStatsTable[GroupByKey]=DiscreteStatsTable[[#This Row],[GroupByKey]])*DiscreteStatsTable[Average]))</f>
        <v>0</v>
      </c>
      <c r="T308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cm="1">
        <f t="array" ref="U308">MAX(IF((DiscreteStatsTable[GroupByKey]=DiscreteStatsTable[[#This Row],[GroupByKey]]),(DiscreteStatsTable[GroupByKey]=DiscreteStatsTable[[#This Row],[GroupByKey]])*DiscreteStatsTable[Maximum]))</f>
        <v>0</v>
      </c>
      <c r="V308" cm="1">
        <f t="array" ref="V308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08">
        <f>IF((DiscreteStatsTable[[#This Row],[RepsRequested]]&gt;1),DiscreteStatsTable[[#This Row],[HalfWidth]],DiscreteStatsTable[[#This Row],[BatchMeansHalfWidth]])</f>
        <v>0</v>
      </c>
      <c r="X308" cm="1">
        <f t="array" ref="X308">COUNT(IF((DiscreteStatsTable[GroupByKey]=DiscreteStatsTable[[#This Row],[GroupByKey]]),(DiscreteStatsTable[GroupByKey]=DiscreteStatsTable[[#This Row],[GroupByKey]])*DiscreteStatsTable[Replication]))</f>
        <v>30</v>
      </c>
      <c r="Y308">
        <f>IF(DiscreteStatsTable[[#This Row],[RepsRequested]]=DiscreteStatsTable[[#This Row],[RepsWithStatObserved]],1,0)</f>
        <v>1</v>
      </c>
    </row>
    <row r="309" spans="1:25" x14ac:dyDescent="0.2">
      <c r="A309" t="s">
        <v>67</v>
      </c>
      <c r="B309" t="s">
        <v>70</v>
      </c>
      <c r="C309">
        <v>8</v>
      </c>
      <c r="D309" t="s">
        <v>83</v>
      </c>
      <c r="E309" t="s">
        <v>84</v>
      </c>
      <c r="F309" t="s">
        <v>85</v>
      </c>
      <c r="G309">
        <v>0</v>
      </c>
      <c r="H309">
        <v>2E+20</v>
      </c>
      <c r="I309">
        <v>0</v>
      </c>
      <c r="J309">
        <v>0</v>
      </c>
      <c r="K309">
        <v>290</v>
      </c>
      <c r="L309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09" cm="1">
        <f t="array" ref="M309">MAX(IF((ProjectInfoTable[ProjectName]=DiscreteStatsTable[[#This Row],[ProjectName]]),(ProjectInfoTable[ProjectName]=DiscreteStatsTable[[#This Row],[ProjectName]])*ProjectInfoTable[NumberOfReplications]))</f>
        <v>30</v>
      </c>
      <c r="N309" cm="1">
        <f t="array" ref="N309">IFERROR(AVERAGE(IF((DiscreteStatsTable[GroupByKey]=DiscreteStatsTable[[#This Row],[GroupByKey]]),(DiscreteStatsTable[GroupByKey]=DiscreteStatsTable[[#This Row],[GroupByKey]])*DiscreteStatsTable[Average])),0)</f>
        <v>0</v>
      </c>
      <c r="O309" cm="1">
        <f t="array" ref="O309">IFERROR(_xlfn.STDEV.S(IF((DiscreteStatsTable[GroupByKey]=DiscreteStatsTable[[#This Row],[GroupByKey]]),(DiscreteStatsTable[GroupByKey]=DiscreteStatsTable[[#This Row],[GroupByKey]])*DiscreteStatsTable[Average])),0)</f>
        <v>0</v>
      </c>
      <c r="P309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09" cm="1">
        <f t="array" ref="R309">MIN(IF((DiscreteStatsTable[GroupByKey]=DiscreteStatsTable[[#This Row],[GroupByKey]]),(DiscreteStatsTable[GroupByKey]=DiscreteStatsTable[[#This Row],[GroupByKey]])*DiscreteStatsTable[Average]))</f>
        <v>0</v>
      </c>
      <c r="S309" cm="1">
        <f t="array" ref="S309">MAX(IF((DiscreteStatsTable[GroupByKey]=DiscreteStatsTable[[#This Row],[GroupByKey]]),(DiscreteStatsTable[GroupByKey]=DiscreteStatsTable[[#This Row],[GroupByKey]])*DiscreteStatsTable[Average]))</f>
        <v>0</v>
      </c>
      <c r="T309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cm="1">
        <f t="array" ref="U309">MAX(IF((DiscreteStatsTable[GroupByKey]=DiscreteStatsTable[[#This Row],[GroupByKey]]),(DiscreteStatsTable[GroupByKey]=DiscreteStatsTable[[#This Row],[GroupByKey]])*DiscreteStatsTable[Maximum]))</f>
        <v>0</v>
      </c>
      <c r="V309" cm="1">
        <f t="array" ref="V309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09">
        <f>IF((DiscreteStatsTable[[#This Row],[RepsRequested]]&gt;1),DiscreteStatsTable[[#This Row],[HalfWidth]],DiscreteStatsTable[[#This Row],[BatchMeansHalfWidth]])</f>
        <v>0</v>
      </c>
      <c r="X309" cm="1">
        <f t="array" ref="X309">COUNT(IF((DiscreteStatsTable[GroupByKey]=DiscreteStatsTable[[#This Row],[GroupByKey]]),(DiscreteStatsTable[GroupByKey]=DiscreteStatsTable[[#This Row],[GroupByKey]])*DiscreteStatsTable[Replication]))</f>
        <v>30</v>
      </c>
      <c r="Y309">
        <f>IF(DiscreteStatsTable[[#This Row],[RepsRequested]]=DiscreteStatsTable[[#This Row],[RepsWithStatObserved]],1,0)</f>
        <v>1</v>
      </c>
    </row>
    <row r="310" spans="1:25" x14ac:dyDescent="0.2">
      <c r="A310" t="s">
        <v>67</v>
      </c>
      <c r="B310" t="s">
        <v>70</v>
      </c>
      <c r="C310">
        <v>9</v>
      </c>
      <c r="D310" t="s">
        <v>83</v>
      </c>
      <c r="E310" t="s">
        <v>84</v>
      </c>
      <c r="F310" t="s">
        <v>85</v>
      </c>
      <c r="G310">
        <v>0</v>
      </c>
      <c r="H310">
        <v>2E+20</v>
      </c>
      <c r="I310">
        <v>0</v>
      </c>
      <c r="J310">
        <v>0</v>
      </c>
      <c r="K310">
        <v>297</v>
      </c>
      <c r="L310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10" cm="1">
        <f t="array" ref="M310">MAX(IF((ProjectInfoTable[ProjectName]=DiscreteStatsTable[[#This Row],[ProjectName]]),(ProjectInfoTable[ProjectName]=DiscreteStatsTable[[#This Row],[ProjectName]])*ProjectInfoTable[NumberOfReplications]))</f>
        <v>30</v>
      </c>
      <c r="N310" cm="1">
        <f t="array" ref="N310">IFERROR(AVERAGE(IF((DiscreteStatsTable[GroupByKey]=DiscreteStatsTable[[#This Row],[GroupByKey]]),(DiscreteStatsTable[GroupByKey]=DiscreteStatsTable[[#This Row],[GroupByKey]])*DiscreteStatsTable[Average])),0)</f>
        <v>0</v>
      </c>
      <c r="O310" cm="1">
        <f t="array" ref="O310">IFERROR(_xlfn.STDEV.S(IF((DiscreteStatsTable[GroupByKey]=DiscreteStatsTable[[#This Row],[GroupByKey]]),(DiscreteStatsTable[GroupByKey]=DiscreteStatsTable[[#This Row],[GroupByKey]])*DiscreteStatsTable[Average])),0)</f>
        <v>0</v>
      </c>
      <c r="P310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0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cm="1">
        <f t="array" ref="S310">MAX(IF((DiscreteStatsTable[GroupByKey]=DiscreteStatsTable[[#This Row],[GroupByKey]]),(DiscreteStatsTable[GroupByKey]=DiscreteStatsTable[[#This Row],[GroupByKey]])*DiscreteStatsTable[Average]))</f>
        <v>0</v>
      </c>
      <c r="T310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cm="1">
        <f t="array" ref="U310">MAX(IF((DiscreteStatsTable[GroupByKey]=DiscreteStatsTable[[#This Row],[GroupByKey]]),(DiscreteStatsTable[GroupByKey]=DiscreteStatsTable[[#This Row],[GroupByKey]])*DiscreteStatsTable[Maximum]))</f>
        <v>0</v>
      </c>
      <c r="V310" cm="1">
        <f t="array" ref="V310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10">
        <f>IF((DiscreteStatsTable[[#This Row],[RepsRequested]]&gt;1),DiscreteStatsTable[[#This Row],[HalfWidth]],DiscreteStatsTable[[#This Row],[BatchMeansHalfWidth]])</f>
        <v>0</v>
      </c>
      <c r="X310" cm="1">
        <f t="array" ref="X310">COUNT(IF((DiscreteStatsTable[GroupByKey]=DiscreteStatsTable[[#This Row],[GroupByKey]]),(DiscreteStatsTable[GroupByKey]=DiscreteStatsTable[[#This Row],[GroupByKey]])*DiscreteStatsTable[Replication]))</f>
        <v>30</v>
      </c>
      <c r="Y310">
        <f>IF(DiscreteStatsTable[[#This Row],[RepsRequested]]=DiscreteStatsTable[[#This Row],[RepsWithStatObserved]],1,0)</f>
        <v>1</v>
      </c>
    </row>
    <row r="311" spans="1:25" x14ac:dyDescent="0.2">
      <c r="A311" t="s">
        <v>67</v>
      </c>
      <c r="B311" t="s">
        <v>70</v>
      </c>
      <c r="C311">
        <v>10</v>
      </c>
      <c r="D311" t="s">
        <v>83</v>
      </c>
      <c r="E311" t="s">
        <v>84</v>
      </c>
      <c r="F311" t="s">
        <v>85</v>
      </c>
      <c r="G311">
        <v>0</v>
      </c>
      <c r="H311">
        <v>2E+20</v>
      </c>
      <c r="I311">
        <v>0</v>
      </c>
      <c r="J311">
        <v>0</v>
      </c>
      <c r="K311">
        <v>277</v>
      </c>
      <c r="L311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11" cm="1">
        <f t="array" ref="M311">MAX(IF((ProjectInfoTable[ProjectName]=DiscreteStatsTable[[#This Row],[ProjectName]]),(ProjectInfoTable[ProjectName]=DiscreteStatsTable[[#This Row],[ProjectName]])*ProjectInfoTable[NumberOfReplications]))</f>
        <v>30</v>
      </c>
      <c r="N311" cm="1">
        <f t="array" ref="N311">IFERROR(AVERAGE(IF((DiscreteStatsTable[GroupByKey]=DiscreteStatsTable[[#This Row],[GroupByKey]]),(DiscreteStatsTable[GroupByKey]=DiscreteStatsTable[[#This Row],[GroupByKey]])*DiscreteStatsTable[Average])),0)</f>
        <v>0</v>
      </c>
      <c r="O311" cm="1">
        <f t="array" ref="O311">IFERROR(_xlfn.STDEV.S(IF((DiscreteStatsTable[GroupByKey]=DiscreteStatsTable[[#This Row],[GroupByKey]]),(DiscreteStatsTable[GroupByKey]=DiscreteStatsTable[[#This Row],[GroupByKey]])*DiscreteStatsTable[Average])),0)</f>
        <v>0</v>
      </c>
      <c r="P311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1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cm="1">
        <f t="array" ref="S311">MAX(IF((DiscreteStatsTable[GroupByKey]=DiscreteStatsTable[[#This Row],[GroupByKey]]),(DiscreteStatsTable[GroupByKey]=DiscreteStatsTable[[#This Row],[GroupByKey]])*DiscreteStatsTable[Average]))</f>
        <v>0</v>
      </c>
      <c r="T311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cm="1">
        <f t="array" ref="U311">MAX(IF((DiscreteStatsTable[GroupByKey]=DiscreteStatsTable[[#This Row],[GroupByKey]]),(DiscreteStatsTable[GroupByKey]=DiscreteStatsTable[[#This Row],[GroupByKey]])*DiscreteStatsTable[Maximum]))</f>
        <v>0</v>
      </c>
      <c r="V311" cm="1">
        <f t="array" ref="V311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11">
        <f>IF((DiscreteStatsTable[[#This Row],[RepsRequested]]&gt;1),DiscreteStatsTable[[#This Row],[HalfWidth]],DiscreteStatsTable[[#This Row],[BatchMeansHalfWidth]])</f>
        <v>0</v>
      </c>
      <c r="X311" cm="1">
        <f t="array" ref="X311">COUNT(IF((DiscreteStatsTable[GroupByKey]=DiscreteStatsTable[[#This Row],[GroupByKey]]),(DiscreteStatsTable[GroupByKey]=DiscreteStatsTable[[#This Row],[GroupByKey]])*DiscreteStatsTable[Replication]))</f>
        <v>30</v>
      </c>
      <c r="Y311">
        <f>IF(DiscreteStatsTable[[#This Row],[RepsRequested]]=DiscreteStatsTable[[#This Row],[RepsWithStatObserved]],1,0)</f>
        <v>1</v>
      </c>
    </row>
    <row r="312" spans="1:25" x14ac:dyDescent="0.2">
      <c r="A312" t="s">
        <v>67</v>
      </c>
      <c r="B312" t="s">
        <v>70</v>
      </c>
      <c r="C312">
        <v>11</v>
      </c>
      <c r="D312" t="s">
        <v>83</v>
      </c>
      <c r="E312" t="s">
        <v>84</v>
      </c>
      <c r="F312" t="s">
        <v>85</v>
      </c>
      <c r="G312">
        <v>0</v>
      </c>
      <c r="H312">
        <v>2E+20</v>
      </c>
      <c r="I312">
        <v>0</v>
      </c>
      <c r="J312">
        <v>0</v>
      </c>
      <c r="K312">
        <v>294</v>
      </c>
      <c r="L312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12" cm="1">
        <f t="array" ref="M312">MAX(IF((ProjectInfoTable[ProjectName]=DiscreteStatsTable[[#This Row],[ProjectName]]),(ProjectInfoTable[ProjectName]=DiscreteStatsTable[[#This Row],[ProjectName]])*ProjectInfoTable[NumberOfReplications]))</f>
        <v>30</v>
      </c>
      <c r="N312" cm="1">
        <f t="array" ref="N312">IFERROR(AVERAGE(IF((DiscreteStatsTable[GroupByKey]=DiscreteStatsTable[[#This Row],[GroupByKey]]),(DiscreteStatsTable[GroupByKey]=DiscreteStatsTable[[#This Row],[GroupByKey]])*DiscreteStatsTable[Average])),0)</f>
        <v>0</v>
      </c>
      <c r="O312" cm="1">
        <f t="array" ref="O312">IFERROR(_xlfn.STDEV.S(IF((DiscreteStatsTable[GroupByKey]=DiscreteStatsTable[[#This Row],[GroupByKey]]),(DiscreteStatsTable[GroupByKey]=DiscreteStatsTable[[#This Row],[GroupByKey]])*DiscreteStatsTable[Average])),0)</f>
        <v>0</v>
      </c>
      <c r="P312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2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cm="1">
        <f t="array" ref="S312">MAX(IF((DiscreteStatsTable[GroupByKey]=DiscreteStatsTable[[#This Row],[GroupByKey]]),(DiscreteStatsTable[GroupByKey]=DiscreteStatsTable[[#This Row],[GroupByKey]])*DiscreteStatsTable[Average]))</f>
        <v>0</v>
      </c>
      <c r="T312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cm="1">
        <f t="array" ref="U312">MAX(IF((DiscreteStatsTable[GroupByKey]=DiscreteStatsTable[[#This Row],[GroupByKey]]),(DiscreteStatsTable[GroupByKey]=DiscreteStatsTable[[#This Row],[GroupByKey]])*DiscreteStatsTable[Maximum]))</f>
        <v>0</v>
      </c>
      <c r="V312" cm="1">
        <f t="array" ref="V312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12">
        <f>IF((DiscreteStatsTable[[#This Row],[RepsRequested]]&gt;1),DiscreteStatsTable[[#This Row],[HalfWidth]],DiscreteStatsTable[[#This Row],[BatchMeansHalfWidth]])</f>
        <v>0</v>
      </c>
      <c r="X312" cm="1">
        <f t="array" ref="X312">COUNT(IF((DiscreteStatsTable[GroupByKey]=DiscreteStatsTable[[#This Row],[GroupByKey]]),(DiscreteStatsTable[GroupByKey]=DiscreteStatsTable[[#This Row],[GroupByKey]])*DiscreteStatsTable[Replication]))</f>
        <v>30</v>
      </c>
      <c r="Y312">
        <f>IF(DiscreteStatsTable[[#This Row],[RepsRequested]]=DiscreteStatsTable[[#This Row],[RepsWithStatObserved]],1,0)</f>
        <v>1</v>
      </c>
    </row>
    <row r="313" spans="1:25" x14ac:dyDescent="0.2">
      <c r="A313" t="s">
        <v>67</v>
      </c>
      <c r="B313" t="s">
        <v>70</v>
      </c>
      <c r="C313">
        <v>12</v>
      </c>
      <c r="D313" t="s">
        <v>83</v>
      </c>
      <c r="E313" t="s">
        <v>84</v>
      </c>
      <c r="F313" t="s">
        <v>85</v>
      </c>
      <c r="G313">
        <v>0</v>
      </c>
      <c r="H313">
        <v>2E+20</v>
      </c>
      <c r="I313">
        <v>0</v>
      </c>
      <c r="J313">
        <v>0</v>
      </c>
      <c r="K313">
        <v>280</v>
      </c>
      <c r="L313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13" cm="1">
        <f t="array" ref="M313">MAX(IF((ProjectInfoTable[ProjectName]=DiscreteStatsTable[[#This Row],[ProjectName]]),(ProjectInfoTable[ProjectName]=DiscreteStatsTable[[#This Row],[ProjectName]])*ProjectInfoTable[NumberOfReplications]))</f>
        <v>30</v>
      </c>
      <c r="N313" cm="1">
        <f t="array" ref="N313">IFERROR(AVERAGE(IF((DiscreteStatsTable[GroupByKey]=DiscreteStatsTable[[#This Row],[GroupByKey]]),(DiscreteStatsTable[GroupByKey]=DiscreteStatsTable[[#This Row],[GroupByKey]])*DiscreteStatsTable[Average])),0)</f>
        <v>0</v>
      </c>
      <c r="O313" cm="1">
        <f t="array" ref="O313">IFERROR(_xlfn.STDEV.S(IF((DiscreteStatsTable[GroupByKey]=DiscreteStatsTable[[#This Row],[GroupByKey]]),(DiscreteStatsTable[GroupByKey]=DiscreteStatsTable[[#This Row],[GroupByKey]])*DiscreteStatsTable[Average])),0)</f>
        <v>0</v>
      </c>
      <c r="P313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3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cm="1">
        <f t="array" ref="S313">MAX(IF((DiscreteStatsTable[GroupByKey]=DiscreteStatsTable[[#This Row],[GroupByKey]]),(DiscreteStatsTable[GroupByKey]=DiscreteStatsTable[[#This Row],[GroupByKey]])*DiscreteStatsTable[Average]))</f>
        <v>0</v>
      </c>
      <c r="T313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cm="1">
        <f t="array" ref="U313">MAX(IF((DiscreteStatsTable[GroupByKey]=DiscreteStatsTable[[#This Row],[GroupByKey]]),(DiscreteStatsTable[GroupByKey]=DiscreteStatsTable[[#This Row],[GroupByKey]])*DiscreteStatsTable[Maximum]))</f>
        <v>0</v>
      </c>
      <c r="V313" cm="1">
        <f t="array" ref="V313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13">
        <f>IF((DiscreteStatsTable[[#This Row],[RepsRequested]]&gt;1),DiscreteStatsTable[[#This Row],[HalfWidth]],DiscreteStatsTable[[#This Row],[BatchMeansHalfWidth]])</f>
        <v>0</v>
      </c>
      <c r="X313" cm="1">
        <f t="array" ref="X313">COUNT(IF((DiscreteStatsTable[GroupByKey]=DiscreteStatsTable[[#This Row],[GroupByKey]]),(DiscreteStatsTable[GroupByKey]=DiscreteStatsTable[[#This Row],[GroupByKey]])*DiscreteStatsTable[Replication]))</f>
        <v>30</v>
      </c>
      <c r="Y313">
        <f>IF(DiscreteStatsTable[[#This Row],[RepsRequested]]=DiscreteStatsTable[[#This Row],[RepsWithStatObserved]],1,0)</f>
        <v>1</v>
      </c>
    </row>
    <row r="314" spans="1:25" x14ac:dyDescent="0.2">
      <c r="A314" t="s">
        <v>67</v>
      </c>
      <c r="B314" t="s">
        <v>70</v>
      </c>
      <c r="C314">
        <v>13</v>
      </c>
      <c r="D314" t="s">
        <v>83</v>
      </c>
      <c r="E314" t="s">
        <v>84</v>
      </c>
      <c r="F314" t="s">
        <v>85</v>
      </c>
      <c r="G314">
        <v>0</v>
      </c>
      <c r="H314">
        <v>2E+20</v>
      </c>
      <c r="I314">
        <v>0</v>
      </c>
      <c r="J314">
        <v>0</v>
      </c>
      <c r="K314">
        <v>306</v>
      </c>
      <c r="L314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14" cm="1">
        <f t="array" ref="M314">MAX(IF((ProjectInfoTable[ProjectName]=DiscreteStatsTable[[#This Row],[ProjectName]]),(ProjectInfoTable[ProjectName]=DiscreteStatsTable[[#This Row],[ProjectName]])*ProjectInfoTable[NumberOfReplications]))</f>
        <v>30</v>
      </c>
      <c r="N314" cm="1">
        <f t="array" ref="N314">IFERROR(AVERAGE(IF((DiscreteStatsTable[GroupByKey]=DiscreteStatsTable[[#This Row],[GroupByKey]]),(DiscreteStatsTable[GroupByKey]=DiscreteStatsTable[[#This Row],[GroupByKey]])*DiscreteStatsTable[Average])),0)</f>
        <v>0</v>
      </c>
      <c r="O314" cm="1">
        <f t="array" ref="O314">IFERROR(_xlfn.STDEV.S(IF((DiscreteStatsTable[GroupByKey]=DiscreteStatsTable[[#This Row],[GroupByKey]]),(DiscreteStatsTable[GroupByKey]=DiscreteStatsTable[[#This Row],[GroupByKey]])*DiscreteStatsTable[Average])),0)</f>
        <v>0</v>
      </c>
      <c r="P314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4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cm="1">
        <f t="array" ref="S314">MAX(IF((DiscreteStatsTable[GroupByKey]=DiscreteStatsTable[[#This Row],[GroupByKey]]),(DiscreteStatsTable[GroupByKey]=DiscreteStatsTable[[#This Row],[GroupByKey]])*DiscreteStatsTable[Average]))</f>
        <v>0</v>
      </c>
      <c r="T314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cm="1">
        <f t="array" ref="U314">MAX(IF((DiscreteStatsTable[GroupByKey]=DiscreteStatsTable[[#This Row],[GroupByKey]]),(DiscreteStatsTable[GroupByKey]=DiscreteStatsTable[[#This Row],[GroupByKey]])*DiscreteStatsTable[Maximum]))</f>
        <v>0</v>
      </c>
      <c r="V314" cm="1">
        <f t="array" ref="V314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14">
        <f>IF((DiscreteStatsTable[[#This Row],[RepsRequested]]&gt;1),DiscreteStatsTable[[#This Row],[HalfWidth]],DiscreteStatsTable[[#This Row],[BatchMeansHalfWidth]])</f>
        <v>0</v>
      </c>
      <c r="X314" cm="1">
        <f t="array" ref="X314">COUNT(IF((DiscreteStatsTable[GroupByKey]=DiscreteStatsTable[[#This Row],[GroupByKey]]),(DiscreteStatsTable[GroupByKey]=DiscreteStatsTable[[#This Row],[GroupByKey]])*DiscreteStatsTable[Replication]))</f>
        <v>30</v>
      </c>
      <c r="Y314">
        <f>IF(DiscreteStatsTable[[#This Row],[RepsRequested]]=DiscreteStatsTable[[#This Row],[RepsWithStatObserved]],1,0)</f>
        <v>1</v>
      </c>
    </row>
    <row r="315" spans="1:25" x14ac:dyDescent="0.2">
      <c r="A315" t="s">
        <v>67</v>
      </c>
      <c r="B315" t="s">
        <v>70</v>
      </c>
      <c r="C315">
        <v>14</v>
      </c>
      <c r="D315" t="s">
        <v>83</v>
      </c>
      <c r="E315" t="s">
        <v>84</v>
      </c>
      <c r="F315" t="s">
        <v>85</v>
      </c>
      <c r="G315">
        <v>0</v>
      </c>
      <c r="H315">
        <v>2E+20</v>
      </c>
      <c r="I315">
        <v>0</v>
      </c>
      <c r="J315">
        <v>0</v>
      </c>
      <c r="K315">
        <v>295</v>
      </c>
      <c r="L315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15" cm="1">
        <f t="array" ref="M315">MAX(IF((ProjectInfoTable[ProjectName]=DiscreteStatsTable[[#This Row],[ProjectName]]),(ProjectInfoTable[ProjectName]=DiscreteStatsTable[[#This Row],[ProjectName]])*ProjectInfoTable[NumberOfReplications]))</f>
        <v>30</v>
      </c>
      <c r="N315" cm="1">
        <f t="array" ref="N315">IFERROR(AVERAGE(IF((DiscreteStatsTable[GroupByKey]=DiscreteStatsTable[[#This Row],[GroupByKey]]),(DiscreteStatsTable[GroupByKey]=DiscreteStatsTable[[#This Row],[GroupByKey]])*DiscreteStatsTable[Average])),0)</f>
        <v>0</v>
      </c>
      <c r="O315" cm="1">
        <f t="array" ref="O315">IFERROR(_xlfn.STDEV.S(IF((DiscreteStatsTable[GroupByKey]=DiscreteStatsTable[[#This Row],[GroupByKey]]),(DiscreteStatsTable[GroupByKey]=DiscreteStatsTable[[#This Row],[GroupByKey]])*DiscreteStatsTable[Average])),0)</f>
        <v>0</v>
      </c>
      <c r="P31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5" cm="1">
        <f t="array" ref="R315">MIN(IF((DiscreteStatsTable[GroupByKey]=DiscreteStatsTable[[#This Row],[GroupByKey]]),(DiscreteStatsTable[GroupByKey]=DiscreteStatsTable[[#This Row],[GroupByKey]])*DiscreteStatsTable[Average]))</f>
        <v>0</v>
      </c>
      <c r="S315" cm="1">
        <f t="array" ref="S315">MAX(IF((DiscreteStatsTable[GroupByKey]=DiscreteStatsTable[[#This Row],[GroupByKey]]),(DiscreteStatsTable[GroupByKey]=DiscreteStatsTable[[#This Row],[GroupByKey]])*DiscreteStatsTable[Average]))</f>
        <v>0</v>
      </c>
      <c r="T31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cm="1">
        <f t="array" ref="U315">MAX(IF((DiscreteStatsTable[GroupByKey]=DiscreteStatsTable[[#This Row],[GroupByKey]]),(DiscreteStatsTable[GroupByKey]=DiscreteStatsTable[[#This Row],[GroupByKey]])*DiscreteStatsTable[Maximum]))</f>
        <v>0</v>
      </c>
      <c r="V315" cm="1">
        <f t="array" ref="V315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15">
        <f>IF((DiscreteStatsTable[[#This Row],[RepsRequested]]&gt;1),DiscreteStatsTable[[#This Row],[HalfWidth]],DiscreteStatsTable[[#This Row],[BatchMeansHalfWidth]])</f>
        <v>0</v>
      </c>
      <c r="X315" cm="1">
        <f t="array" ref="X315">COUNT(IF((DiscreteStatsTable[GroupByKey]=DiscreteStatsTable[[#This Row],[GroupByKey]]),(DiscreteStatsTable[GroupByKey]=DiscreteStatsTable[[#This Row],[GroupByKey]])*DiscreteStatsTable[Replication]))</f>
        <v>30</v>
      </c>
      <c r="Y315">
        <f>IF(DiscreteStatsTable[[#This Row],[RepsRequested]]=DiscreteStatsTable[[#This Row],[RepsWithStatObserved]],1,0)</f>
        <v>1</v>
      </c>
    </row>
    <row r="316" spans="1:25" x14ac:dyDescent="0.2">
      <c r="A316" t="s">
        <v>67</v>
      </c>
      <c r="B316" t="s">
        <v>70</v>
      </c>
      <c r="C316">
        <v>15</v>
      </c>
      <c r="D316" t="s">
        <v>83</v>
      </c>
      <c r="E316" t="s">
        <v>84</v>
      </c>
      <c r="F316" t="s">
        <v>85</v>
      </c>
      <c r="G316">
        <v>0</v>
      </c>
      <c r="H316">
        <v>2E+20</v>
      </c>
      <c r="I316">
        <v>0</v>
      </c>
      <c r="J316">
        <v>0</v>
      </c>
      <c r="K316">
        <v>310</v>
      </c>
      <c r="L316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16" cm="1">
        <f t="array" ref="M316">MAX(IF((ProjectInfoTable[ProjectName]=DiscreteStatsTable[[#This Row],[ProjectName]]),(ProjectInfoTable[ProjectName]=DiscreteStatsTable[[#This Row],[ProjectName]])*ProjectInfoTable[NumberOfReplications]))</f>
        <v>30</v>
      </c>
      <c r="N316" cm="1">
        <f t="array" ref="N316">IFERROR(AVERAGE(IF((DiscreteStatsTable[GroupByKey]=DiscreteStatsTable[[#This Row],[GroupByKey]]),(DiscreteStatsTable[GroupByKey]=DiscreteStatsTable[[#This Row],[GroupByKey]])*DiscreteStatsTable[Average])),0)</f>
        <v>0</v>
      </c>
      <c r="O316" cm="1">
        <f t="array" ref="O316">IFERROR(_xlfn.STDEV.S(IF((DiscreteStatsTable[GroupByKey]=DiscreteStatsTable[[#This Row],[GroupByKey]]),(DiscreteStatsTable[GroupByKey]=DiscreteStatsTable[[#This Row],[GroupByKey]])*DiscreteStatsTable[Average])),0)</f>
        <v>0</v>
      </c>
      <c r="P316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6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cm="1">
        <f t="array" ref="S316">MAX(IF((DiscreteStatsTable[GroupByKey]=DiscreteStatsTable[[#This Row],[GroupByKey]]),(DiscreteStatsTable[GroupByKey]=DiscreteStatsTable[[#This Row],[GroupByKey]])*DiscreteStatsTable[Average]))</f>
        <v>0</v>
      </c>
      <c r="T316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cm="1">
        <f t="array" ref="U316">MAX(IF((DiscreteStatsTable[GroupByKey]=DiscreteStatsTable[[#This Row],[GroupByKey]]),(DiscreteStatsTable[GroupByKey]=DiscreteStatsTable[[#This Row],[GroupByKey]])*DiscreteStatsTable[Maximum]))</f>
        <v>0</v>
      </c>
      <c r="V316" cm="1">
        <f t="array" ref="V316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16">
        <f>IF((DiscreteStatsTable[[#This Row],[RepsRequested]]&gt;1),DiscreteStatsTable[[#This Row],[HalfWidth]],DiscreteStatsTable[[#This Row],[BatchMeansHalfWidth]])</f>
        <v>0</v>
      </c>
      <c r="X316" cm="1">
        <f t="array" ref="X316">COUNT(IF((DiscreteStatsTable[GroupByKey]=DiscreteStatsTable[[#This Row],[GroupByKey]]),(DiscreteStatsTable[GroupByKey]=DiscreteStatsTable[[#This Row],[GroupByKey]])*DiscreteStatsTable[Replication]))</f>
        <v>30</v>
      </c>
      <c r="Y316">
        <f>IF(DiscreteStatsTable[[#This Row],[RepsRequested]]=DiscreteStatsTable[[#This Row],[RepsWithStatObserved]],1,0)</f>
        <v>1</v>
      </c>
    </row>
    <row r="317" spans="1:25" x14ac:dyDescent="0.2">
      <c r="A317" t="s">
        <v>67</v>
      </c>
      <c r="B317" t="s">
        <v>70</v>
      </c>
      <c r="C317">
        <v>16</v>
      </c>
      <c r="D317" t="s">
        <v>83</v>
      </c>
      <c r="E317" t="s">
        <v>84</v>
      </c>
      <c r="F317" t="s">
        <v>85</v>
      </c>
      <c r="G317">
        <v>0</v>
      </c>
      <c r="H317">
        <v>2E+20</v>
      </c>
      <c r="I317">
        <v>0</v>
      </c>
      <c r="J317">
        <v>0</v>
      </c>
      <c r="K317">
        <v>293</v>
      </c>
      <c r="L317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17" cm="1">
        <f t="array" ref="M317">MAX(IF((ProjectInfoTable[ProjectName]=DiscreteStatsTable[[#This Row],[ProjectName]]),(ProjectInfoTable[ProjectName]=DiscreteStatsTable[[#This Row],[ProjectName]])*ProjectInfoTable[NumberOfReplications]))</f>
        <v>30</v>
      </c>
      <c r="N317" cm="1">
        <f t="array" ref="N317">IFERROR(AVERAGE(IF((DiscreteStatsTable[GroupByKey]=DiscreteStatsTable[[#This Row],[GroupByKey]]),(DiscreteStatsTable[GroupByKey]=DiscreteStatsTable[[#This Row],[GroupByKey]])*DiscreteStatsTable[Average])),0)</f>
        <v>0</v>
      </c>
      <c r="O317" cm="1">
        <f t="array" ref="O317">IFERROR(_xlfn.STDEV.S(IF((DiscreteStatsTable[GroupByKey]=DiscreteStatsTable[[#This Row],[GroupByKey]]),(DiscreteStatsTable[GroupByKey]=DiscreteStatsTable[[#This Row],[GroupByKey]])*DiscreteStatsTable[Average])),0)</f>
        <v>0</v>
      </c>
      <c r="P317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7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cm="1">
        <f t="array" ref="S317">MAX(IF((DiscreteStatsTable[GroupByKey]=DiscreteStatsTable[[#This Row],[GroupByKey]]),(DiscreteStatsTable[GroupByKey]=DiscreteStatsTable[[#This Row],[GroupByKey]])*DiscreteStatsTable[Average]))</f>
        <v>0</v>
      </c>
      <c r="T317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cm="1">
        <f t="array" ref="U317">MAX(IF((DiscreteStatsTable[GroupByKey]=DiscreteStatsTable[[#This Row],[GroupByKey]]),(DiscreteStatsTable[GroupByKey]=DiscreteStatsTable[[#This Row],[GroupByKey]])*DiscreteStatsTable[Maximum]))</f>
        <v>0</v>
      </c>
      <c r="V317" cm="1">
        <f t="array" ref="V317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17">
        <f>IF((DiscreteStatsTable[[#This Row],[RepsRequested]]&gt;1),DiscreteStatsTable[[#This Row],[HalfWidth]],DiscreteStatsTable[[#This Row],[BatchMeansHalfWidth]])</f>
        <v>0</v>
      </c>
      <c r="X317" cm="1">
        <f t="array" ref="X317">COUNT(IF((DiscreteStatsTable[GroupByKey]=DiscreteStatsTable[[#This Row],[GroupByKey]]),(DiscreteStatsTable[GroupByKey]=DiscreteStatsTable[[#This Row],[GroupByKey]])*DiscreteStatsTable[Replication]))</f>
        <v>30</v>
      </c>
      <c r="Y317">
        <f>IF(DiscreteStatsTable[[#This Row],[RepsRequested]]=DiscreteStatsTable[[#This Row],[RepsWithStatObserved]],1,0)</f>
        <v>1</v>
      </c>
    </row>
    <row r="318" spans="1:25" x14ac:dyDescent="0.2">
      <c r="A318" t="s">
        <v>67</v>
      </c>
      <c r="B318" t="s">
        <v>70</v>
      </c>
      <c r="C318">
        <v>17</v>
      </c>
      <c r="D318" t="s">
        <v>83</v>
      </c>
      <c r="E318" t="s">
        <v>84</v>
      </c>
      <c r="F318" t="s">
        <v>85</v>
      </c>
      <c r="G318">
        <v>0</v>
      </c>
      <c r="H318">
        <v>2E+20</v>
      </c>
      <c r="I318">
        <v>0</v>
      </c>
      <c r="J318">
        <v>0</v>
      </c>
      <c r="K318">
        <v>306</v>
      </c>
      <c r="L318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18" cm="1">
        <f t="array" ref="M318">MAX(IF((ProjectInfoTable[ProjectName]=DiscreteStatsTable[[#This Row],[ProjectName]]),(ProjectInfoTable[ProjectName]=DiscreteStatsTable[[#This Row],[ProjectName]])*ProjectInfoTable[NumberOfReplications]))</f>
        <v>30</v>
      </c>
      <c r="N318" cm="1">
        <f t="array" ref="N318">IFERROR(AVERAGE(IF((DiscreteStatsTable[GroupByKey]=DiscreteStatsTable[[#This Row],[GroupByKey]]),(DiscreteStatsTable[GroupByKey]=DiscreteStatsTable[[#This Row],[GroupByKey]])*DiscreteStatsTable[Average])),0)</f>
        <v>0</v>
      </c>
      <c r="O318" cm="1">
        <f t="array" ref="O318">IFERROR(_xlfn.STDEV.S(IF((DiscreteStatsTable[GroupByKey]=DiscreteStatsTable[[#This Row],[GroupByKey]]),(DiscreteStatsTable[GroupByKey]=DiscreteStatsTable[[#This Row],[GroupByKey]])*DiscreteStatsTable[Average])),0)</f>
        <v>0</v>
      </c>
      <c r="P318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8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cm="1">
        <f t="array" ref="S318">MAX(IF((DiscreteStatsTable[GroupByKey]=DiscreteStatsTable[[#This Row],[GroupByKey]]),(DiscreteStatsTable[GroupByKey]=DiscreteStatsTable[[#This Row],[GroupByKey]])*DiscreteStatsTable[Average]))</f>
        <v>0</v>
      </c>
      <c r="T318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cm="1">
        <f t="array" ref="U318">MAX(IF((DiscreteStatsTable[GroupByKey]=DiscreteStatsTable[[#This Row],[GroupByKey]]),(DiscreteStatsTable[GroupByKey]=DiscreteStatsTable[[#This Row],[GroupByKey]])*DiscreteStatsTable[Maximum]))</f>
        <v>0</v>
      </c>
      <c r="V318" cm="1">
        <f t="array" ref="V318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18">
        <f>IF((DiscreteStatsTable[[#This Row],[RepsRequested]]&gt;1),DiscreteStatsTable[[#This Row],[HalfWidth]],DiscreteStatsTable[[#This Row],[BatchMeansHalfWidth]])</f>
        <v>0</v>
      </c>
      <c r="X318" cm="1">
        <f t="array" ref="X318">COUNT(IF((DiscreteStatsTable[GroupByKey]=DiscreteStatsTable[[#This Row],[GroupByKey]]),(DiscreteStatsTable[GroupByKey]=DiscreteStatsTable[[#This Row],[GroupByKey]])*DiscreteStatsTable[Replication]))</f>
        <v>30</v>
      </c>
      <c r="Y318">
        <f>IF(DiscreteStatsTable[[#This Row],[RepsRequested]]=DiscreteStatsTable[[#This Row],[RepsWithStatObserved]],1,0)</f>
        <v>1</v>
      </c>
    </row>
    <row r="319" spans="1:25" x14ac:dyDescent="0.2">
      <c r="A319" t="s">
        <v>67</v>
      </c>
      <c r="B319" t="s">
        <v>70</v>
      </c>
      <c r="C319">
        <v>18</v>
      </c>
      <c r="D319" t="s">
        <v>83</v>
      </c>
      <c r="E319" t="s">
        <v>84</v>
      </c>
      <c r="F319" t="s">
        <v>85</v>
      </c>
      <c r="G319">
        <v>0</v>
      </c>
      <c r="H319">
        <v>2E+20</v>
      </c>
      <c r="I319">
        <v>0</v>
      </c>
      <c r="J319">
        <v>0</v>
      </c>
      <c r="K319">
        <v>301</v>
      </c>
      <c r="L319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19" cm="1">
        <f t="array" ref="M319">MAX(IF((ProjectInfoTable[ProjectName]=DiscreteStatsTable[[#This Row],[ProjectName]]),(ProjectInfoTable[ProjectName]=DiscreteStatsTable[[#This Row],[ProjectName]])*ProjectInfoTable[NumberOfReplications]))</f>
        <v>30</v>
      </c>
      <c r="N319" cm="1">
        <f t="array" ref="N319">IFERROR(AVERAGE(IF((DiscreteStatsTable[GroupByKey]=DiscreteStatsTable[[#This Row],[GroupByKey]]),(DiscreteStatsTable[GroupByKey]=DiscreteStatsTable[[#This Row],[GroupByKey]])*DiscreteStatsTable[Average])),0)</f>
        <v>0</v>
      </c>
      <c r="O319" cm="1">
        <f t="array" ref="O319">IFERROR(_xlfn.STDEV.S(IF((DiscreteStatsTable[GroupByKey]=DiscreteStatsTable[[#This Row],[GroupByKey]]),(DiscreteStatsTable[GroupByKey]=DiscreteStatsTable[[#This Row],[GroupByKey]])*DiscreteStatsTable[Average])),0)</f>
        <v>0</v>
      </c>
      <c r="P319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9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cm="1">
        <f t="array" ref="S319">MAX(IF((DiscreteStatsTable[GroupByKey]=DiscreteStatsTable[[#This Row],[GroupByKey]]),(DiscreteStatsTable[GroupByKey]=DiscreteStatsTable[[#This Row],[GroupByKey]])*DiscreteStatsTable[Average]))</f>
        <v>0</v>
      </c>
      <c r="T319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cm="1">
        <f t="array" ref="U319">MAX(IF((DiscreteStatsTable[GroupByKey]=DiscreteStatsTable[[#This Row],[GroupByKey]]),(DiscreteStatsTable[GroupByKey]=DiscreteStatsTable[[#This Row],[GroupByKey]])*DiscreteStatsTable[Maximum]))</f>
        <v>0</v>
      </c>
      <c r="V319" cm="1">
        <f t="array" ref="V319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19">
        <f>IF((DiscreteStatsTable[[#This Row],[RepsRequested]]&gt;1),DiscreteStatsTable[[#This Row],[HalfWidth]],DiscreteStatsTable[[#This Row],[BatchMeansHalfWidth]])</f>
        <v>0</v>
      </c>
      <c r="X319" cm="1">
        <f t="array" ref="X319">COUNT(IF((DiscreteStatsTable[GroupByKey]=DiscreteStatsTable[[#This Row],[GroupByKey]]),(DiscreteStatsTable[GroupByKey]=DiscreteStatsTable[[#This Row],[GroupByKey]])*DiscreteStatsTable[Replication]))</f>
        <v>30</v>
      </c>
      <c r="Y319">
        <f>IF(DiscreteStatsTable[[#This Row],[RepsRequested]]=DiscreteStatsTable[[#This Row],[RepsWithStatObserved]],1,0)</f>
        <v>1</v>
      </c>
    </row>
    <row r="320" spans="1:25" x14ac:dyDescent="0.2">
      <c r="A320" t="s">
        <v>67</v>
      </c>
      <c r="B320" t="s">
        <v>70</v>
      </c>
      <c r="C320">
        <v>19</v>
      </c>
      <c r="D320" t="s">
        <v>83</v>
      </c>
      <c r="E320" t="s">
        <v>84</v>
      </c>
      <c r="F320" t="s">
        <v>85</v>
      </c>
      <c r="G320">
        <v>0</v>
      </c>
      <c r="H320">
        <v>2E+20</v>
      </c>
      <c r="I320">
        <v>0</v>
      </c>
      <c r="J320">
        <v>0</v>
      </c>
      <c r="K320">
        <v>315</v>
      </c>
      <c r="L320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20" cm="1">
        <f t="array" ref="M320">MAX(IF((ProjectInfoTable[ProjectName]=DiscreteStatsTable[[#This Row],[ProjectName]]),(ProjectInfoTable[ProjectName]=DiscreteStatsTable[[#This Row],[ProjectName]])*ProjectInfoTable[NumberOfReplications]))</f>
        <v>30</v>
      </c>
      <c r="N320" cm="1">
        <f t="array" ref="N320">IFERROR(AVERAGE(IF((DiscreteStatsTable[GroupByKey]=DiscreteStatsTable[[#This Row],[GroupByKey]]),(DiscreteStatsTable[GroupByKey]=DiscreteStatsTable[[#This Row],[GroupByKey]])*DiscreteStatsTable[Average])),0)</f>
        <v>0</v>
      </c>
      <c r="O320" cm="1">
        <f t="array" ref="O320">IFERROR(_xlfn.STDEV.S(IF((DiscreteStatsTable[GroupByKey]=DiscreteStatsTable[[#This Row],[GroupByKey]]),(DiscreteStatsTable[GroupByKey]=DiscreteStatsTable[[#This Row],[GroupByKey]])*DiscreteStatsTable[Average])),0)</f>
        <v>0</v>
      </c>
      <c r="P320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0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cm="1">
        <f t="array" ref="S320">MAX(IF((DiscreteStatsTable[GroupByKey]=DiscreteStatsTable[[#This Row],[GroupByKey]]),(DiscreteStatsTable[GroupByKey]=DiscreteStatsTable[[#This Row],[GroupByKey]])*DiscreteStatsTable[Average]))</f>
        <v>0</v>
      </c>
      <c r="T320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cm="1">
        <f t="array" ref="U320">MAX(IF((DiscreteStatsTable[GroupByKey]=DiscreteStatsTable[[#This Row],[GroupByKey]]),(DiscreteStatsTable[GroupByKey]=DiscreteStatsTable[[#This Row],[GroupByKey]])*DiscreteStatsTable[Maximum]))</f>
        <v>0</v>
      </c>
      <c r="V320" cm="1">
        <f t="array" ref="V320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20">
        <f>IF((DiscreteStatsTable[[#This Row],[RepsRequested]]&gt;1),DiscreteStatsTable[[#This Row],[HalfWidth]],DiscreteStatsTable[[#This Row],[BatchMeansHalfWidth]])</f>
        <v>0</v>
      </c>
      <c r="X320" cm="1">
        <f t="array" ref="X320">COUNT(IF((DiscreteStatsTable[GroupByKey]=DiscreteStatsTable[[#This Row],[GroupByKey]]),(DiscreteStatsTable[GroupByKey]=DiscreteStatsTable[[#This Row],[GroupByKey]])*DiscreteStatsTable[Replication]))</f>
        <v>30</v>
      </c>
      <c r="Y320">
        <f>IF(DiscreteStatsTable[[#This Row],[RepsRequested]]=DiscreteStatsTable[[#This Row],[RepsWithStatObserved]],1,0)</f>
        <v>1</v>
      </c>
    </row>
    <row r="321" spans="1:25" x14ac:dyDescent="0.2">
      <c r="A321" t="s">
        <v>67</v>
      </c>
      <c r="B321" t="s">
        <v>70</v>
      </c>
      <c r="C321">
        <v>20</v>
      </c>
      <c r="D321" t="s">
        <v>83</v>
      </c>
      <c r="E321" t="s">
        <v>84</v>
      </c>
      <c r="F321" t="s">
        <v>85</v>
      </c>
      <c r="G321">
        <v>0</v>
      </c>
      <c r="H321">
        <v>2E+20</v>
      </c>
      <c r="I321">
        <v>0</v>
      </c>
      <c r="J321">
        <v>0</v>
      </c>
      <c r="K321">
        <v>277</v>
      </c>
      <c r="L321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21" cm="1">
        <f t="array" ref="M321">MAX(IF((ProjectInfoTable[ProjectName]=DiscreteStatsTable[[#This Row],[ProjectName]]),(ProjectInfoTable[ProjectName]=DiscreteStatsTable[[#This Row],[ProjectName]])*ProjectInfoTable[NumberOfReplications]))</f>
        <v>30</v>
      </c>
      <c r="N321" cm="1">
        <f t="array" ref="N321">IFERROR(AVERAGE(IF((DiscreteStatsTable[GroupByKey]=DiscreteStatsTable[[#This Row],[GroupByKey]]),(DiscreteStatsTable[GroupByKey]=DiscreteStatsTable[[#This Row],[GroupByKey]])*DiscreteStatsTable[Average])),0)</f>
        <v>0</v>
      </c>
      <c r="O321" cm="1">
        <f t="array" ref="O321">IFERROR(_xlfn.STDEV.S(IF((DiscreteStatsTable[GroupByKey]=DiscreteStatsTable[[#This Row],[GroupByKey]]),(DiscreteStatsTable[GroupByKey]=DiscreteStatsTable[[#This Row],[GroupByKey]])*DiscreteStatsTable[Average])),0)</f>
        <v>0</v>
      </c>
      <c r="P321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1" cm="1">
        <f t="array" ref="R321">MIN(IF((DiscreteStatsTable[GroupByKey]=DiscreteStatsTable[[#This Row],[GroupByKey]]),(DiscreteStatsTable[GroupByKey]=DiscreteStatsTable[[#This Row],[GroupByKey]])*DiscreteStatsTable[Average]))</f>
        <v>0</v>
      </c>
      <c r="S321" cm="1">
        <f t="array" ref="S321">MAX(IF((DiscreteStatsTable[GroupByKey]=DiscreteStatsTable[[#This Row],[GroupByKey]]),(DiscreteStatsTable[GroupByKey]=DiscreteStatsTable[[#This Row],[GroupByKey]])*DiscreteStatsTable[Average]))</f>
        <v>0</v>
      </c>
      <c r="T321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cm="1">
        <f t="array" ref="U321">MAX(IF((DiscreteStatsTable[GroupByKey]=DiscreteStatsTable[[#This Row],[GroupByKey]]),(DiscreteStatsTable[GroupByKey]=DiscreteStatsTable[[#This Row],[GroupByKey]])*DiscreteStatsTable[Maximum]))</f>
        <v>0</v>
      </c>
      <c r="V321" cm="1">
        <f t="array" ref="V321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21">
        <f>IF((DiscreteStatsTable[[#This Row],[RepsRequested]]&gt;1),DiscreteStatsTable[[#This Row],[HalfWidth]],DiscreteStatsTable[[#This Row],[BatchMeansHalfWidth]])</f>
        <v>0</v>
      </c>
      <c r="X321" cm="1">
        <f t="array" ref="X321">COUNT(IF((DiscreteStatsTable[GroupByKey]=DiscreteStatsTable[[#This Row],[GroupByKey]]),(DiscreteStatsTable[GroupByKey]=DiscreteStatsTable[[#This Row],[GroupByKey]])*DiscreteStatsTable[Replication]))</f>
        <v>30</v>
      </c>
      <c r="Y321">
        <f>IF(DiscreteStatsTable[[#This Row],[RepsRequested]]=DiscreteStatsTable[[#This Row],[RepsWithStatObserved]],1,0)</f>
        <v>1</v>
      </c>
    </row>
    <row r="322" spans="1:25" x14ac:dyDescent="0.2">
      <c r="A322" t="s">
        <v>67</v>
      </c>
      <c r="B322" t="s">
        <v>70</v>
      </c>
      <c r="C322">
        <v>21</v>
      </c>
      <c r="D322" t="s">
        <v>83</v>
      </c>
      <c r="E322" t="s">
        <v>84</v>
      </c>
      <c r="F322" t="s">
        <v>85</v>
      </c>
      <c r="G322">
        <v>0</v>
      </c>
      <c r="H322">
        <v>2E+20</v>
      </c>
      <c r="I322">
        <v>0</v>
      </c>
      <c r="J322">
        <v>0</v>
      </c>
      <c r="K322">
        <v>284</v>
      </c>
      <c r="L322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22" cm="1">
        <f t="array" ref="M322">MAX(IF((ProjectInfoTable[ProjectName]=DiscreteStatsTable[[#This Row],[ProjectName]]),(ProjectInfoTable[ProjectName]=DiscreteStatsTable[[#This Row],[ProjectName]])*ProjectInfoTable[NumberOfReplications]))</f>
        <v>30</v>
      </c>
      <c r="N322" cm="1">
        <f t="array" ref="N322">IFERROR(AVERAGE(IF((DiscreteStatsTable[GroupByKey]=DiscreteStatsTable[[#This Row],[GroupByKey]]),(DiscreteStatsTable[GroupByKey]=DiscreteStatsTable[[#This Row],[GroupByKey]])*DiscreteStatsTable[Average])),0)</f>
        <v>0</v>
      </c>
      <c r="O322" cm="1">
        <f t="array" ref="O322">IFERROR(_xlfn.STDEV.S(IF((DiscreteStatsTable[GroupByKey]=DiscreteStatsTable[[#This Row],[GroupByKey]]),(DiscreteStatsTable[GroupByKey]=DiscreteStatsTable[[#This Row],[GroupByKey]])*DiscreteStatsTable[Average])),0)</f>
        <v>0</v>
      </c>
      <c r="P322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2" cm="1">
        <f t="array" ref="R322">MIN(IF((DiscreteStatsTable[GroupByKey]=DiscreteStatsTable[[#This Row],[GroupByKey]]),(DiscreteStatsTable[GroupByKey]=DiscreteStatsTable[[#This Row],[GroupByKey]])*DiscreteStatsTable[Average]))</f>
        <v>0</v>
      </c>
      <c r="S322" cm="1">
        <f t="array" ref="S322">MAX(IF((DiscreteStatsTable[GroupByKey]=DiscreteStatsTable[[#This Row],[GroupByKey]]),(DiscreteStatsTable[GroupByKey]=DiscreteStatsTable[[#This Row],[GroupByKey]])*DiscreteStatsTable[Average]))</f>
        <v>0</v>
      </c>
      <c r="T322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cm="1">
        <f t="array" ref="U322">MAX(IF((DiscreteStatsTable[GroupByKey]=DiscreteStatsTable[[#This Row],[GroupByKey]]),(DiscreteStatsTable[GroupByKey]=DiscreteStatsTable[[#This Row],[GroupByKey]])*DiscreteStatsTable[Maximum]))</f>
        <v>0</v>
      </c>
      <c r="V322" cm="1">
        <f t="array" ref="V322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22">
        <f>IF((DiscreteStatsTable[[#This Row],[RepsRequested]]&gt;1),DiscreteStatsTable[[#This Row],[HalfWidth]],DiscreteStatsTable[[#This Row],[BatchMeansHalfWidth]])</f>
        <v>0</v>
      </c>
      <c r="X322" cm="1">
        <f t="array" ref="X322">COUNT(IF((DiscreteStatsTable[GroupByKey]=DiscreteStatsTable[[#This Row],[GroupByKey]]),(DiscreteStatsTable[GroupByKey]=DiscreteStatsTable[[#This Row],[GroupByKey]])*DiscreteStatsTable[Replication]))</f>
        <v>30</v>
      </c>
      <c r="Y322">
        <f>IF(DiscreteStatsTable[[#This Row],[RepsRequested]]=DiscreteStatsTable[[#This Row],[RepsWithStatObserved]],1,0)</f>
        <v>1</v>
      </c>
    </row>
    <row r="323" spans="1:25" x14ac:dyDescent="0.2">
      <c r="A323" t="s">
        <v>67</v>
      </c>
      <c r="B323" t="s">
        <v>70</v>
      </c>
      <c r="C323">
        <v>22</v>
      </c>
      <c r="D323" t="s">
        <v>83</v>
      </c>
      <c r="E323" t="s">
        <v>84</v>
      </c>
      <c r="F323" t="s">
        <v>85</v>
      </c>
      <c r="G323">
        <v>0</v>
      </c>
      <c r="H323">
        <v>2E+20</v>
      </c>
      <c r="I323">
        <v>0</v>
      </c>
      <c r="J323">
        <v>0</v>
      </c>
      <c r="K323">
        <v>280</v>
      </c>
      <c r="L323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23" cm="1">
        <f t="array" ref="M323">MAX(IF((ProjectInfoTable[ProjectName]=DiscreteStatsTable[[#This Row],[ProjectName]]),(ProjectInfoTable[ProjectName]=DiscreteStatsTable[[#This Row],[ProjectName]])*ProjectInfoTable[NumberOfReplications]))</f>
        <v>30</v>
      </c>
      <c r="N323" cm="1">
        <f t="array" ref="N323">IFERROR(AVERAGE(IF((DiscreteStatsTable[GroupByKey]=DiscreteStatsTable[[#This Row],[GroupByKey]]),(DiscreteStatsTable[GroupByKey]=DiscreteStatsTable[[#This Row],[GroupByKey]])*DiscreteStatsTable[Average])),0)</f>
        <v>0</v>
      </c>
      <c r="O323" cm="1">
        <f t="array" ref="O323">IFERROR(_xlfn.STDEV.S(IF((DiscreteStatsTable[GroupByKey]=DiscreteStatsTable[[#This Row],[GroupByKey]]),(DiscreteStatsTable[GroupByKey]=DiscreteStatsTable[[#This Row],[GroupByKey]])*DiscreteStatsTable[Average])),0)</f>
        <v>0</v>
      </c>
      <c r="P323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3" cm="1">
        <f t="array" ref="R323">MIN(IF((DiscreteStatsTable[GroupByKey]=DiscreteStatsTable[[#This Row],[GroupByKey]]),(DiscreteStatsTable[GroupByKey]=DiscreteStatsTable[[#This Row],[GroupByKey]])*DiscreteStatsTable[Average]))</f>
        <v>0</v>
      </c>
      <c r="S323" cm="1">
        <f t="array" ref="S323">MAX(IF((DiscreteStatsTable[GroupByKey]=DiscreteStatsTable[[#This Row],[GroupByKey]]),(DiscreteStatsTable[GroupByKey]=DiscreteStatsTable[[#This Row],[GroupByKey]])*DiscreteStatsTable[Average]))</f>
        <v>0</v>
      </c>
      <c r="T323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cm="1">
        <f t="array" ref="U323">MAX(IF((DiscreteStatsTable[GroupByKey]=DiscreteStatsTable[[#This Row],[GroupByKey]]),(DiscreteStatsTable[GroupByKey]=DiscreteStatsTable[[#This Row],[GroupByKey]])*DiscreteStatsTable[Maximum]))</f>
        <v>0</v>
      </c>
      <c r="V323" cm="1">
        <f t="array" ref="V323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23">
        <f>IF((DiscreteStatsTable[[#This Row],[RepsRequested]]&gt;1),DiscreteStatsTable[[#This Row],[HalfWidth]],DiscreteStatsTable[[#This Row],[BatchMeansHalfWidth]])</f>
        <v>0</v>
      </c>
      <c r="X323" cm="1">
        <f t="array" ref="X323">COUNT(IF((DiscreteStatsTable[GroupByKey]=DiscreteStatsTable[[#This Row],[GroupByKey]]),(DiscreteStatsTable[GroupByKey]=DiscreteStatsTable[[#This Row],[GroupByKey]])*DiscreteStatsTable[Replication]))</f>
        <v>30</v>
      </c>
      <c r="Y323">
        <f>IF(DiscreteStatsTable[[#This Row],[RepsRequested]]=DiscreteStatsTable[[#This Row],[RepsWithStatObserved]],1,0)</f>
        <v>1</v>
      </c>
    </row>
    <row r="324" spans="1:25" x14ac:dyDescent="0.2">
      <c r="A324" t="s">
        <v>67</v>
      </c>
      <c r="B324" t="s">
        <v>70</v>
      </c>
      <c r="C324">
        <v>23</v>
      </c>
      <c r="D324" t="s">
        <v>83</v>
      </c>
      <c r="E324" t="s">
        <v>84</v>
      </c>
      <c r="F324" t="s">
        <v>85</v>
      </c>
      <c r="G324">
        <v>0</v>
      </c>
      <c r="H324">
        <v>2E+20</v>
      </c>
      <c r="I324">
        <v>0</v>
      </c>
      <c r="J324">
        <v>0</v>
      </c>
      <c r="K324">
        <v>269</v>
      </c>
      <c r="L324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24" cm="1">
        <f t="array" ref="M324">MAX(IF((ProjectInfoTable[ProjectName]=DiscreteStatsTable[[#This Row],[ProjectName]]),(ProjectInfoTable[ProjectName]=DiscreteStatsTable[[#This Row],[ProjectName]])*ProjectInfoTable[NumberOfReplications]))</f>
        <v>30</v>
      </c>
      <c r="N324" cm="1">
        <f t="array" ref="N324">IFERROR(AVERAGE(IF((DiscreteStatsTable[GroupByKey]=DiscreteStatsTable[[#This Row],[GroupByKey]]),(DiscreteStatsTable[GroupByKey]=DiscreteStatsTable[[#This Row],[GroupByKey]])*DiscreteStatsTable[Average])),0)</f>
        <v>0</v>
      </c>
      <c r="O324" cm="1">
        <f t="array" ref="O324">IFERROR(_xlfn.STDEV.S(IF((DiscreteStatsTable[GroupByKey]=DiscreteStatsTable[[#This Row],[GroupByKey]]),(DiscreteStatsTable[GroupByKey]=DiscreteStatsTable[[#This Row],[GroupByKey]])*DiscreteStatsTable[Average])),0)</f>
        <v>0</v>
      </c>
      <c r="P324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4" cm="1">
        <f t="array" ref="R324">MIN(IF((DiscreteStatsTable[GroupByKey]=DiscreteStatsTable[[#This Row],[GroupByKey]]),(DiscreteStatsTable[GroupByKey]=DiscreteStatsTable[[#This Row],[GroupByKey]])*DiscreteStatsTable[Average]))</f>
        <v>0</v>
      </c>
      <c r="S324" cm="1">
        <f t="array" ref="S324">MAX(IF((DiscreteStatsTable[GroupByKey]=DiscreteStatsTable[[#This Row],[GroupByKey]]),(DiscreteStatsTable[GroupByKey]=DiscreteStatsTable[[#This Row],[GroupByKey]])*DiscreteStatsTable[Average]))</f>
        <v>0</v>
      </c>
      <c r="T324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cm="1">
        <f t="array" ref="U324">MAX(IF((DiscreteStatsTable[GroupByKey]=DiscreteStatsTable[[#This Row],[GroupByKey]]),(DiscreteStatsTable[GroupByKey]=DiscreteStatsTable[[#This Row],[GroupByKey]])*DiscreteStatsTable[Maximum]))</f>
        <v>0</v>
      </c>
      <c r="V324" cm="1">
        <f t="array" ref="V324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24">
        <f>IF((DiscreteStatsTable[[#This Row],[RepsRequested]]&gt;1),DiscreteStatsTable[[#This Row],[HalfWidth]],DiscreteStatsTable[[#This Row],[BatchMeansHalfWidth]])</f>
        <v>0</v>
      </c>
      <c r="X324" cm="1">
        <f t="array" ref="X324">COUNT(IF((DiscreteStatsTable[GroupByKey]=DiscreteStatsTable[[#This Row],[GroupByKey]]),(DiscreteStatsTable[GroupByKey]=DiscreteStatsTable[[#This Row],[GroupByKey]])*DiscreteStatsTable[Replication]))</f>
        <v>30</v>
      </c>
      <c r="Y324">
        <f>IF(DiscreteStatsTable[[#This Row],[RepsRequested]]=DiscreteStatsTable[[#This Row],[RepsWithStatObserved]],1,0)</f>
        <v>1</v>
      </c>
    </row>
    <row r="325" spans="1:25" x14ac:dyDescent="0.2">
      <c r="A325" t="s">
        <v>67</v>
      </c>
      <c r="B325" t="s">
        <v>70</v>
      </c>
      <c r="C325">
        <v>24</v>
      </c>
      <c r="D325" t="s">
        <v>83</v>
      </c>
      <c r="E325" t="s">
        <v>84</v>
      </c>
      <c r="F325" t="s">
        <v>85</v>
      </c>
      <c r="G325">
        <v>0</v>
      </c>
      <c r="H325">
        <v>0</v>
      </c>
      <c r="I325">
        <v>0</v>
      </c>
      <c r="J325">
        <v>0</v>
      </c>
      <c r="K325">
        <v>331</v>
      </c>
      <c r="L325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25" cm="1">
        <f t="array" ref="M325">MAX(IF((ProjectInfoTable[ProjectName]=DiscreteStatsTable[[#This Row],[ProjectName]]),(ProjectInfoTable[ProjectName]=DiscreteStatsTable[[#This Row],[ProjectName]])*ProjectInfoTable[NumberOfReplications]))</f>
        <v>30</v>
      </c>
      <c r="N325" cm="1">
        <f t="array" ref="N325">IFERROR(AVERAGE(IF((DiscreteStatsTable[GroupByKey]=DiscreteStatsTable[[#This Row],[GroupByKey]]),(DiscreteStatsTable[GroupByKey]=DiscreteStatsTable[[#This Row],[GroupByKey]])*DiscreteStatsTable[Average])),0)</f>
        <v>0</v>
      </c>
      <c r="O325" cm="1">
        <f t="array" ref="O325">IFERROR(_xlfn.STDEV.S(IF((DiscreteStatsTable[GroupByKey]=DiscreteStatsTable[[#This Row],[GroupByKey]]),(DiscreteStatsTable[GroupByKey]=DiscreteStatsTable[[#This Row],[GroupByKey]])*DiscreteStatsTable[Average])),0)</f>
        <v>0</v>
      </c>
      <c r="P32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5" cm="1">
        <f t="array" ref="R325">MIN(IF((DiscreteStatsTable[GroupByKey]=DiscreteStatsTable[[#This Row],[GroupByKey]]),(DiscreteStatsTable[GroupByKey]=DiscreteStatsTable[[#This Row],[GroupByKey]])*DiscreteStatsTable[Average]))</f>
        <v>0</v>
      </c>
      <c r="S325" cm="1">
        <f t="array" ref="S325">MAX(IF((DiscreteStatsTable[GroupByKey]=DiscreteStatsTable[[#This Row],[GroupByKey]]),(DiscreteStatsTable[GroupByKey]=DiscreteStatsTable[[#This Row],[GroupByKey]])*DiscreteStatsTable[Average]))</f>
        <v>0</v>
      </c>
      <c r="T32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cm="1">
        <f t="array" ref="U325">MAX(IF((DiscreteStatsTable[GroupByKey]=DiscreteStatsTable[[#This Row],[GroupByKey]]),(DiscreteStatsTable[GroupByKey]=DiscreteStatsTable[[#This Row],[GroupByKey]])*DiscreteStatsTable[Maximum]))</f>
        <v>0</v>
      </c>
      <c r="V325" cm="1">
        <f t="array" ref="V325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25">
        <f>IF((DiscreteStatsTable[[#This Row],[RepsRequested]]&gt;1),DiscreteStatsTable[[#This Row],[HalfWidth]],DiscreteStatsTable[[#This Row],[BatchMeansHalfWidth]])</f>
        <v>0</v>
      </c>
      <c r="X325" cm="1">
        <f t="array" ref="X325">COUNT(IF((DiscreteStatsTable[GroupByKey]=DiscreteStatsTable[[#This Row],[GroupByKey]]),(DiscreteStatsTable[GroupByKey]=DiscreteStatsTable[[#This Row],[GroupByKey]])*DiscreteStatsTable[Replication]))</f>
        <v>30</v>
      </c>
      <c r="Y325">
        <f>IF(DiscreteStatsTable[[#This Row],[RepsRequested]]=DiscreteStatsTable[[#This Row],[RepsWithStatObserved]],1,0)</f>
        <v>1</v>
      </c>
    </row>
    <row r="326" spans="1:25" x14ac:dyDescent="0.2">
      <c r="A326" t="s">
        <v>67</v>
      </c>
      <c r="B326" t="s">
        <v>70</v>
      </c>
      <c r="C326">
        <v>25</v>
      </c>
      <c r="D326" t="s">
        <v>83</v>
      </c>
      <c r="E326" t="s">
        <v>84</v>
      </c>
      <c r="F326" t="s">
        <v>85</v>
      </c>
      <c r="G326">
        <v>0</v>
      </c>
      <c r="H326">
        <v>2E+20</v>
      </c>
      <c r="I326">
        <v>0</v>
      </c>
      <c r="J326">
        <v>0</v>
      </c>
      <c r="K326">
        <v>311</v>
      </c>
      <c r="L326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26" cm="1">
        <f t="array" ref="M326">MAX(IF((ProjectInfoTable[ProjectName]=DiscreteStatsTable[[#This Row],[ProjectName]]),(ProjectInfoTable[ProjectName]=DiscreteStatsTable[[#This Row],[ProjectName]])*ProjectInfoTable[NumberOfReplications]))</f>
        <v>30</v>
      </c>
      <c r="N326" cm="1">
        <f t="array" ref="N326">IFERROR(AVERAGE(IF((DiscreteStatsTable[GroupByKey]=DiscreteStatsTable[[#This Row],[GroupByKey]]),(DiscreteStatsTable[GroupByKey]=DiscreteStatsTable[[#This Row],[GroupByKey]])*DiscreteStatsTable[Average])),0)</f>
        <v>0</v>
      </c>
      <c r="O326" cm="1">
        <f t="array" ref="O326">IFERROR(_xlfn.STDEV.S(IF((DiscreteStatsTable[GroupByKey]=DiscreteStatsTable[[#This Row],[GroupByKey]]),(DiscreteStatsTable[GroupByKey]=DiscreteStatsTable[[#This Row],[GroupByKey]])*DiscreteStatsTable[Average])),0)</f>
        <v>0</v>
      </c>
      <c r="P326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6" cm="1">
        <f t="array" ref="R326">MIN(IF((DiscreteStatsTable[GroupByKey]=DiscreteStatsTable[[#This Row],[GroupByKey]]),(DiscreteStatsTable[GroupByKey]=DiscreteStatsTable[[#This Row],[GroupByKey]])*DiscreteStatsTable[Average]))</f>
        <v>0</v>
      </c>
      <c r="S326" cm="1">
        <f t="array" ref="S326">MAX(IF((DiscreteStatsTable[GroupByKey]=DiscreteStatsTable[[#This Row],[GroupByKey]]),(DiscreteStatsTable[GroupByKey]=DiscreteStatsTable[[#This Row],[GroupByKey]])*DiscreteStatsTable[Average]))</f>
        <v>0</v>
      </c>
      <c r="T326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cm="1">
        <f t="array" ref="U326">MAX(IF((DiscreteStatsTable[GroupByKey]=DiscreteStatsTable[[#This Row],[GroupByKey]]),(DiscreteStatsTable[GroupByKey]=DiscreteStatsTable[[#This Row],[GroupByKey]])*DiscreteStatsTable[Maximum]))</f>
        <v>0</v>
      </c>
      <c r="V326" cm="1">
        <f t="array" ref="V326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26">
        <f>IF((DiscreteStatsTable[[#This Row],[RepsRequested]]&gt;1),DiscreteStatsTable[[#This Row],[HalfWidth]],DiscreteStatsTable[[#This Row],[BatchMeansHalfWidth]])</f>
        <v>0</v>
      </c>
      <c r="X326" cm="1">
        <f t="array" ref="X326">COUNT(IF((DiscreteStatsTable[GroupByKey]=DiscreteStatsTable[[#This Row],[GroupByKey]]),(DiscreteStatsTable[GroupByKey]=DiscreteStatsTable[[#This Row],[GroupByKey]])*DiscreteStatsTable[Replication]))</f>
        <v>30</v>
      </c>
      <c r="Y326">
        <f>IF(DiscreteStatsTable[[#This Row],[RepsRequested]]=DiscreteStatsTable[[#This Row],[RepsWithStatObserved]],1,0)</f>
        <v>1</v>
      </c>
    </row>
    <row r="327" spans="1:25" x14ac:dyDescent="0.2">
      <c r="A327" t="s">
        <v>67</v>
      </c>
      <c r="B327" t="s">
        <v>70</v>
      </c>
      <c r="C327">
        <v>26</v>
      </c>
      <c r="D327" t="s">
        <v>83</v>
      </c>
      <c r="E327" t="s">
        <v>84</v>
      </c>
      <c r="F327" t="s">
        <v>85</v>
      </c>
      <c r="G327">
        <v>0</v>
      </c>
      <c r="H327">
        <v>2E+20</v>
      </c>
      <c r="I327">
        <v>0</v>
      </c>
      <c r="J327">
        <v>0</v>
      </c>
      <c r="K327">
        <v>301</v>
      </c>
      <c r="L327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27" cm="1">
        <f t="array" ref="M327">MAX(IF((ProjectInfoTable[ProjectName]=DiscreteStatsTable[[#This Row],[ProjectName]]),(ProjectInfoTable[ProjectName]=DiscreteStatsTable[[#This Row],[ProjectName]])*ProjectInfoTable[NumberOfReplications]))</f>
        <v>30</v>
      </c>
      <c r="N327" cm="1">
        <f t="array" ref="N327">IFERROR(AVERAGE(IF((DiscreteStatsTable[GroupByKey]=DiscreteStatsTable[[#This Row],[GroupByKey]]),(DiscreteStatsTable[GroupByKey]=DiscreteStatsTable[[#This Row],[GroupByKey]])*DiscreteStatsTable[Average])),0)</f>
        <v>0</v>
      </c>
      <c r="O327" cm="1">
        <f t="array" ref="O327">IFERROR(_xlfn.STDEV.S(IF((DiscreteStatsTable[GroupByKey]=DiscreteStatsTable[[#This Row],[GroupByKey]]),(DiscreteStatsTable[GroupByKey]=DiscreteStatsTable[[#This Row],[GroupByKey]])*DiscreteStatsTable[Average])),0)</f>
        <v>0</v>
      </c>
      <c r="P327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7" cm="1">
        <f t="array" ref="R327">MIN(IF((DiscreteStatsTable[GroupByKey]=DiscreteStatsTable[[#This Row],[GroupByKey]]),(DiscreteStatsTable[GroupByKey]=DiscreteStatsTable[[#This Row],[GroupByKey]])*DiscreteStatsTable[Average]))</f>
        <v>0</v>
      </c>
      <c r="S327" cm="1">
        <f t="array" ref="S327">MAX(IF((DiscreteStatsTable[GroupByKey]=DiscreteStatsTable[[#This Row],[GroupByKey]]),(DiscreteStatsTable[GroupByKey]=DiscreteStatsTable[[#This Row],[GroupByKey]])*DiscreteStatsTable[Average]))</f>
        <v>0</v>
      </c>
      <c r="T327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cm="1">
        <f t="array" ref="U327">MAX(IF((DiscreteStatsTable[GroupByKey]=DiscreteStatsTable[[#This Row],[GroupByKey]]),(DiscreteStatsTable[GroupByKey]=DiscreteStatsTable[[#This Row],[GroupByKey]])*DiscreteStatsTable[Maximum]))</f>
        <v>0</v>
      </c>
      <c r="V327" cm="1">
        <f t="array" ref="V327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27">
        <f>IF((DiscreteStatsTable[[#This Row],[RepsRequested]]&gt;1),DiscreteStatsTable[[#This Row],[HalfWidth]],DiscreteStatsTable[[#This Row],[BatchMeansHalfWidth]])</f>
        <v>0</v>
      </c>
      <c r="X327" cm="1">
        <f t="array" ref="X327">COUNT(IF((DiscreteStatsTable[GroupByKey]=DiscreteStatsTable[[#This Row],[GroupByKey]]),(DiscreteStatsTable[GroupByKey]=DiscreteStatsTable[[#This Row],[GroupByKey]])*DiscreteStatsTable[Replication]))</f>
        <v>30</v>
      </c>
      <c r="Y327">
        <f>IF(DiscreteStatsTable[[#This Row],[RepsRequested]]=DiscreteStatsTable[[#This Row],[RepsWithStatObserved]],1,0)</f>
        <v>1</v>
      </c>
    </row>
    <row r="328" spans="1:25" x14ac:dyDescent="0.2">
      <c r="A328" t="s">
        <v>67</v>
      </c>
      <c r="B328" t="s">
        <v>70</v>
      </c>
      <c r="C328">
        <v>27</v>
      </c>
      <c r="D328" t="s">
        <v>83</v>
      </c>
      <c r="E328" t="s">
        <v>84</v>
      </c>
      <c r="F328" t="s">
        <v>85</v>
      </c>
      <c r="G328">
        <v>0</v>
      </c>
      <c r="H328">
        <v>2E+20</v>
      </c>
      <c r="I328">
        <v>0</v>
      </c>
      <c r="J328">
        <v>0</v>
      </c>
      <c r="K328">
        <v>288</v>
      </c>
      <c r="L328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28" cm="1">
        <f t="array" ref="M328">MAX(IF((ProjectInfoTable[ProjectName]=DiscreteStatsTable[[#This Row],[ProjectName]]),(ProjectInfoTable[ProjectName]=DiscreteStatsTable[[#This Row],[ProjectName]])*ProjectInfoTable[NumberOfReplications]))</f>
        <v>30</v>
      </c>
      <c r="N328" cm="1">
        <f t="array" ref="N328">IFERROR(AVERAGE(IF((DiscreteStatsTable[GroupByKey]=DiscreteStatsTable[[#This Row],[GroupByKey]]),(DiscreteStatsTable[GroupByKey]=DiscreteStatsTable[[#This Row],[GroupByKey]])*DiscreteStatsTable[Average])),0)</f>
        <v>0</v>
      </c>
      <c r="O328" cm="1">
        <f t="array" ref="O328">IFERROR(_xlfn.STDEV.S(IF((DiscreteStatsTable[GroupByKey]=DiscreteStatsTable[[#This Row],[GroupByKey]]),(DiscreteStatsTable[GroupByKey]=DiscreteStatsTable[[#This Row],[GroupByKey]])*DiscreteStatsTable[Average])),0)</f>
        <v>0</v>
      </c>
      <c r="P328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8" cm="1">
        <f t="array" ref="R328">MIN(IF((DiscreteStatsTable[GroupByKey]=DiscreteStatsTable[[#This Row],[GroupByKey]]),(DiscreteStatsTable[GroupByKey]=DiscreteStatsTable[[#This Row],[GroupByKey]])*DiscreteStatsTable[Average]))</f>
        <v>0</v>
      </c>
      <c r="S328" cm="1">
        <f t="array" ref="S328">MAX(IF((DiscreteStatsTable[GroupByKey]=DiscreteStatsTable[[#This Row],[GroupByKey]]),(DiscreteStatsTable[GroupByKey]=DiscreteStatsTable[[#This Row],[GroupByKey]])*DiscreteStatsTable[Average]))</f>
        <v>0</v>
      </c>
      <c r="T328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cm="1">
        <f t="array" ref="U328">MAX(IF((DiscreteStatsTable[GroupByKey]=DiscreteStatsTable[[#This Row],[GroupByKey]]),(DiscreteStatsTable[GroupByKey]=DiscreteStatsTable[[#This Row],[GroupByKey]])*DiscreteStatsTable[Maximum]))</f>
        <v>0</v>
      </c>
      <c r="V328" cm="1">
        <f t="array" ref="V328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28">
        <f>IF((DiscreteStatsTable[[#This Row],[RepsRequested]]&gt;1),DiscreteStatsTable[[#This Row],[HalfWidth]],DiscreteStatsTable[[#This Row],[BatchMeansHalfWidth]])</f>
        <v>0</v>
      </c>
      <c r="X328" cm="1">
        <f t="array" ref="X328">COUNT(IF((DiscreteStatsTable[GroupByKey]=DiscreteStatsTable[[#This Row],[GroupByKey]]),(DiscreteStatsTable[GroupByKey]=DiscreteStatsTable[[#This Row],[GroupByKey]])*DiscreteStatsTable[Replication]))</f>
        <v>30</v>
      </c>
      <c r="Y328">
        <f>IF(DiscreteStatsTable[[#This Row],[RepsRequested]]=DiscreteStatsTable[[#This Row],[RepsWithStatObserved]],1,0)</f>
        <v>1</v>
      </c>
    </row>
    <row r="329" spans="1:25" x14ac:dyDescent="0.2">
      <c r="A329" t="s">
        <v>67</v>
      </c>
      <c r="B329" t="s">
        <v>70</v>
      </c>
      <c r="C329">
        <v>28</v>
      </c>
      <c r="D329" t="s">
        <v>83</v>
      </c>
      <c r="E329" t="s">
        <v>84</v>
      </c>
      <c r="F329" t="s">
        <v>85</v>
      </c>
      <c r="G329">
        <v>0</v>
      </c>
      <c r="H329">
        <v>2E+20</v>
      </c>
      <c r="I329">
        <v>0</v>
      </c>
      <c r="J329">
        <v>0</v>
      </c>
      <c r="K329">
        <v>270</v>
      </c>
      <c r="L329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29" cm="1">
        <f t="array" ref="M329">MAX(IF((ProjectInfoTable[ProjectName]=DiscreteStatsTable[[#This Row],[ProjectName]]),(ProjectInfoTable[ProjectName]=DiscreteStatsTable[[#This Row],[ProjectName]])*ProjectInfoTable[NumberOfReplications]))</f>
        <v>30</v>
      </c>
      <c r="N329" cm="1">
        <f t="array" ref="N329">IFERROR(AVERAGE(IF((DiscreteStatsTable[GroupByKey]=DiscreteStatsTable[[#This Row],[GroupByKey]]),(DiscreteStatsTable[GroupByKey]=DiscreteStatsTable[[#This Row],[GroupByKey]])*DiscreteStatsTable[Average])),0)</f>
        <v>0</v>
      </c>
      <c r="O329" cm="1">
        <f t="array" ref="O329">IFERROR(_xlfn.STDEV.S(IF((DiscreteStatsTable[GroupByKey]=DiscreteStatsTable[[#This Row],[GroupByKey]]),(DiscreteStatsTable[GroupByKey]=DiscreteStatsTable[[#This Row],[GroupByKey]])*DiscreteStatsTable[Average])),0)</f>
        <v>0</v>
      </c>
      <c r="P329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9" cm="1">
        <f t="array" ref="R329">MIN(IF((DiscreteStatsTable[GroupByKey]=DiscreteStatsTable[[#This Row],[GroupByKey]]),(DiscreteStatsTable[GroupByKey]=DiscreteStatsTable[[#This Row],[GroupByKey]])*DiscreteStatsTable[Average]))</f>
        <v>0</v>
      </c>
      <c r="S329" cm="1">
        <f t="array" ref="S329">MAX(IF((DiscreteStatsTable[GroupByKey]=DiscreteStatsTable[[#This Row],[GroupByKey]]),(DiscreteStatsTable[GroupByKey]=DiscreteStatsTable[[#This Row],[GroupByKey]])*DiscreteStatsTable[Average]))</f>
        <v>0</v>
      </c>
      <c r="T329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cm="1">
        <f t="array" ref="U329">MAX(IF((DiscreteStatsTable[GroupByKey]=DiscreteStatsTable[[#This Row],[GroupByKey]]),(DiscreteStatsTable[GroupByKey]=DiscreteStatsTable[[#This Row],[GroupByKey]])*DiscreteStatsTable[Maximum]))</f>
        <v>0</v>
      </c>
      <c r="V329" cm="1">
        <f t="array" ref="V329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29">
        <f>IF((DiscreteStatsTable[[#This Row],[RepsRequested]]&gt;1),DiscreteStatsTable[[#This Row],[HalfWidth]],DiscreteStatsTable[[#This Row],[BatchMeansHalfWidth]])</f>
        <v>0</v>
      </c>
      <c r="X329" cm="1">
        <f t="array" ref="X329">COUNT(IF((DiscreteStatsTable[GroupByKey]=DiscreteStatsTable[[#This Row],[GroupByKey]]),(DiscreteStatsTable[GroupByKey]=DiscreteStatsTable[[#This Row],[GroupByKey]])*DiscreteStatsTable[Replication]))</f>
        <v>30</v>
      </c>
      <c r="Y329">
        <f>IF(DiscreteStatsTable[[#This Row],[RepsRequested]]=DiscreteStatsTable[[#This Row],[RepsWithStatObserved]],1,0)</f>
        <v>1</v>
      </c>
    </row>
    <row r="330" spans="1:25" x14ac:dyDescent="0.2">
      <c r="A330" t="s">
        <v>67</v>
      </c>
      <c r="B330" t="s">
        <v>70</v>
      </c>
      <c r="C330">
        <v>29</v>
      </c>
      <c r="D330" t="s">
        <v>83</v>
      </c>
      <c r="E330" t="s">
        <v>84</v>
      </c>
      <c r="F330" t="s">
        <v>85</v>
      </c>
      <c r="G330">
        <v>0</v>
      </c>
      <c r="H330">
        <v>2E+20</v>
      </c>
      <c r="I330">
        <v>0</v>
      </c>
      <c r="J330">
        <v>0</v>
      </c>
      <c r="K330">
        <v>318</v>
      </c>
      <c r="L330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30" cm="1">
        <f t="array" ref="M330">MAX(IF((ProjectInfoTable[ProjectName]=DiscreteStatsTable[[#This Row],[ProjectName]]),(ProjectInfoTable[ProjectName]=DiscreteStatsTable[[#This Row],[ProjectName]])*ProjectInfoTable[NumberOfReplications]))</f>
        <v>30</v>
      </c>
      <c r="N330" cm="1">
        <f t="array" ref="N330">IFERROR(AVERAGE(IF((DiscreteStatsTable[GroupByKey]=DiscreteStatsTable[[#This Row],[GroupByKey]]),(DiscreteStatsTable[GroupByKey]=DiscreteStatsTable[[#This Row],[GroupByKey]])*DiscreteStatsTable[Average])),0)</f>
        <v>0</v>
      </c>
      <c r="O330" cm="1">
        <f t="array" ref="O330">IFERROR(_xlfn.STDEV.S(IF((DiscreteStatsTable[GroupByKey]=DiscreteStatsTable[[#This Row],[GroupByKey]]),(DiscreteStatsTable[GroupByKey]=DiscreteStatsTable[[#This Row],[GroupByKey]])*DiscreteStatsTable[Average])),0)</f>
        <v>0</v>
      </c>
      <c r="P330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0" cm="1">
        <f t="array" ref="R330">MIN(IF((DiscreteStatsTable[GroupByKey]=DiscreteStatsTable[[#This Row],[GroupByKey]]),(DiscreteStatsTable[GroupByKey]=DiscreteStatsTable[[#This Row],[GroupByKey]])*DiscreteStatsTable[Average]))</f>
        <v>0</v>
      </c>
      <c r="S330" cm="1">
        <f t="array" ref="S330">MAX(IF((DiscreteStatsTable[GroupByKey]=DiscreteStatsTable[[#This Row],[GroupByKey]]),(DiscreteStatsTable[GroupByKey]=DiscreteStatsTable[[#This Row],[GroupByKey]])*DiscreteStatsTable[Average]))</f>
        <v>0</v>
      </c>
      <c r="T330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cm="1">
        <f t="array" ref="U330">MAX(IF((DiscreteStatsTable[GroupByKey]=DiscreteStatsTable[[#This Row],[GroupByKey]]),(DiscreteStatsTable[GroupByKey]=DiscreteStatsTable[[#This Row],[GroupByKey]])*DiscreteStatsTable[Maximum]))</f>
        <v>0</v>
      </c>
      <c r="V330" cm="1">
        <f t="array" ref="V330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30">
        <f>IF((DiscreteStatsTable[[#This Row],[RepsRequested]]&gt;1),DiscreteStatsTable[[#This Row],[HalfWidth]],DiscreteStatsTable[[#This Row],[BatchMeansHalfWidth]])</f>
        <v>0</v>
      </c>
      <c r="X330" cm="1">
        <f t="array" ref="X330">COUNT(IF((DiscreteStatsTable[GroupByKey]=DiscreteStatsTable[[#This Row],[GroupByKey]]),(DiscreteStatsTable[GroupByKey]=DiscreteStatsTable[[#This Row],[GroupByKey]])*DiscreteStatsTable[Replication]))</f>
        <v>30</v>
      </c>
      <c r="Y330">
        <f>IF(DiscreteStatsTable[[#This Row],[RepsRequested]]=DiscreteStatsTable[[#This Row],[RepsWithStatObserved]],1,0)</f>
        <v>1</v>
      </c>
    </row>
    <row r="331" spans="1:25" x14ac:dyDescent="0.2">
      <c r="A331" t="s">
        <v>67</v>
      </c>
      <c r="B331" t="s">
        <v>70</v>
      </c>
      <c r="C331">
        <v>30</v>
      </c>
      <c r="D331" t="s">
        <v>83</v>
      </c>
      <c r="E331" t="s">
        <v>84</v>
      </c>
      <c r="F331" t="s">
        <v>85</v>
      </c>
      <c r="G331">
        <v>0</v>
      </c>
      <c r="H331">
        <v>2E+20</v>
      </c>
      <c r="I331">
        <v>0</v>
      </c>
      <c r="J331">
        <v>0</v>
      </c>
      <c r="K331">
        <v>278</v>
      </c>
      <c r="L331" t="str">
        <f>DiscreteStatsTable[[#This Row],[ProjectName]]&amp;DiscreteStatsTable[[#This Row],[Name]]&amp;DiscreteStatsTable[[#This Row],[Type]]&amp;DiscreteStatsTable[[#This Row],[Source]]</f>
        <v>Unnamed ProjectInsideWaitTimeIntervalUser Specified</v>
      </c>
      <c r="M331" cm="1">
        <f t="array" ref="M331">MAX(IF((ProjectInfoTable[ProjectName]=DiscreteStatsTable[[#This Row],[ProjectName]]),(ProjectInfoTable[ProjectName]=DiscreteStatsTable[[#This Row],[ProjectName]])*ProjectInfoTable[NumberOfReplications]))</f>
        <v>30</v>
      </c>
      <c r="N331" cm="1">
        <f t="array" ref="N331">IFERROR(AVERAGE(IF((DiscreteStatsTable[GroupByKey]=DiscreteStatsTable[[#This Row],[GroupByKey]]),(DiscreteStatsTable[GroupByKey]=DiscreteStatsTable[[#This Row],[GroupByKey]])*DiscreteStatsTable[Average])),0)</f>
        <v>0</v>
      </c>
      <c r="O331" cm="1">
        <f t="array" ref="O331">IFERROR(_xlfn.STDEV.S(IF((DiscreteStatsTable[GroupByKey]=DiscreteStatsTable[[#This Row],[GroupByKey]]),(DiscreteStatsTable[GroupByKey]=DiscreteStatsTable[[#This Row],[GroupByKey]])*DiscreteStatsTable[Average])),0)</f>
        <v>0</v>
      </c>
      <c r="P331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1" cm="1">
        <f t="array" ref="R331">MIN(IF((DiscreteStatsTable[GroupByKey]=DiscreteStatsTable[[#This Row],[GroupByKey]]),(DiscreteStatsTable[GroupByKey]=DiscreteStatsTable[[#This Row],[GroupByKey]])*DiscreteStatsTable[Average]))</f>
        <v>0</v>
      </c>
      <c r="S331" cm="1">
        <f t="array" ref="S331">MAX(IF((DiscreteStatsTable[GroupByKey]=DiscreteStatsTable[[#This Row],[GroupByKey]]),(DiscreteStatsTable[GroupByKey]=DiscreteStatsTable[[#This Row],[GroupByKey]])*DiscreteStatsTable[Average]))</f>
        <v>0</v>
      </c>
      <c r="T331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cm="1">
        <f t="array" ref="U331">MAX(IF((DiscreteStatsTable[GroupByKey]=DiscreteStatsTable[[#This Row],[GroupByKey]]),(DiscreteStatsTable[GroupByKey]=DiscreteStatsTable[[#This Row],[GroupByKey]])*DiscreteStatsTable[Maximum]))</f>
        <v>0</v>
      </c>
      <c r="V331" cm="1">
        <f t="array" ref="V331">IFERROR(AVERAGE(IF((DiscreteStatsTable[GroupByKey]=DiscreteStatsTable[[#This Row],[GroupByKey]]),(DiscreteStatsTable[GroupByKey]=DiscreteStatsTable[[#This Row],[GroupByKey]])*DiscreteStatsTable[NumberObservations])),0)</f>
        <v>297.83333333333331</v>
      </c>
      <c r="W331">
        <f>IF((DiscreteStatsTable[[#This Row],[RepsRequested]]&gt;1),DiscreteStatsTable[[#This Row],[HalfWidth]],DiscreteStatsTable[[#This Row],[BatchMeansHalfWidth]])</f>
        <v>0</v>
      </c>
      <c r="X331" cm="1">
        <f t="array" ref="X331">COUNT(IF((DiscreteStatsTable[GroupByKey]=DiscreteStatsTable[[#This Row],[GroupByKey]]),(DiscreteStatsTable[GroupByKey]=DiscreteStatsTable[[#This Row],[GroupByKey]])*DiscreteStatsTable[Replication]))</f>
        <v>30</v>
      </c>
      <c r="Y331">
        <f>IF(DiscreteStatsTable[[#This Row],[RepsRequested]]=DiscreteStatsTable[[#This Row],[RepsWithStatObserved]],1,0)</f>
        <v>1</v>
      </c>
    </row>
    <row r="332" spans="1:25" x14ac:dyDescent="0.2">
      <c r="A332" t="s">
        <v>67</v>
      </c>
      <c r="B332" t="s">
        <v>70</v>
      </c>
      <c r="C332">
        <v>1</v>
      </c>
      <c r="D332" t="s">
        <v>88</v>
      </c>
      <c r="E332" t="s">
        <v>72</v>
      </c>
      <c r="F332" t="s">
        <v>73</v>
      </c>
      <c r="G332">
        <v>5.9730901863241304</v>
      </c>
      <c r="H332">
        <v>0.48802016130708897</v>
      </c>
      <c r="I332">
        <v>0</v>
      </c>
      <c r="J332">
        <v>41.278008324558002</v>
      </c>
      <c r="K332">
        <v>572</v>
      </c>
      <c r="L332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32" cm="1">
        <f t="array" ref="M332">MAX(IF((ProjectInfoTable[ProjectName]=DiscreteStatsTable[[#This Row],[ProjectName]]),(ProjectInfoTable[ProjectName]=DiscreteStatsTable[[#This Row],[ProjectName]])*ProjectInfoTable[NumberOfReplications]))</f>
        <v>30</v>
      </c>
      <c r="N332" cm="1">
        <f t="array" ref="N332">IFERROR(AVERAGE(IF((DiscreteStatsTable[GroupByKey]=DiscreteStatsTable[[#This Row],[GroupByKey]]),(DiscreteStatsTable[GroupByKey]=DiscreteStatsTable[[#This Row],[GroupByKey]])*DiscreteStatsTable[Average])),0)</f>
        <v>6.0049421733661612</v>
      </c>
      <c r="O332" cm="1">
        <f t="array" ref="O332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32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32" cm="1">
        <f t="array" ref="R332">MIN(IF((DiscreteStatsTable[GroupByKey]=DiscreteStatsTable[[#This Row],[GroupByKey]]),(DiscreteStatsTable[GroupByKey]=DiscreteStatsTable[[#This Row],[GroupByKey]])*DiscreteStatsTable[Average]))</f>
        <v>5.3825028312479199</v>
      </c>
      <c r="S332" cm="1">
        <f t="array" ref="S332">MAX(IF((DiscreteStatsTable[GroupByKey]=DiscreteStatsTable[[#This Row],[GroupByKey]]),(DiscreteStatsTable[GroupByKey]=DiscreteStatsTable[[#This Row],[GroupByKey]])*DiscreteStatsTable[Average]))</f>
        <v>6.5292240865565203</v>
      </c>
      <c r="T332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cm="1">
        <f t="array" ref="U332">MAX(IF((DiscreteStatsTable[GroupByKey]=DiscreteStatsTable[[#This Row],[GroupByKey]]),(DiscreteStatsTable[GroupByKey]=DiscreteStatsTable[[#This Row],[GroupByKey]])*DiscreteStatsTable[Maximum]))</f>
        <v>63.0529476552218</v>
      </c>
      <c r="V332" cm="1">
        <f t="array" ref="V332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32">
        <f>IF((DiscreteStatsTable[[#This Row],[RepsRequested]]&gt;1),DiscreteStatsTable[[#This Row],[HalfWidth]],DiscreteStatsTable[[#This Row],[BatchMeansHalfWidth]])</f>
        <v>0.11124734756192418</v>
      </c>
      <c r="X332" cm="1">
        <f t="array" ref="X332">COUNT(IF((DiscreteStatsTable[GroupByKey]=DiscreteStatsTable[[#This Row],[GroupByKey]]),(DiscreteStatsTable[GroupByKey]=DiscreteStatsTable[[#This Row],[GroupByKey]])*DiscreteStatsTable[Replication]))</f>
        <v>30</v>
      </c>
      <c r="Y332">
        <f>IF(DiscreteStatsTable[[#This Row],[RepsRequested]]=DiscreteStatsTable[[#This Row],[RepsWithStatObserved]],1,0)</f>
        <v>1</v>
      </c>
    </row>
    <row r="333" spans="1:25" x14ac:dyDescent="0.2">
      <c r="A333" t="s">
        <v>67</v>
      </c>
      <c r="B333" t="s">
        <v>70</v>
      </c>
      <c r="C333">
        <v>2</v>
      </c>
      <c r="D333" t="s">
        <v>88</v>
      </c>
      <c r="E333" t="s">
        <v>72</v>
      </c>
      <c r="F333" t="s">
        <v>73</v>
      </c>
      <c r="G333">
        <v>5.92117278516388</v>
      </c>
      <c r="H333">
        <v>3E+20</v>
      </c>
      <c r="I333">
        <v>0</v>
      </c>
      <c r="J333">
        <v>40.974624627196398</v>
      </c>
      <c r="K333">
        <v>584</v>
      </c>
      <c r="L333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33" cm="1">
        <f t="array" ref="M333">MAX(IF((ProjectInfoTable[ProjectName]=DiscreteStatsTable[[#This Row],[ProjectName]]),(ProjectInfoTable[ProjectName]=DiscreteStatsTable[[#This Row],[ProjectName]])*ProjectInfoTable[NumberOfReplications]))</f>
        <v>30</v>
      </c>
      <c r="N333" cm="1">
        <f t="array" ref="N333">IFERROR(AVERAGE(IF((DiscreteStatsTable[GroupByKey]=DiscreteStatsTable[[#This Row],[GroupByKey]]),(DiscreteStatsTable[GroupByKey]=DiscreteStatsTable[[#This Row],[GroupByKey]])*DiscreteStatsTable[Average])),0)</f>
        <v>6.0049421733661612</v>
      </c>
      <c r="O333" cm="1">
        <f t="array" ref="O333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33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33" cm="1">
        <f t="array" ref="R333">MIN(IF((DiscreteStatsTable[GroupByKey]=DiscreteStatsTable[[#This Row],[GroupByKey]]),(DiscreteStatsTable[GroupByKey]=DiscreteStatsTable[[#This Row],[GroupByKey]])*DiscreteStatsTable[Average]))</f>
        <v>5.3825028312479199</v>
      </c>
      <c r="S333" cm="1">
        <f t="array" ref="S333">MAX(IF((DiscreteStatsTable[GroupByKey]=DiscreteStatsTable[[#This Row],[GroupByKey]]),(DiscreteStatsTable[GroupByKey]=DiscreteStatsTable[[#This Row],[GroupByKey]])*DiscreteStatsTable[Average]))</f>
        <v>6.5292240865565203</v>
      </c>
      <c r="T333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cm="1">
        <f t="array" ref="U333">MAX(IF((DiscreteStatsTable[GroupByKey]=DiscreteStatsTable[[#This Row],[GroupByKey]]),(DiscreteStatsTable[GroupByKey]=DiscreteStatsTable[[#This Row],[GroupByKey]])*DiscreteStatsTable[Maximum]))</f>
        <v>63.0529476552218</v>
      </c>
      <c r="V333" cm="1">
        <f t="array" ref="V333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33">
        <f>IF((DiscreteStatsTable[[#This Row],[RepsRequested]]&gt;1),DiscreteStatsTable[[#This Row],[HalfWidth]],DiscreteStatsTable[[#This Row],[BatchMeansHalfWidth]])</f>
        <v>0.11124734756192418</v>
      </c>
      <c r="X333" cm="1">
        <f t="array" ref="X333">COUNT(IF((DiscreteStatsTable[GroupByKey]=DiscreteStatsTable[[#This Row],[GroupByKey]]),(DiscreteStatsTable[GroupByKey]=DiscreteStatsTable[[#This Row],[GroupByKey]])*DiscreteStatsTable[Replication]))</f>
        <v>30</v>
      </c>
      <c r="Y333">
        <f>IF(DiscreteStatsTable[[#This Row],[RepsRequested]]=DiscreteStatsTable[[#This Row],[RepsWithStatObserved]],1,0)</f>
        <v>1</v>
      </c>
    </row>
    <row r="334" spans="1:25" x14ac:dyDescent="0.2">
      <c r="A334" t="s">
        <v>67</v>
      </c>
      <c r="B334" t="s">
        <v>70</v>
      </c>
      <c r="C334">
        <v>3</v>
      </c>
      <c r="D334" t="s">
        <v>88</v>
      </c>
      <c r="E334" t="s">
        <v>72</v>
      </c>
      <c r="F334" t="s">
        <v>73</v>
      </c>
      <c r="G334">
        <v>6.0221754902243099</v>
      </c>
      <c r="H334">
        <v>0.61647466902840198</v>
      </c>
      <c r="I334">
        <v>0</v>
      </c>
      <c r="J334">
        <v>38.883907813045198</v>
      </c>
      <c r="K334">
        <v>564</v>
      </c>
      <c r="L334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34" cm="1">
        <f t="array" ref="M334">MAX(IF((ProjectInfoTable[ProjectName]=DiscreteStatsTable[[#This Row],[ProjectName]]),(ProjectInfoTable[ProjectName]=DiscreteStatsTable[[#This Row],[ProjectName]])*ProjectInfoTable[NumberOfReplications]))</f>
        <v>30</v>
      </c>
      <c r="N334" cm="1">
        <f t="array" ref="N334">IFERROR(AVERAGE(IF((DiscreteStatsTable[GroupByKey]=DiscreteStatsTable[[#This Row],[GroupByKey]]),(DiscreteStatsTable[GroupByKey]=DiscreteStatsTable[[#This Row],[GroupByKey]])*DiscreteStatsTable[Average])),0)</f>
        <v>6.0049421733661612</v>
      </c>
      <c r="O334" cm="1">
        <f t="array" ref="O334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34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34" cm="1">
        <f t="array" ref="R334">MIN(IF((DiscreteStatsTable[GroupByKey]=DiscreteStatsTable[[#This Row],[GroupByKey]]),(DiscreteStatsTable[GroupByKey]=DiscreteStatsTable[[#This Row],[GroupByKey]])*DiscreteStatsTable[Average]))</f>
        <v>5.3825028312479199</v>
      </c>
      <c r="S334" cm="1">
        <f t="array" ref="S334">MAX(IF((DiscreteStatsTable[GroupByKey]=DiscreteStatsTable[[#This Row],[GroupByKey]]),(DiscreteStatsTable[GroupByKey]=DiscreteStatsTable[[#This Row],[GroupByKey]])*DiscreteStatsTable[Average]))</f>
        <v>6.5292240865565203</v>
      </c>
      <c r="T334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cm="1">
        <f t="array" ref="U334">MAX(IF((DiscreteStatsTable[GroupByKey]=DiscreteStatsTable[[#This Row],[GroupByKey]]),(DiscreteStatsTable[GroupByKey]=DiscreteStatsTable[[#This Row],[GroupByKey]])*DiscreteStatsTable[Maximum]))</f>
        <v>63.0529476552218</v>
      </c>
      <c r="V334" cm="1">
        <f t="array" ref="V334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34">
        <f>IF((DiscreteStatsTable[[#This Row],[RepsRequested]]&gt;1),DiscreteStatsTable[[#This Row],[HalfWidth]],DiscreteStatsTable[[#This Row],[BatchMeansHalfWidth]])</f>
        <v>0.11124734756192418</v>
      </c>
      <c r="X334" cm="1">
        <f t="array" ref="X334">COUNT(IF((DiscreteStatsTable[GroupByKey]=DiscreteStatsTable[[#This Row],[GroupByKey]]),(DiscreteStatsTable[GroupByKey]=DiscreteStatsTable[[#This Row],[GroupByKey]])*DiscreteStatsTable[Replication]))</f>
        <v>30</v>
      </c>
      <c r="Y334">
        <f>IF(DiscreteStatsTable[[#This Row],[RepsRequested]]=DiscreteStatsTable[[#This Row],[RepsWithStatObserved]],1,0)</f>
        <v>1</v>
      </c>
    </row>
    <row r="335" spans="1:25" x14ac:dyDescent="0.2">
      <c r="A335" t="s">
        <v>67</v>
      </c>
      <c r="B335" t="s">
        <v>70</v>
      </c>
      <c r="C335">
        <v>4</v>
      </c>
      <c r="D335" t="s">
        <v>88</v>
      </c>
      <c r="E335" t="s">
        <v>72</v>
      </c>
      <c r="F335" t="s">
        <v>73</v>
      </c>
      <c r="G335">
        <v>5.6006007739427002</v>
      </c>
      <c r="H335">
        <v>0.438471619184574</v>
      </c>
      <c r="I335">
        <v>0</v>
      </c>
      <c r="J335">
        <v>34.481000388664398</v>
      </c>
      <c r="K335">
        <v>624</v>
      </c>
      <c r="L335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35" cm="1">
        <f t="array" ref="M335">MAX(IF((ProjectInfoTable[ProjectName]=DiscreteStatsTable[[#This Row],[ProjectName]]),(ProjectInfoTable[ProjectName]=DiscreteStatsTable[[#This Row],[ProjectName]])*ProjectInfoTable[NumberOfReplications]))</f>
        <v>30</v>
      </c>
      <c r="N335" cm="1">
        <f t="array" ref="N335">IFERROR(AVERAGE(IF((DiscreteStatsTable[GroupByKey]=DiscreteStatsTable[[#This Row],[GroupByKey]]),(DiscreteStatsTable[GroupByKey]=DiscreteStatsTable[[#This Row],[GroupByKey]])*DiscreteStatsTable[Average])),0)</f>
        <v>6.0049421733661612</v>
      </c>
      <c r="O335" cm="1">
        <f t="array" ref="O335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3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35" cm="1">
        <f t="array" ref="R335">MIN(IF((DiscreteStatsTable[GroupByKey]=DiscreteStatsTable[[#This Row],[GroupByKey]]),(DiscreteStatsTable[GroupByKey]=DiscreteStatsTable[[#This Row],[GroupByKey]])*DiscreteStatsTable[Average]))</f>
        <v>5.3825028312479199</v>
      </c>
      <c r="S335" cm="1">
        <f t="array" ref="S335">MAX(IF((DiscreteStatsTable[GroupByKey]=DiscreteStatsTable[[#This Row],[GroupByKey]]),(DiscreteStatsTable[GroupByKey]=DiscreteStatsTable[[#This Row],[GroupByKey]])*DiscreteStatsTable[Average]))</f>
        <v>6.5292240865565203</v>
      </c>
      <c r="T33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cm="1">
        <f t="array" ref="U335">MAX(IF((DiscreteStatsTable[GroupByKey]=DiscreteStatsTable[[#This Row],[GroupByKey]]),(DiscreteStatsTable[GroupByKey]=DiscreteStatsTable[[#This Row],[GroupByKey]])*DiscreteStatsTable[Maximum]))</f>
        <v>63.0529476552218</v>
      </c>
      <c r="V335" cm="1">
        <f t="array" ref="V335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35">
        <f>IF((DiscreteStatsTable[[#This Row],[RepsRequested]]&gt;1),DiscreteStatsTable[[#This Row],[HalfWidth]],DiscreteStatsTable[[#This Row],[BatchMeansHalfWidth]])</f>
        <v>0.11124734756192418</v>
      </c>
      <c r="X335" cm="1">
        <f t="array" ref="X335">COUNT(IF((DiscreteStatsTable[GroupByKey]=DiscreteStatsTable[[#This Row],[GroupByKey]]),(DiscreteStatsTable[GroupByKey]=DiscreteStatsTable[[#This Row],[GroupByKey]])*DiscreteStatsTable[Replication]))</f>
        <v>30</v>
      </c>
      <c r="Y335">
        <f>IF(DiscreteStatsTable[[#This Row],[RepsRequested]]=DiscreteStatsTable[[#This Row],[RepsWithStatObserved]],1,0)</f>
        <v>1</v>
      </c>
    </row>
    <row r="336" spans="1:25" x14ac:dyDescent="0.2">
      <c r="A336" t="s">
        <v>67</v>
      </c>
      <c r="B336" t="s">
        <v>70</v>
      </c>
      <c r="C336">
        <v>5</v>
      </c>
      <c r="D336" t="s">
        <v>88</v>
      </c>
      <c r="E336" t="s">
        <v>72</v>
      </c>
      <c r="F336" t="s">
        <v>73</v>
      </c>
      <c r="G336">
        <v>5.6103006645712998</v>
      </c>
      <c r="H336">
        <v>0.67202766212777798</v>
      </c>
      <c r="I336">
        <v>0</v>
      </c>
      <c r="J336">
        <v>31.8825232660183</v>
      </c>
      <c r="K336">
        <v>572</v>
      </c>
      <c r="L336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36" cm="1">
        <f t="array" ref="M336">MAX(IF((ProjectInfoTable[ProjectName]=DiscreteStatsTable[[#This Row],[ProjectName]]),(ProjectInfoTable[ProjectName]=DiscreteStatsTable[[#This Row],[ProjectName]])*ProjectInfoTable[NumberOfReplications]))</f>
        <v>30</v>
      </c>
      <c r="N336" cm="1">
        <f t="array" ref="N336">IFERROR(AVERAGE(IF((DiscreteStatsTable[GroupByKey]=DiscreteStatsTable[[#This Row],[GroupByKey]]),(DiscreteStatsTable[GroupByKey]=DiscreteStatsTable[[#This Row],[GroupByKey]])*DiscreteStatsTable[Average])),0)</f>
        <v>6.0049421733661612</v>
      </c>
      <c r="O336" cm="1">
        <f t="array" ref="O336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36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36" cm="1">
        <f t="array" ref="R336">MIN(IF((DiscreteStatsTable[GroupByKey]=DiscreteStatsTable[[#This Row],[GroupByKey]]),(DiscreteStatsTable[GroupByKey]=DiscreteStatsTable[[#This Row],[GroupByKey]])*DiscreteStatsTable[Average]))</f>
        <v>5.3825028312479199</v>
      </c>
      <c r="S336" cm="1">
        <f t="array" ref="S336">MAX(IF((DiscreteStatsTable[GroupByKey]=DiscreteStatsTable[[#This Row],[GroupByKey]]),(DiscreteStatsTable[GroupByKey]=DiscreteStatsTable[[#This Row],[GroupByKey]])*DiscreteStatsTable[Average]))</f>
        <v>6.5292240865565203</v>
      </c>
      <c r="T336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cm="1">
        <f t="array" ref="U336">MAX(IF((DiscreteStatsTable[GroupByKey]=DiscreteStatsTable[[#This Row],[GroupByKey]]),(DiscreteStatsTable[GroupByKey]=DiscreteStatsTable[[#This Row],[GroupByKey]])*DiscreteStatsTable[Maximum]))</f>
        <v>63.0529476552218</v>
      </c>
      <c r="V336" cm="1">
        <f t="array" ref="V336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36">
        <f>IF((DiscreteStatsTable[[#This Row],[RepsRequested]]&gt;1),DiscreteStatsTable[[#This Row],[HalfWidth]],DiscreteStatsTable[[#This Row],[BatchMeansHalfWidth]])</f>
        <v>0.11124734756192418</v>
      </c>
      <c r="X336" cm="1">
        <f t="array" ref="X336">COUNT(IF((DiscreteStatsTable[GroupByKey]=DiscreteStatsTable[[#This Row],[GroupByKey]]),(DiscreteStatsTable[GroupByKey]=DiscreteStatsTable[[#This Row],[GroupByKey]])*DiscreteStatsTable[Replication]))</f>
        <v>30</v>
      </c>
      <c r="Y336">
        <f>IF(DiscreteStatsTable[[#This Row],[RepsRequested]]=DiscreteStatsTable[[#This Row],[RepsWithStatObserved]],1,0)</f>
        <v>1</v>
      </c>
    </row>
    <row r="337" spans="1:25" x14ac:dyDescent="0.2">
      <c r="A337" t="s">
        <v>67</v>
      </c>
      <c r="B337" t="s">
        <v>70</v>
      </c>
      <c r="C337">
        <v>6</v>
      </c>
      <c r="D337" t="s">
        <v>88</v>
      </c>
      <c r="E337" t="s">
        <v>72</v>
      </c>
      <c r="F337" t="s">
        <v>73</v>
      </c>
      <c r="G337">
        <v>5.62475269299307</v>
      </c>
      <c r="H337">
        <v>0.44865445148885802</v>
      </c>
      <c r="I337">
        <v>0</v>
      </c>
      <c r="J337">
        <v>32.947849814202499</v>
      </c>
      <c r="K337">
        <v>640</v>
      </c>
      <c r="L337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37" cm="1">
        <f t="array" ref="M337">MAX(IF((ProjectInfoTable[ProjectName]=DiscreteStatsTable[[#This Row],[ProjectName]]),(ProjectInfoTable[ProjectName]=DiscreteStatsTable[[#This Row],[ProjectName]])*ProjectInfoTable[NumberOfReplications]))</f>
        <v>30</v>
      </c>
      <c r="N337" cm="1">
        <f t="array" ref="N337">IFERROR(AVERAGE(IF((DiscreteStatsTable[GroupByKey]=DiscreteStatsTable[[#This Row],[GroupByKey]]),(DiscreteStatsTable[GroupByKey]=DiscreteStatsTable[[#This Row],[GroupByKey]])*DiscreteStatsTable[Average])),0)</f>
        <v>6.0049421733661612</v>
      </c>
      <c r="O337" cm="1">
        <f t="array" ref="O337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37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37" cm="1">
        <f t="array" ref="R337">MIN(IF((DiscreteStatsTable[GroupByKey]=DiscreteStatsTable[[#This Row],[GroupByKey]]),(DiscreteStatsTable[GroupByKey]=DiscreteStatsTable[[#This Row],[GroupByKey]])*DiscreteStatsTable[Average]))</f>
        <v>5.3825028312479199</v>
      </c>
      <c r="S337" cm="1">
        <f t="array" ref="S337">MAX(IF((DiscreteStatsTable[GroupByKey]=DiscreteStatsTable[[#This Row],[GroupByKey]]),(DiscreteStatsTable[GroupByKey]=DiscreteStatsTable[[#This Row],[GroupByKey]])*DiscreteStatsTable[Average]))</f>
        <v>6.5292240865565203</v>
      </c>
      <c r="T337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cm="1">
        <f t="array" ref="U337">MAX(IF((DiscreteStatsTable[GroupByKey]=DiscreteStatsTable[[#This Row],[GroupByKey]]),(DiscreteStatsTable[GroupByKey]=DiscreteStatsTable[[#This Row],[GroupByKey]])*DiscreteStatsTable[Maximum]))</f>
        <v>63.0529476552218</v>
      </c>
      <c r="V337" cm="1">
        <f t="array" ref="V337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37">
        <f>IF((DiscreteStatsTable[[#This Row],[RepsRequested]]&gt;1),DiscreteStatsTable[[#This Row],[HalfWidth]],DiscreteStatsTable[[#This Row],[BatchMeansHalfWidth]])</f>
        <v>0.11124734756192418</v>
      </c>
      <c r="X337" cm="1">
        <f t="array" ref="X337">COUNT(IF((DiscreteStatsTable[GroupByKey]=DiscreteStatsTable[[#This Row],[GroupByKey]]),(DiscreteStatsTable[GroupByKey]=DiscreteStatsTable[[#This Row],[GroupByKey]])*DiscreteStatsTable[Replication]))</f>
        <v>30</v>
      </c>
      <c r="Y337">
        <f>IF(DiscreteStatsTable[[#This Row],[RepsRequested]]=DiscreteStatsTable[[#This Row],[RepsWithStatObserved]],1,0)</f>
        <v>1</v>
      </c>
    </row>
    <row r="338" spans="1:25" x14ac:dyDescent="0.2">
      <c r="A338" t="s">
        <v>67</v>
      </c>
      <c r="B338" t="s">
        <v>70</v>
      </c>
      <c r="C338">
        <v>7</v>
      </c>
      <c r="D338" t="s">
        <v>88</v>
      </c>
      <c r="E338" t="s">
        <v>72</v>
      </c>
      <c r="F338" t="s">
        <v>73</v>
      </c>
      <c r="G338">
        <v>6.2503438228282198</v>
      </c>
      <c r="H338">
        <v>0.70321346282431896</v>
      </c>
      <c r="I338">
        <v>0</v>
      </c>
      <c r="J338">
        <v>48.4918065483837</v>
      </c>
      <c r="K338">
        <v>528</v>
      </c>
      <c r="L338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38" cm="1">
        <f t="array" ref="M338">MAX(IF((ProjectInfoTable[ProjectName]=DiscreteStatsTable[[#This Row],[ProjectName]]),(ProjectInfoTable[ProjectName]=DiscreteStatsTable[[#This Row],[ProjectName]])*ProjectInfoTable[NumberOfReplications]))</f>
        <v>30</v>
      </c>
      <c r="N338" cm="1">
        <f t="array" ref="N338">IFERROR(AVERAGE(IF((DiscreteStatsTable[GroupByKey]=DiscreteStatsTable[[#This Row],[GroupByKey]]),(DiscreteStatsTable[GroupByKey]=DiscreteStatsTable[[#This Row],[GroupByKey]])*DiscreteStatsTable[Average])),0)</f>
        <v>6.0049421733661612</v>
      </c>
      <c r="O338" cm="1">
        <f t="array" ref="O338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38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38" cm="1">
        <f t="array" ref="R338">MIN(IF((DiscreteStatsTable[GroupByKey]=DiscreteStatsTable[[#This Row],[GroupByKey]]),(DiscreteStatsTable[GroupByKey]=DiscreteStatsTable[[#This Row],[GroupByKey]])*DiscreteStatsTable[Average]))</f>
        <v>5.3825028312479199</v>
      </c>
      <c r="S338" cm="1">
        <f t="array" ref="S338">MAX(IF((DiscreteStatsTable[GroupByKey]=DiscreteStatsTable[[#This Row],[GroupByKey]]),(DiscreteStatsTable[GroupByKey]=DiscreteStatsTable[[#This Row],[GroupByKey]])*DiscreteStatsTable[Average]))</f>
        <v>6.5292240865565203</v>
      </c>
      <c r="T338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cm="1">
        <f t="array" ref="U338">MAX(IF((DiscreteStatsTable[GroupByKey]=DiscreteStatsTable[[#This Row],[GroupByKey]]),(DiscreteStatsTable[GroupByKey]=DiscreteStatsTable[[#This Row],[GroupByKey]])*DiscreteStatsTable[Maximum]))</f>
        <v>63.0529476552218</v>
      </c>
      <c r="V338" cm="1">
        <f t="array" ref="V338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38">
        <f>IF((DiscreteStatsTable[[#This Row],[RepsRequested]]&gt;1),DiscreteStatsTable[[#This Row],[HalfWidth]],DiscreteStatsTable[[#This Row],[BatchMeansHalfWidth]])</f>
        <v>0.11124734756192418</v>
      </c>
      <c r="X338" cm="1">
        <f t="array" ref="X338">COUNT(IF((DiscreteStatsTable[GroupByKey]=DiscreteStatsTable[[#This Row],[GroupByKey]]),(DiscreteStatsTable[GroupByKey]=DiscreteStatsTable[[#This Row],[GroupByKey]])*DiscreteStatsTable[Replication]))</f>
        <v>30</v>
      </c>
      <c r="Y338">
        <f>IF(DiscreteStatsTable[[#This Row],[RepsRequested]]=DiscreteStatsTable[[#This Row],[RepsWithStatObserved]],1,0)</f>
        <v>1</v>
      </c>
    </row>
    <row r="339" spans="1:25" x14ac:dyDescent="0.2">
      <c r="A339" t="s">
        <v>67</v>
      </c>
      <c r="B339" t="s">
        <v>70</v>
      </c>
      <c r="C339">
        <v>8</v>
      </c>
      <c r="D339" t="s">
        <v>88</v>
      </c>
      <c r="E339" t="s">
        <v>72</v>
      </c>
      <c r="F339" t="s">
        <v>73</v>
      </c>
      <c r="G339">
        <v>6.1834141794963502</v>
      </c>
      <c r="H339">
        <v>0.60595187930640404</v>
      </c>
      <c r="I339">
        <v>0</v>
      </c>
      <c r="J339">
        <v>32.993159262997096</v>
      </c>
      <c r="K339">
        <v>568</v>
      </c>
      <c r="L339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39" cm="1">
        <f t="array" ref="M339">MAX(IF((ProjectInfoTable[ProjectName]=DiscreteStatsTable[[#This Row],[ProjectName]]),(ProjectInfoTable[ProjectName]=DiscreteStatsTable[[#This Row],[ProjectName]])*ProjectInfoTable[NumberOfReplications]))</f>
        <v>30</v>
      </c>
      <c r="N339" cm="1">
        <f t="array" ref="N339">IFERROR(AVERAGE(IF((DiscreteStatsTable[GroupByKey]=DiscreteStatsTable[[#This Row],[GroupByKey]]),(DiscreteStatsTable[GroupByKey]=DiscreteStatsTable[[#This Row],[GroupByKey]])*DiscreteStatsTable[Average])),0)</f>
        <v>6.0049421733661612</v>
      </c>
      <c r="O339" cm="1">
        <f t="array" ref="O339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39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39" cm="1">
        <f t="array" ref="R339">MIN(IF((DiscreteStatsTable[GroupByKey]=DiscreteStatsTable[[#This Row],[GroupByKey]]),(DiscreteStatsTable[GroupByKey]=DiscreteStatsTable[[#This Row],[GroupByKey]])*DiscreteStatsTable[Average]))</f>
        <v>5.3825028312479199</v>
      </c>
      <c r="S339" cm="1">
        <f t="array" ref="S339">MAX(IF((DiscreteStatsTable[GroupByKey]=DiscreteStatsTable[[#This Row],[GroupByKey]]),(DiscreteStatsTable[GroupByKey]=DiscreteStatsTable[[#This Row],[GroupByKey]])*DiscreteStatsTable[Average]))</f>
        <v>6.5292240865565203</v>
      </c>
      <c r="T339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cm="1">
        <f t="array" ref="U339">MAX(IF((DiscreteStatsTable[GroupByKey]=DiscreteStatsTable[[#This Row],[GroupByKey]]),(DiscreteStatsTable[GroupByKey]=DiscreteStatsTable[[#This Row],[GroupByKey]])*DiscreteStatsTable[Maximum]))</f>
        <v>63.0529476552218</v>
      </c>
      <c r="V339" cm="1">
        <f t="array" ref="V339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39">
        <f>IF((DiscreteStatsTable[[#This Row],[RepsRequested]]&gt;1),DiscreteStatsTable[[#This Row],[HalfWidth]],DiscreteStatsTable[[#This Row],[BatchMeansHalfWidth]])</f>
        <v>0.11124734756192418</v>
      </c>
      <c r="X339" cm="1">
        <f t="array" ref="X339">COUNT(IF((DiscreteStatsTable[GroupByKey]=DiscreteStatsTable[[#This Row],[GroupByKey]]),(DiscreteStatsTable[GroupByKey]=DiscreteStatsTable[[#This Row],[GroupByKey]])*DiscreteStatsTable[Replication]))</f>
        <v>30</v>
      </c>
      <c r="Y339">
        <f>IF(DiscreteStatsTable[[#This Row],[RepsRequested]]=DiscreteStatsTable[[#This Row],[RepsWithStatObserved]],1,0)</f>
        <v>1</v>
      </c>
    </row>
    <row r="340" spans="1:25" x14ac:dyDescent="0.2">
      <c r="A340" t="s">
        <v>67</v>
      </c>
      <c r="B340" t="s">
        <v>70</v>
      </c>
      <c r="C340">
        <v>9</v>
      </c>
      <c r="D340" t="s">
        <v>88</v>
      </c>
      <c r="E340" t="s">
        <v>72</v>
      </c>
      <c r="F340" t="s">
        <v>73</v>
      </c>
      <c r="G340">
        <v>6.0793046681262197</v>
      </c>
      <c r="H340">
        <v>0.68061584579791201</v>
      </c>
      <c r="I340">
        <v>0</v>
      </c>
      <c r="J340">
        <v>38.721633966144701</v>
      </c>
      <c r="K340">
        <v>576</v>
      </c>
      <c r="L340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40" cm="1">
        <f t="array" ref="M340">MAX(IF((ProjectInfoTable[ProjectName]=DiscreteStatsTable[[#This Row],[ProjectName]]),(ProjectInfoTable[ProjectName]=DiscreteStatsTable[[#This Row],[ProjectName]])*ProjectInfoTable[NumberOfReplications]))</f>
        <v>30</v>
      </c>
      <c r="N340" cm="1">
        <f t="array" ref="N340">IFERROR(AVERAGE(IF((DiscreteStatsTable[GroupByKey]=DiscreteStatsTable[[#This Row],[GroupByKey]]),(DiscreteStatsTable[GroupByKey]=DiscreteStatsTable[[#This Row],[GroupByKey]])*DiscreteStatsTable[Average])),0)</f>
        <v>6.0049421733661612</v>
      </c>
      <c r="O340" cm="1">
        <f t="array" ref="O340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40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40" cm="1">
        <f t="array" ref="R340">MIN(IF((DiscreteStatsTable[GroupByKey]=DiscreteStatsTable[[#This Row],[GroupByKey]]),(DiscreteStatsTable[GroupByKey]=DiscreteStatsTable[[#This Row],[GroupByKey]])*DiscreteStatsTable[Average]))</f>
        <v>5.3825028312479199</v>
      </c>
      <c r="S340" cm="1">
        <f t="array" ref="S340">MAX(IF((DiscreteStatsTable[GroupByKey]=DiscreteStatsTable[[#This Row],[GroupByKey]]),(DiscreteStatsTable[GroupByKey]=DiscreteStatsTable[[#This Row],[GroupByKey]])*DiscreteStatsTable[Average]))</f>
        <v>6.5292240865565203</v>
      </c>
      <c r="T340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cm="1">
        <f t="array" ref="U340">MAX(IF((DiscreteStatsTable[GroupByKey]=DiscreteStatsTable[[#This Row],[GroupByKey]]),(DiscreteStatsTable[GroupByKey]=DiscreteStatsTable[[#This Row],[GroupByKey]])*DiscreteStatsTable[Maximum]))</f>
        <v>63.0529476552218</v>
      </c>
      <c r="V340" cm="1">
        <f t="array" ref="V340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40">
        <f>IF((DiscreteStatsTable[[#This Row],[RepsRequested]]&gt;1),DiscreteStatsTable[[#This Row],[HalfWidth]],DiscreteStatsTable[[#This Row],[BatchMeansHalfWidth]])</f>
        <v>0.11124734756192418</v>
      </c>
      <c r="X340" cm="1">
        <f t="array" ref="X340">COUNT(IF((DiscreteStatsTable[GroupByKey]=DiscreteStatsTable[[#This Row],[GroupByKey]]),(DiscreteStatsTable[GroupByKey]=DiscreteStatsTable[[#This Row],[GroupByKey]])*DiscreteStatsTable[Replication]))</f>
        <v>30</v>
      </c>
      <c r="Y340">
        <f>IF(DiscreteStatsTable[[#This Row],[RepsRequested]]=DiscreteStatsTable[[#This Row],[RepsWithStatObserved]],1,0)</f>
        <v>1</v>
      </c>
    </row>
    <row r="341" spans="1:25" x14ac:dyDescent="0.2">
      <c r="A341" t="s">
        <v>67</v>
      </c>
      <c r="B341" t="s">
        <v>70</v>
      </c>
      <c r="C341">
        <v>10</v>
      </c>
      <c r="D341" t="s">
        <v>88</v>
      </c>
      <c r="E341" t="s">
        <v>72</v>
      </c>
      <c r="F341" t="s">
        <v>73</v>
      </c>
      <c r="G341">
        <v>6.4702703703378397</v>
      </c>
      <c r="H341">
        <v>0.70792172513002505</v>
      </c>
      <c r="I341">
        <v>0</v>
      </c>
      <c r="J341">
        <v>33.961329456691402</v>
      </c>
      <c r="K341">
        <v>552</v>
      </c>
      <c r="L341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41" cm="1">
        <f t="array" ref="M341">MAX(IF((ProjectInfoTable[ProjectName]=DiscreteStatsTable[[#This Row],[ProjectName]]),(ProjectInfoTable[ProjectName]=DiscreteStatsTable[[#This Row],[ProjectName]])*ProjectInfoTable[NumberOfReplications]))</f>
        <v>30</v>
      </c>
      <c r="N341" cm="1">
        <f t="array" ref="N341">IFERROR(AVERAGE(IF((DiscreteStatsTable[GroupByKey]=DiscreteStatsTable[[#This Row],[GroupByKey]]),(DiscreteStatsTable[GroupByKey]=DiscreteStatsTable[[#This Row],[GroupByKey]])*DiscreteStatsTable[Average])),0)</f>
        <v>6.0049421733661612</v>
      </c>
      <c r="O341" cm="1">
        <f t="array" ref="O341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41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41" cm="1">
        <f t="array" ref="R341">MIN(IF((DiscreteStatsTable[GroupByKey]=DiscreteStatsTable[[#This Row],[GroupByKey]]),(DiscreteStatsTable[GroupByKey]=DiscreteStatsTable[[#This Row],[GroupByKey]])*DiscreteStatsTable[Average]))</f>
        <v>5.3825028312479199</v>
      </c>
      <c r="S341" cm="1">
        <f t="array" ref="S341">MAX(IF((DiscreteStatsTable[GroupByKey]=DiscreteStatsTable[[#This Row],[GroupByKey]]),(DiscreteStatsTable[GroupByKey]=DiscreteStatsTable[[#This Row],[GroupByKey]])*DiscreteStatsTable[Average]))</f>
        <v>6.5292240865565203</v>
      </c>
      <c r="T341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cm="1">
        <f t="array" ref="U341">MAX(IF((DiscreteStatsTable[GroupByKey]=DiscreteStatsTable[[#This Row],[GroupByKey]]),(DiscreteStatsTable[GroupByKey]=DiscreteStatsTable[[#This Row],[GroupByKey]])*DiscreteStatsTable[Maximum]))</f>
        <v>63.0529476552218</v>
      </c>
      <c r="V341" cm="1">
        <f t="array" ref="V341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41">
        <f>IF((DiscreteStatsTable[[#This Row],[RepsRequested]]&gt;1),DiscreteStatsTable[[#This Row],[HalfWidth]],DiscreteStatsTable[[#This Row],[BatchMeansHalfWidth]])</f>
        <v>0.11124734756192418</v>
      </c>
      <c r="X341" cm="1">
        <f t="array" ref="X341">COUNT(IF((DiscreteStatsTable[GroupByKey]=DiscreteStatsTable[[#This Row],[GroupByKey]]),(DiscreteStatsTable[GroupByKey]=DiscreteStatsTable[[#This Row],[GroupByKey]])*DiscreteStatsTable[Replication]))</f>
        <v>30</v>
      </c>
      <c r="Y341">
        <f>IF(DiscreteStatsTable[[#This Row],[RepsRequested]]=DiscreteStatsTable[[#This Row],[RepsWithStatObserved]],1,0)</f>
        <v>1</v>
      </c>
    </row>
    <row r="342" spans="1:25" x14ac:dyDescent="0.2">
      <c r="A342" t="s">
        <v>67</v>
      </c>
      <c r="B342" t="s">
        <v>70</v>
      </c>
      <c r="C342">
        <v>11</v>
      </c>
      <c r="D342" t="s">
        <v>88</v>
      </c>
      <c r="E342" t="s">
        <v>72</v>
      </c>
      <c r="F342" t="s">
        <v>73</v>
      </c>
      <c r="G342">
        <v>5.8494681958954198</v>
      </c>
      <c r="H342">
        <v>0.561423498746628</v>
      </c>
      <c r="I342">
        <v>0</v>
      </c>
      <c r="J342">
        <v>28.601385166632799</v>
      </c>
      <c r="K342">
        <v>584</v>
      </c>
      <c r="L342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42" cm="1">
        <f t="array" ref="M342">MAX(IF((ProjectInfoTable[ProjectName]=DiscreteStatsTable[[#This Row],[ProjectName]]),(ProjectInfoTable[ProjectName]=DiscreteStatsTable[[#This Row],[ProjectName]])*ProjectInfoTable[NumberOfReplications]))</f>
        <v>30</v>
      </c>
      <c r="N342" cm="1">
        <f t="array" ref="N342">IFERROR(AVERAGE(IF((DiscreteStatsTable[GroupByKey]=DiscreteStatsTable[[#This Row],[GroupByKey]]),(DiscreteStatsTable[GroupByKey]=DiscreteStatsTable[[#This Row],[GroupByKey]])*DiscreteStatsTable[Average])),0)</f>
        <v>6.0049421733661612</v>
      </c>
      <c r="O342" cm="1">
        <f t="array" ref="O342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42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42" cm="1">
        <f t="array" ref="R342">MIN(IF((DiscreteStatsTable[GroupByKey]=DiscreteStatsTable[[#This Row],[GroupByKey]]),(DiscreteStatsTable[GroupByKey]=DiscreteStatsTable[[#This Row],[GroupByKey]])*DiscreteStatsTable[Average]))</f>
        <v>5.3825028312479199</v>
      </c>
      <c r="S342" cm="1">
        <f t="array" ref="S342">MAX(IF((DiscreteStatsTable[GroupByKey]=DiscreteStatsTable[[#This Row],[GroupByKey]]),(DiscreteStatsTable[GroupByKey]=DiscreteStatsTable[[#This Row],[GroupByKey]])*DiscreteStatsTable[Average]))</f>
        <v>6.5292240865565203</v>
      </c>
      <c r="T342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cm="1">
        <f t="array" ref="U342">MAX(IF((DiscreteStatsTable[GroupByKey]=DiscreteStatsTable[[#This Row],[GroupByKey]]),(DiscreteStatsTable[GroupByKey]=DiscreteStatsTable[[#This Row],[GroupByKey]])*DiscreteStatsTable[Maximum]))</f>
        <v>63.0529476552218</v>
      </c>
      <c r="V342" cm="1">
        <f t="array" ref="V342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42">
        <f>IF((DiscreteStatsTable[[#This Row],[RepsRequested]]&gt;1),DiscreteStatsTable[[#This Row],[HalfWidth]],DiscreteStatsTable[[#This Row],[BatchMeansHalfWidth]])</f>
        <v>0.11124734756192418</v>
      </c>
      <c r="X342" cm="1">
        <f t="array" ref="X342">COUNT(IF((DiscreteStatsTable[GroupByKey]=DiscreteStatsTable[[#This Row],[GroupByKey]]),(DiscreteStatsTable[GroupByKey]=DiscreteStatsTable[[#This Row],[GroupByKey]])*DiscreteStatsTable[Replication]))</f>
        <v>30</v>
      </c>
      <c r="Y342">
        <f>IF(DiscreteStatsTable[[#This Row],[RepsRequested]]=DiscreteStatsTable[[#This Row],[RepsWithStatObserved]],1,0)</f>
        <v>1</v>
      </c>
    </row>
    <row r="343" spans="1:25" x14ac:dyDescent="0.2">
      <c r="A343" t="s">
        <v>67</v>
      </c>
      <c r="B343" t="s">
        <v>70</v>
      </c>
      <c r="C343">
        <v>12</v>
      </c>
      <c r="D343" t="s">
        <v>88</v>
      </c>
      <c r="E343" t="s">
        <v>72</v>
      </c>
      <c r="F343" t="s">
        <v>73</v>
      </c>
      <c r="G343">
        <v>5.6502053131623597</v>
      </c>
      <c r="H343">
        <v>0.72148326805635798</v>
      </c>
      <c r="I343">
        <v>0</v>
      </c>
      <c r="J343">
        <v>46.632232285569103</v>
      </c>
      <c r="K343">
        <v>592</v>
      </c>
      <c r="L343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43" cm="1">
        <f t="array" ref="M343">MAX(IF((ProjectInfoTable[ProjectName]=DiscreteStatsTable[[#This Row],[ProjectName]]),(ProjectInfoTable[ProjectName]=DiscreteStatsTable[[#This Row],[ProjectName]])*ProjectInfoTable[NumberOfReplications]))</f>
        <v>30</v>
      </c>
      <c r="N343" cm="1">
        <f t="array" ref="N343">IFERROR(AVERAGE(IF((DiscreteStatsTable[GroupByKey]=DiscreteStatsTable[[#This Row],[GroupByKey]]),(DiscreteStatsTable[GroupByKey]=DiscreteStatsTable[[#This Row],[GroupByKey]])*DiscreteStatsTable[Average])),0)</f>
        <v>6.0049421733661612</v>
      </c>
      <c r="O343" cm="1">
        <f t="array" ref="O343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43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43" cm="1">
        <f t="array" ref="R343">MIN(IF((DiscreteStatsTable[GroupByKey]=DiscreteStatsTable[[#This Row],[GroupByKey]]),(DiscreteStatsTable[GroupByKey]=DiscreteStatsTable[[#This Row],[GroupByKey]])*DiscreteStatsTable[Average]))</f>
        <v>5.3825028312479199</v>
      </c>
      <c r="S343" cm="1">
        <f t="array" ref="S343">MAX(IF((DiscreteStatsTable[GroupByKey]=DiscreteStatsTable[[#This Row],[GroupByKey]]),(DiscreteStatsTable[GroupByKey]=DiscreteStatsTable[[#This Row],[GroupByKey]])*DiscreteStatsTable[Average]))</f>
        <v>6.5292240865565203</v>
      </c>
      <c r="T343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cm="1">
        <f t="array" ref="U343">MAX(IF((DiscreteStatsTable[GroupByKey]=DiscreteStatsTable[[#This Row],[GroupByKey]]),(DiscreteStatsTable[GroupByKey]=DiscreteStatsTable[[#This Row],[GroupByKey]])*DiscreteStatsTable[Maximum]))</f>
        <v>63.0529476552218</v>
      </c>
      <c r="V343" cm="1">
        <f t="array" ref="V343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43">
        <f>IF((DiscreteStatsTable[[#This Row],[RepsRequested]]&gt;1),DiscreteStatsTable[[#This Row],[HalfWidth]],DiscreteStatsTable[[#This Row],[BatchMeansHalfWidth]])</f>
        <v>0.11124734756192418</v>
      </c>
      <c r="X343" cm="1">
        <f t="array" ref="X343">COUNT(IF((DiscreteStatsTable[GroupByKey]=DiscreteStatsTable[[#This Row],[GroupByKey]]),(DiscreteStatsTable[GroupByKey]=DiscreteStatsTable[[#This Row],[GroupByKey]])*DiscreteStatsTable[Replication]))</f>
        <v>30</v>
      </c>
      <c r="Y343">
        <f>IF(DiscreteStatsTable[[#This Row],[RepsRequested]]=DiscreteStatsTable[[#This Row],[RepsWithStatObserved]],1,0)</f>
        <v>1</v>
      </c>
    </row>
    <row r="344" spans="1:25" x14ac:dyDescent="0.2">
      <c r="A344" t="s">
        <v>67</v>
      </c>
      <c r="B344" t="s">
        <v>70</v>
      </c>
      <c r="C344">
        <v>13</v>
      </c>
      <c r="D344" t="s">
        <v>88</v>
      </c>
      <c r="E344" t="s">
        <v>72</v>
      </c>
      <c r="F344" t="s">
        <v>73</v>
      </c>
      <c r="G344">
        <v>5.7718012429321002</v>
      </c>
      <c r="H344">
        <v>0.67057574672064801</v>
      </c>
      <c r="I344">
        <v>0</v>
      </c>
      <c r="J344">
        <v>31.2868291278314</v>
      </c>
      <c r="K344">
        <v>588</v>
      </c>
      <c r="L344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44" cm="1">
        <f t="array" ref="M344">MAX(IF((ProjectInfoTable[ProjectName]=DiscreteStatsTable[[#This Row],[ProjectName]]),(ProjectInfoTable[ProjectName]=DiscreteStatsTable[[#This Row],[ProjectName]])*ProjectInfoTable[NumberOfReplications]))</f>
        <v>30</v>
      </c>
      <c r="N344" cm="1">
        <f t="array" ref="N344">IFERROR(AVERAGE(IF((DiscreteStatsTable[GroupByKey]=DiscreteStatsTable[[#This Row],[GroupByKey]]),(DiscreteStatsTable[GroupByKey]=DiscreteStatsTable[[#This Row],[GroupByKey]])*DiscreteStatsTable[Average])),0)</f>
        <v>6.0049421733661612</v>
      </c>
      <c r="O344" cm="1">
        <f t="array" ref="O344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44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44" cm="1">
        <f t="array" ref="R344">MIN(IF((DiscreteStatsTable[GroupByKey]=DiscreteStatsTable[[#This Row],[GroupByKey]]),(DiscreteStatsTable[GroupByKey]=DiscreteStatsTable[[#This Row],[GroupByKey]])*DiscreteStatsTable[Average]))</f>
        <v>5.3825028312479199</v>
      </c>
      <c r="S344" cm="1">
        <f t="array" ref="S344">MAX(IF((DiscreteStatsTable[GroupByKey]=DiscreteStatsTable[[#This Row],[GroupByKey]]),(DiscreteStatsTable[GroupByKey]=DiscreteStatsTable[[#This Row],[GroupByKey]])*DiscreteStatsTable[Average]))</f>
        <v>6.5292240865565203</v>
      </c>
      <c r="T344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cm="1">
        <f t="array" ref="U344">MAX(IF((DiscreteStatsTable[GroupByKey]=DiscreteStatsTable[[#This Row],[GroupByKey]]),(DiscreteStatsTable[GroupByKey]=DiscreteStatsTable[[#This Row],[GroupByKey]])*DiscreteStatsTable[Maximum]))</f>
        <v>63.0529476552218</v>
      </c>
      <c r="V344" cm="1">
        <f t="array" ref="V344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44">
        <f>IF((DiscreteStatsTable[[#This Row],[RepsRequested]]&gt;1),DiscreteStatsTable[[#This Row],[HalfWidth]],DiscreteStatsTable[[#This Row],[BatchMeansHalfWidth]])</f>
        <v>0.11124734756192418</v>
      </c>
      <c r="X344" cm="1">
        <f t="array" ref="X344">COUNT(IF((DiscreteStatsTable[GroupByKey]=DiscreteStatsTable[[#This Row],[GroupByKey]]),(DiscreteStatsTable[GroupByKey]=DiscreteStatsTable[[#This Row],[GroupByKey]])*DiscreteStatsTable[Replication]))</f>
        <v>30</v>
      </c>
      <c r="Y344">
        <f>IF(DiscreteStatsTable[[#This Row],[RepsRequested]]=DiscreteStatsTable[[#This Row],[RepsWithStatObserved]],1,0)</f>
        <v>1</v>
      </c>
    </row>
    <row r="345" spans="1:25" x14ac:dyDescent="0.2">
      <c r="A345" t="s">
        <v>67</v>
      </c>
      <c r="B345" t="s">
        <v>70</v>
      </c>
      <c r="C345">
        <v>14</v>
      </c>
      <c r="D345" t="s">
        <v>88</v>
      </c>
      <c r="E345" t="s">
        <v>72</v>
      </c>
      <c r="F345" t="s">
        <v>73</v>
      </c>
      <c r="G345">
        <v>6.3896141656327403</v>
      </c>
      <c r="H345">
        <v>0.72753169098225901</v>
      </c>
      <c r="I345">
        <v>0</v>
      </c>
      <c r="J345">
        <v>48.283537456393297</v>
      </c>
      <c r="K345">
        <v>548</v>
      </c>
      <c r="L345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45" cm="1">
        <f t="array" ref="M345">MAX(IF((ProjectInfoTable[ProjectName]=DiscreteStatsTable[[#This Row],[ProjectName]]),(ProjectInfoTable[ProjectName]=DiscreteStatsTable[[#This Row],[ProjectName]])*ProjectInfoTable[NumberOfReplications]))</f>
        <v>30</v>
      </c>
      <c r="N345" cm="1">
        <f t="array" ref="N345">IFERROR(AVERAGE(IF((DiscreteStatsTable[GroupByKey]=DiscreteStatsTable[[#This Row],[GroupByKey]]),(DiscreteStatsTable[GroupByKey]=DiscreteStatsTable[[#This Row],[GroupByKey]])*DiscreteStatsTable[Average])),0)</f>
        <v>6.0049421733661612</v>
      </c>
      <c r="O345" cm="1">
        <f t="array" ref="O345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4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45" cm="1">
        <f t="array" ref="R345">MIN(IF((DiscreteStatsTable[GroupByKey]=DiscreteStatsTable[[#This Row],[GroupByKey]]),(DiscreteStatsTable[GroupByKey]=DiscreteStatsTable[[#This Row],[GroupByKey]])*DiscreteStatsTable[Average]))</f>
        <v>5.3825028312479199</v>
      </c>
      <c r="S345" cm="1">
        <f t="array" ref="S345">MAX(IF((DiscreteStatsTable[GroupByKey]=DiscreteStatsTable[[#This Row],[GroupByKey]]),(DiscreteStatsTable[GroupByKey]=DiscreteStatsTable[[#This Row],[GroupByKey]])*DiscreteStatsTable[Average]))</f>
        <v>6.5292240865565203</v>
      </c>
      <c r="T34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cm="1">
        <f t="array" ref="U345">MAX(IF((DiscreteStatsTable[GroupByKey]=DiscreteStatsTable[[#This Row],[GroupByKey]]),(DiscreteStatsTable[GroupByKey]=DiscreteStatsTable[[#This Row],[GroupByKey]])*DiscreteStatsTable[Maximum]))</f>
        <v>63.0529476552218</v>
      </c>
      <c r="V345" cm="1">
        <f t="array" ref="V345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45">
        <f>IF((DiscreteStatsTable[[#This Row],[RepsRequested]]&gt;1),DiscreteStatsTable[[#This Row],[HalfWidth]],DiscreteStatsTable[[#This Row],[BatchMeansHalfWidth]])</f>
        <v>0.11124734756192418</v>
      </c>
      <c r="X345" cm="1">
        <f t="array" ref="X345">COUNT(IF((DiscreteStatsTable[GroupByKey]=DiscreteStatsTable[[#This Row],[GroupByKey]]),(DiscreteStatsTable[GroupByKey]=DiscreteStatsTable[[#This Row],[GroupByKey]])*DiscreteStatsTable[Replication]))</f>
        <v>30</v>
      </c>
      <c r="Y345">
        <f>IF(DiscreteStatsTable[[#This Row],[RepsRequested]]=DiscreteStatsTable[[#This Row],[RepsWithStatObserved]],1,0)</f>
        <v>1</v>
      </c>
    </row>
    <row r="346" spans="1:25" x14ac:dyDescent="0.2">
      <c r="A346" t="s">
        <v>67</v>
      </c>
      <c r="B346" t="s">
        <v>70</v>
      </c>
      <c r="C346">
        <v>15</v>
      </c>
      <c r="D346" t="s">
        <v>88</v>
      </c>
      <c r="E346" t="s">
        <v>72</v>
      </c>
      <c r="F346" t="s">
        <v>73</v>
      </c>
      <c r="G346">
        <v>6.2455877786862297</v>
      </c>
      <c r="H346">
        <v>0.671678724820162</v>
      </c>
      <c r="I346">
        <v>0</v>
      </c>
      <c r="J346">
        <v>27.051852704372401</v>
      </c>
      <c r="K346">
        <v>552</v>
      </c>
      <c r="L346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46" cm="1">
        <f t="array" ref="M346">MAX(IF((ProjectInfoTable[ProjectName]=DiscreteStatsTable[[#This Row],[ProjectName]]),(ProjectInfoTable[ProjectName]=DiscreteStatsTable[[#This Row],[ProjectName]])*ProjectInfoTable[NumberOfReplications]))</f>
        <v>30</v>
      </c>
      <c r="N346" cm="1">
        <f t="array" ref="N346">IFERROR(AVERAGE(IF((DiscreteStatsTable[GroupByKey]=DiscreteStatsTable[[#This Row],[GroupByKey]]),(DiscreteStatsTable[GroupByKey]=DiscreteStatsTable[[#This Row],[GroupByKey]])*DiscreteStatsTable[Average])),0)</f>
        <v>6.0049421733661612</v>
      </c>
      <c r="O346" cm="1">
        <f t="array" ref="O346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46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46" cm="1">
        <f t="array" ref="R346">MIN(IF((DiscreteStatsTable[GroupByKey]=DiscreteStatsTable[[#This Row],[GroupByKey]]),(DiscreteStatsTable[GroupByKey]=DiscreteStatsTable[[#This Row],[GroupByKey]])*DiscreteStatsTable[Average]))</f>
        <v>5.3825028312479199</v>
      </c>
      <c r="S346" cm="1">
        <f t="array" ref="S346">MAX(IF((DiscreteStatsTable[GroupByKey]=DiscreteStatsTable[[#This Row],[GroupByKey]]),(DiscreteStatsTable[GroupByKey]=DiscreteStatsTable[[#This Row],[GroupByKey]])*DiscreteStatsTable[Average]))</f>
        <v>6.5292240865565203</v>
      </c>
      <c r="T346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cm="1">
        <f t="array" ref="U346">MAX(IF((DiscreteStatsTable[GroupByKey]=DiscreteStatsTable[[#This Row],[GroupByKey]]),(DiscreteStatsTable[GroupByKey]=DiscreteStatsTable[[#This Row],[GroupByKey]])*DiscreteStatsTable[Maximum]))</f>
        <v>63.0529476552218</v>
      </c>
      <c r="V346" cm="1">
        <f t="array" ref="V346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46">
        <f>IF((DiscreteStatsTable[[#This Row],[RepsRequested]]&gt;1),DiscreteStatsTable[[#This Row],[HalfWidth]],DiscreteStatsTable[[#This Row],[BatchMeansHalfWidth]])</f>
        <v>0.11124734756192418</v>
      </c>
      <c r="X346" cm="1">
        <f t="array" ref="X346">COUNT(IF((DiscreteStatsTable[GroupByKey]=DiscreteStatsTable[[#This Row],[GroupByKey]]),(DiscreteStatsTable[GroupByKey]=DiscreteStatsTable[[#This Row],[GroupByKey]])*DiscreteStatsTable[Replication]))</f>
        <v>30</v>
      </c>
      <c r="Y346">
        <f>IF(DiscreteStatsTable[[#This Row],[RepsRequested]]=DiscreteStatsTable[[#This Row],[RepsWithStatObserved]],1,0)</f>
        <v>1</v>
      </c>
    </row>
    <row r="347" spans="1:25" x14ac:dyDescent="0.2">
      <c r="A347" t="s">
        <v>67</v>
      </c>
      <c r="B347" t="s">
        <v>70</v>
      </c>
      <c r="C347">
        <v>16</v>
      </c>
      <c r="D347" t="s">
        <v>88</v>
      </c>
      <c r="E347" t="s">
        <v>72</v>
      </c>
      <c r="F347" t="s">
        <v>73</v>
      </c>
      <c r="G347">
        <v>6.5292240865565203</v>
      </c>
      <c r="H347">
        <v>0.86271640617664203</v>
      </c>
      <c r="I347">
        <v>0</v>
      </c>
      <c r="J347">
        <v>63.0529476552218</v>
      </c>
      <c r="K347">
        <v>556</v>
      </c>
      <c r="L347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47" cm="1">
        <f t="array" ref="M347">MAX(IF((ProjectInfoTable[ProjectName]=DiscreteStatsTable[[#This Row],[ProjectName]]),(ProjectInfoTable[ProjectName]=DiscreteStatsTable[[#This Row],[ProjectName]])*ProjectInfoTable[NumberOfReplications]))</f>
        <v>30</v>
      </c>
      <c r="N347" cm="1">
        <f t="array" ref="N347">IFERROR(AVERAGE(IF((DiscreteStatsTable[GroupByKey]=DiscreteStatsTable[[#This Row],[GroupByKey]]),(DiscreteStatsTable[GroupByKey]=DiscreteStatsTable[[#This Row],[GroupByKey]])*DiscreteStatsTable[Average])),0)</f>
        <v>6.0049421733661612</v>
      </c>
      <c r="O347" cm="1">
        <f t="array" ref="O347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47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47" cm="1">
        <f t="array" ref="R347">MIN(IF((DiscreteStatsTable[GroupByKey]=DiscreteStatsTable[[#This Row],[GroupByKey]]),(DiscreteStatsTable[GroupByKey]=DiscreteStatsTable[[#This Row],[GroupByKey]])*DiscreteStatsTable[Average]))</f>
        <v>5.3825028312479199</v>
      </c>
      <c r="S347" cm="1">
        <f t="array" ref="S347">MAX(IF((DiscreteStatsTable[GroupByKey]=DiscreteStatsTable[[#This Row],[GroupByKey]]),(DiscreteStatsTable[GroupByKey]=DiscreteStatsTable[[#This Row],[GroupByKey]])*DiscreteStatsTable[Average]))</f>
        <v>6.5292240865565203</v>
      </c>
      <c r="T347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cm="1">
        <f t="array" ref="U347">MAX(IF((DiscreteStatsTable[GroupByKey]=DiscreteStatsTable[[#This Row],[GroupByKey]]),(DiscreteStatsTable[GroupByKey]=DiscreteStatsTable[[#This Row],[GroupByKey]])*DiscreteStatsTable[Maximum]))</f>
        <v>63.0529476552218</v>
      </c>
      <c r="V347" cm="1">
        <f t="array" ref="V347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47">
        <f>IF((DiscreteStatsTable[[#This Row],[RepsRequested]]&gt;1),DiscreteStatsTable[[#This Row],[HalfWidth]],DiscreteStatsTable[[#This Row],[BatchMeansHalfWidth]])</f>
        <v>0.11124734756192418</v>
      </c>
      <c r="X347" cm="1">
        <f t="array" ref="X347">COUNT(IF((DiscreteStatsTable[GroupByKey]=DiscreteStatsTable[[#This Row],[GroupByKey]]),(DiscreteStatsTable[GroupByKey]=DiscreteStatsTable[[#This Row],[GroupByKey]])*DiscreteStatsTable[Replication]))</f>
        <v>30</v>
      </c>
      <c r="Y347">
        <f>IF(DiscreteStatsTable[[#This Row],[RepsRequested]]=DiscreteStatsTable[[#This Row],[RepsWithStatObserved]],1,0)</f>
        <v>1</v>
      </c>
    </row>
    <row r="348" spans="1:25" x14ac:dyDescent="0.2">
      <c r="A348" t="s">
        <v>67</v>
      </c>
      <c r="B348" t="s">
        <v>70</v>
      </c>
      <c r="C348">
        <v>17</v>
      </c>
      <c r="D348" t="s">
        <v>88</v>
      </c>
      <c r="E348" t="s">
        <v>72</v>
      </c>
      <c r="F348" t="s">
        <v>73</v>
      </c>
      <c r="G348">
        <v>6.1623807195465403</v>
      </c>
      <c r="H348">
        <v>0.62610860910255395</v>
      </c>
      <c r="I348">
        <v>0</v>
      </c>
      <c r="J348">
        <v>35.135806953769404</v>
      </c>
      <c r="K348">
        <v>564</v>
      </c>
      <c r="L348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48" cm="1">
        <f t="array" ref="M348">MAX(IF((ProjectInfoTable[ProjectName]=DiscreteStatsTable[[#This Row],[ProjectName]]),(ProjectInfoTable[ProjectName]=DiscreteStatsTable[[#This Row],[ProjectName]])*ProjectInfoTable[NumberOfReplications]))</f>
        <v>30</v>
      </c>
      <c r="N348" cm="1">
        <f t="array" ref="N348">IFERROR(AVERAGE(IF((DiscreteStatsTable[GroupByKey]=DiscreteStatsTable[[#This Row],[GroupByKey]]),(DiscreteStatsTable[GroupByKey]=DiscreteStatsTable[[#This Row],[GroupByKey]])*DiscreteStatsTable[Average])),0)</f>
        <v>6.0049421733661612</v>
      </c>
      <c r="O348" cm="1">
        <f t="array" ref="O348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48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48" cm="1">
        <f t="array" ref="R348">MIN(IF((DiscreteStatsTable[GroupByKey]=DiscreteStatsTable[[#This Row],[GroupByKey]]),(DiscreteStatsTable[GroupByKey]=DiscreteStatsTable[[#This Row],[GroupByKey]])*DiscreteStatsTable[Average]))</f>
        <v>5.3825028312479199</v>
      </c>
      <c r="S348" cm="1">
        <f t="array" ref="S348">MAX(IF((DiscreteStatsTable[GroupByKey]=DiscreteStatsTable[[#This Row],[GroupByKey]]),(DiscreteStatsTable[GroupByKey]=DiscreteStatsTable[[#This Row],[GroupByKey]])*DiscreteStatsTable[Average]))</f>
        <v>6.5292240865565203</v>
      </c>
      <c r="T348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cm="1">
        <f t="array" ref="U348">MAX(IF((DiscreteStatsTable[GroupByKey]=DiscreteStatsTable[[#This Row],[GroupByKey]]),(DiscreteStatsTable[GroupByKey]=DiscreteStatsTable[[#This Row],[GroupByKey]])*DiscreteStatsTable[Maximum]))</f>
        <v>63.0529476552218</v>
      </c>
      <c r="V348" cm="1">
        <f t="array" ref="V348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48">
        <f>IF((DiscreteStatsTable[[#This Row],[RepsRequested]]&gt;1),DiscreteStatsTable[[#This Row],[HalfWidth]],DiscreteStatsTable[[#This Row],[BatchMeansHalfWidth]])</f>
        <v>0.11124734756192418</v>
      </c>
      <c r="X348" cm="1">
        <f t="array" ref="X348">COUNT(IF((DiscreteStatsTable[GroupByKey]=DiscreteStatsTable[[#This Row],[GroupByKey]]),(DiscreteStatsTable[GroupByKey]=DiscreteStatsTable[[#This Row],[GroupByKey]])*DiscreteStatsTable[Replication]))</f>
        <v>30</v>
      </c>
      <c r="Y348">
        <f>IF(DiscreteStatsTable[[#This Row],[RepsRequested]]=DiscreteStatsTable[[#This Row],[RepsWithStatObserved]],1,0)</f>
        <v>1</v>
      </c>
    </row>
    <row r="349" spans="1:25" x14ac:dyDescent="0.2">
      <c r="A349" t="s">
        <v>67</v>
      </c>
      <c r="B349" t="s">
        <v>70</v>
      </c>
      <c r="C349">
        <v>18</v>
      </c>
      <c r="D349" t="s">
        <v>88</v>
      </c>
      <c r="E349" t="s">
        <v>72</v>
      </c>
      <c r="F349" t="s">
        <v>73</v>
      </c>
      <c r="G349">
        <v>6.1441753977651201</v>
      </c>
      <c r="H349">
        <v>0.69893966445823497</v>
      </c>
      <c r="I349">
        <v>0</v>
      </c>
      <c r="J349">
        <v>40.753627465364403</v>
      </c>
      <c r="K349">
        <v>576</v>
      </c>
      <c r="L349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49" cm="1">
        <f t="array" ref="M349">MAX(IF((ProjectInfoTable[ProjectName]=DiscreteStatsTable[[#This Row],[ProjectName]]),(ProjectInfoTable[ProjectName]=DiscreteStatsTable[[#This Row],[ProjectName]])*ProjectInfoTable[NumberOfReplications]))</f>
        <v>30</v>
      </c>
      <c r="N349" cm="1">
        <f t="array" ref="N349">IFERROR(AVERAGE(IF((DiscreteStatsTable[GroupByKey]=DiscreteStatsTable[[#This Row],[GroupByKey]]),(DiscreteStatsTable[GroupByKey]=DiscreteStatsTable[[#This Row],[GroupByKey]])*DiscreteStatsTable[Average])),0)</f>
        <v>6.0049421733661612</v>
      </c>
      <c r="O349" cm="1">
        <f t="array" ref="O349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49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49" cm="1">
        <f t="array" ref="R349">MIN(IF((DiscreteStatsTable[GroupByKey]=DiscreteStatsTable[[#This Row],[GroupByKey]]),(DiscreteStatsTable[GroupByKey]=DiscreteStatsTable[[#This Row],[GroupByKey]])*DiscreteStatsTable[Average]))</f>
        <v>5.3825028312479199</v>
      </c>
      <c r="S349" cm="1">
        <f t="array" ref="S349">MAX(IF((DiscreteStatsTable[GroupByKey]=DiscreteStatsTable[[#This Row],[GroupByKey]]),(DiscreteStatsTable[GroupByKey]=DiscreteStatsTable[[#This Row],[GroupByKey]])*DiscreteStatsTable[Average]))</f>
        <v>6.5292240865565203</v>
      </c>
      <c r="T349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cm="1">
        <f t="array" ref="U349">MAX(IF((DiscreteStatsTable[GroupByKey]=DiscreteStatsTable[[#This Row],[GroupByKey]]),(DiscreteStatsTable[GroupByKey]=DiscreteStatsTable[[#This Row],[GroupByKey]])*DiscreteStatsTable[Maximum]))</f>
        <v>63.0529476552218</v>
      </c>
      <c r="V349" cm="1">
        <f t="array" ref="V349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49">
        <f>IF((DiscreteStatsTable[[#This Row],[RepsRequested]]&gt;1),DiscreteStatsTable[[#This Row],[HalfWidth]],DiscreteStatsTable[[#This Row],[BatchMeansHalfWidth]])</f>
        <v>0.11124734756192418</v>
      </c>
      <c r="X349" cm="1">
        <f t="array" ref="X349">COUNT(IF((DiscreteStatsTable[GroupByKey]=DiscreteStatsTable[[#This Row],[GroupByKey]]),(DiscreteStatsTable[GroupByKey]=DiscreteStatsTable[[#This Row],[GroupByKey]])*DiscreteStatsTable[Replication]))</f>
        <v>30</v>
      </c>
      <c r="Y349">
        <f>IF(DiscreteStatsTable[[#This Row],[RepsRequested]]=DiscreteStatsTable[[#This Row],[RepsWithStatObserved]],1,0)</f>
        <v>1</v>
      </c>
    </row>
    <row r="350" spans="1:25" x14ac:dyDescent="0.2">
      <c r="A350" t="s">
        <v>67</v>
      </c>
      <c r="B350" t="s">
        <v>70</v>
      </c>
      <c r="C350">
        <v>19</v>
      </c>
      <c r="D350" t="s">
        <v>88</v>
      </c>
      <c r="E350" t="s">
        <v>72</v>
      </c>
      <c r="F350" t="s">
        <v>73</v>
      </c>
      <c r="G350">
        <v>5.8819743905511297</v>
      </c>
      <c r="H350">
        <v>0.67102829513464601</v>
      </c>
      <c r="I350">
        <v>0</v>
      </c>
      <c r="J350">
        <v>36.560427487209402</v>
      </c>
      <c r="K350">
        <v>584</v>
      </c>
      <c r="L350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50" cm="1">
        <f t="array" ref="M350">MAX(IF((ProjectInfoTable[ProjectName]=DiscreteStatsTable[[#This Row],[ProjectName]]),(ProjectInfoTable[ProjectName]=DiscreteStatsTable[[#This Row],[ProjectName]])*ProjectInfoTable[NumberOfReplications]))</f>
        <v>30</v>
      </c>
      <c r="N350" cm="1">
        <f t="array" ref="N350">IFERROR(AVERAGE(IF((DiscreteStatsTable[GroupByKey]=DiscreteStatsTable[[#This Row],[GroupByKey]]),(DiscreteStatsTable[GroupByKey]=DiscreteStatsTable[[#This Row],[GroupByKey]])*DiscreteStatsTable[Average])),0)</f>
        <v>6.0049421733661612</v>
      </c>
      <c r="O350" cm="1">
        <f t="array" ref="O350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50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50" cm="1">
        <f t="array" ref="R350">MIN(IF((DiscreteStatsTable[GroupByKey]=DiscreteStatsTable[[#This Row],[GroupByKey]]),(DiscreteStatsTable[GroupByKey]=DiscreteStatsTable[[#This Row],[GroupByKey]])*DiscreteStatsTable[Average]))</f>
        <v>5.3825028312479199</v>
      </c>
      <c r="S350" cm="1">
        <f t="array" ref="S350">MAX(IF((DiscreteStatsTable[GroupByKey]=DiscreteStatsTable[[#This Row],[GroupByKey]]),(DiscreteStatsTable[GroupByKey]=DiscreteStatsTable[[#This Row],[GroupByKey]])*DiscreteStatsTable[Average]))</f>
        <v>6.5292240865565203</v>
      </c>
      <c r="T350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cm="1">
        <f t="array" ref="U350">MAX(IF((DiscreteStatsTable[GroupByKey]=DiscreteStatsTable[[#This Row],[GroupByKey]]),(DiscreteStatsTable[GroupByKey]=DiscreteStatsTable[[#This Row],[GroupByKey]])*DiscreteStatsTable[Maximum]))</f>
        <v>63.0529476552218</v>
      </c>
      <c r="V350" cm="1">
        <f t="array" ref="V350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50">
        <f>IF((DiscreteStatsTable[[#This Row],[RepsRequested]]&gt;1),DiscreteStatsTable[[#This Row],[HalfWidth]],DiscreteStatsTable[[#This Row],[BatchMeansHalfWidth]])</f>
        <v>0.11124734756192418</v>
      </c>
      <c r="X350" cm="1">
        <f t="array" ref="X350">COUNT(IF((DiscreteStatsTable[GroupByKey]=DiscreteStatsTable[[#This Row],[GroupByKey]]),(DiscreteStatsTable[GroupByKey]=DiscreteStatsTable[[#This Row],[GroupByKey]])*DiscreteStatsTable[Replication]))</f>
        <v>30</v>
      </c>
      <c r="Y350">
        <f>IF(DiscreteStatsTable[[#This Row],[RepsRequested]]=DiscreteStatsTable[[#This Row],[RepsWithStatObserved]],1,0)</f>
        <v>1</v>
      </c>
    </row>
    <row r="351" spans="1:25" x14ac:dyDescent="0.2">
      <c r="A351" t="s">
        <v>67</v>
      </c>
      <c r="B351" t="s">
        <v>70</v>
      </c>
      <c r="C351">
        <v>20</v>
      </c>
      <c r="D351" t="s">
        <v>88</v>
      </c>
      <c r="E351" t="s">
        <v>72</v>
      </c>
      <c r="F351" t="s">
        <v>73</v>
      </c>
      <c r="G351">
        <v>6.2021203407440604</v>
      </c>
      <c r="H351">
        <v>3E+20</v>
      </c>
      <c r="I351">
        <v>0</v>
      </c>
      <c r="J351">
        <v>50.089936854168599</v>
      </c>
      <c r="K351">
        <v>544</v>
      </c>
      <c r="L351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51" cm="1">
        <f t="array" ref="M351">MAX(IF((ProjectInfoTable[ProjectName]=DiscreteStatsTable[[#This Row],[ProjectName]]),(ProjectInfoTable[ProjectName]=DiscreteStatsTable[[#This Row],[ProjectName]])*ProjectInfoTable[NumberOfReplications]))</f>
        <v>30</v>
      </c>
      <c r="N351" cm="1">
        <f t="array" ref="N351">IFERROR(AVERAGE(IF((DiscreteStatsTable[GroupByKey]=DiscreteStatsTable[[#This Row],[GroupByKey]]),(DiscreteStatsTable[GroupByKey]=DiscreteStatsTable[[#This Row],[GroupByKey]])*DiscreteStatsTable[Average])),0)</f>
        <v>6.0049421733661612</v>
      </c>
      <c r="O351" cm="1">
        <f t="array" ref="O351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51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51" cm="1">
        <f t="array" ref="R351">MIN(IF((DiscreteStatsTable[GroupByKey]=DiscreteStatsTable[[#This Row],[GroupByKey]]),(DiscreteStatsTable[GroupByKey]=DiscreteStatsTable[[#This Row],[GroupByKey]])*DiscreteStatsTable[Average]))</f>
        <v>5.3825028312479199</v>
      </c>
      <c r="S351" cm="1">
        <f t="array" ref="S351">MAX(IF((DiscreteStatsTable[GroupByKey]=DiscreteStatsTable[[#This Row],[GroupByKey]]),(DiscreteStatsTable[GroupByKey]=DiscreteStatsTable[[#This Row],[GroupByKey]])*DiscreteStatsTable[Average]))</f>
        <v>6.5292240865565203</v>
      </c>
      <c r="T351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cm="1">
        <f t="array" ref="U351">MAX(IF((DiscreteStatsTable[GroupByKey]=DiscreteStatsTable[[#This Row],[GroupByKey]]),(DiscreteStatsTable[GroupByKey]=DiscreteStatsTable[[#This Row],[GroupByKey]])*DiscreteStatsTable[Maximum]))</f>
        <v>63.0529476552218</v>
      </c>
      <c r="V351" cm="1">
        <f t="array" ref="V351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51">
        <f>IF((DiscreteStatsTable[[#This Row],[RepsRequested]]&gt;1),DiscreteStatsTable[[#This Row],[HalfWidth]],DiscreteStatsTable[[#This Row],[BatchMeansHalfWidth]])</f>
        <v>0.11124734756192418</v>
      </c>
      <c r="X351" cm="1">
        <f t="array" ref="X351">COUNT(IF((DiscreteStatsTable[GroupByKey]=DiscreteStatsTable[[#This Row],[GroupByKey]]),(DiscreteStatsTable[GroupByKey]=DiscreteStatsTable[[#This Row],[GroupByKey]])*DiscreteStatsTable[Replication]))</f>
        <v>30</v>
      </c>
      <c r="Y351">
        <f>IF(DiscreteStatsTable[[#This Row],[RepsRequested]]=DiscreteStatsTable[[#This Row],[RepsWithStatObserved]],1,0)</f>
        <v>1</v>
      </c>
    </row>
    <row r="352" spans="1:25" x14ac:dyDescent="0.2">
      <c r="A352" t="s">
        <v>67</v>
      </c>
      <c r="B352" t="s">
        <v>70</v>
      </c>
      <c r="C352">
        <v>21</v>
      </c>
      <c r="D352" t="s">
        <v>88</v>
      </c>
      <c r="E352" t="s">
        <v>72</v>
      </c>
      <c r="F352" t="s">
        <v>73</v>
      </c>
      <c r="G352">
        <v>5.8239326324649596</v>
      </c>
      <c r="H352">
        <v>0.63026778926814497</v>
      </c>
      <c r="I352">
        <v>0</v>
      </c>
      <c r="J352">
        <v>32.755662933005397</v>
      </c>
      <c r="K352">
        <v>564</v>
      </c>
      <c r="L352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52" cm="1">
        <f t="array" ref="M352">MAX(IF((ProjectInfoTable[ProjectName]=DiscreteStatsTable[[#This Row],[ProjectName]]),(ProjectInfoTable[ProjectName]=DiscreteStatsTable[[#This Row],[ProjectName]])*ProjectInfoTable[NumberOfReplications]))</f>
        <v>30</v>
      </c>
      <c r="N352" cm="1">
        <f t="array" ref="N352">IFERROR(AVERAGE(IF((DiscreteStatsTable[GroupByKey]=DiscreteStatsTable[[#This Row],[GroupByKey]]),(DiscreteStatsTable[GroupByKey]=DiscreteStatsTable[[#This Row],[GroupByKey]])*DiscreteStatsTable[Average])),0)</f>
        <v>6.0049421733661612</v>
      </c>
      <c r="O352" cm="1">
        <f t="array" ref="O352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52" cm="1">
        <f t="array" ref="P352">MAX(IF((ProjectInfoTable[ProjectName]=DiscreteStatsTable[[#This Row],[ProjectName]]),(ProjectInfoTable[ProjectName]=DiscreteStatsTable[[#This Row],[ProjectName]])*ProjectInfoTable[ConfidenceInterval]))</f>
        <v>0.95</v>
      </c>
      <c r="Q352">
        <f>IF(AND(DiscreteStatsTable[[#This Row],[RepsWithStatObserved]]=1,Y352=0),200000000000000000000,IFERROR(_xlfn.T.INV.2T(1 -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52" cm="1">
        <f t="array" ref="R352">MIN(IF((DiscreteStatsTable[GroupByKey]=DiscreteStatsTable[[#This Row],[GroupByKey]]),(DiscreteStatsTable[GroupByKey]=DiscreteStatsTable[[#This Row],[GroupByKey]])*DiscreteStatsTable[Average]))</f>
        <v>5.3825028312479199</v>
      </c>
      <c r="S352" cm="1">
        <f t="array" ref="S352">MAX(IF((DiscreteStatsTable[GroupByKey]=DiscreteStatsTable[[#This Row],[GroupByKey]]),(DiscreteStatsTable[GroupByKey]=DiscreteStatsTable[[#This Row],[GroupByKey]])*DiscreteStatsTable[Average]))</f>
        <v>6.5292240865565203</v>
      </c>
      <c r="T352" cm="1">
        <f t="array" ref="T352">MIN(IF((DiscreteStatsTable[GroupByKey]=DiscreteStatsTable[[#This Row],[GroupByKey]]),(DiscreteStatsTable[GroupByKey]=DiscreteStatsTable[[#This Row],[GroupByKey]])*DiscreteStatsTable[Minimum]))</f>
        <v>0</v>
      </c>
      <c r="U352" cm="1">
        <f t="array" ref="U352">MAX(IF((DiscreteStatsTable[GroupByKey]=DiscreteStatsTable[[#This Row],[GroupByKey]]),(DiscreteStatsTable[GroupByKey]=DiscreteStatsTable[[#This Row],[GroupByKey]])*DiscreteStatsTable[Maximum]))</f>
        <v>63.0529476552218</v>
      </c>
      <c r="V352" cm="1">
        <f t="array" ref="V352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52">
        <f>IF((DiscreteStatsTable[[#This Row],[RepsRequested]]&gt;1),DiscreteStatsTable[[#This Row],[HalfWidth]],DiscreteStatsTable[[#This Row],[BatchMeansHalfWidth]])</f>
        <v>0.11124734756192418</v>
      </c>
      <c r="X352" cm="1">
        <f t="array" ref="X352">COUNT(IF((DiscreteStatsTable[GroupByKey]=DiscreteStatsTable[[#This Row],[GroupByKey]]),(DiscreteStatsTable[GroupByKey]=DiscreteStatsTable[[#This Row],[GroupByKey]])*DiscreteStatsTable[Replication]))</f>
        <v>30</v>
      </c>
      <c r="Y352">
        <f>IF(DiscreteStatsTable[[#This Row],[RepsRequested]]=DiscreteStatsTable[[#This Row],[RepsWithStatObserved]],1,0)</f>
        <v>1</v>
      </c>
    </row>
    <row r="353" spans="1:25" x14ac:dyDescent="0.2">
      <c r="A353" t="s">
        <v>67</v>
      </c>
      <c r="B353" t="s">
        <v>70</v>
      </c>
      <c r="C353">
        <v>22</v>
      </c>
      <c r="D353" t="s">
        <v>88</v>
      </c>
      <c r="E353" t="s">
        <v>72</v>
      </c>
      <c r="F353" t="s">
        <v>73</v>
      </c>
      <c r="G353">
        <v>5.8904178286673901</v>
      </c>
      <c r="H353">
        <v>0.55544285416875405</v>
      </c>
      <c r="I353">
        <v>0</v>
      </c>
      <c r="J353">
        <v>42.057421133528997</v>
      </c>
      <c r="K353">
        <v>568</v>
      </c>
      <c r="L353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53" cm="1">
        <f t="array" ref="M353">MAX(IF((ProjectInfoTable[ProjectName]=DiscreteStatsTable[[#This Row],[ProjectName]]),(ProjectInfoTable[ProjectName]=DiscreteStatsTable[[#This Row],[ProjectName]])*ProjectInfoTable[NumberOfReplications]))</f>
        <v>30</v>
      </c>
      <c r="N353" cm="1">
        <f t="array" ref="N353">IFERROR(AVERAGE(IF((DiscreteStatsTable[GroupByKey]=DiscreteStatsTable[[#This Row],[GroupByKey]]),(DiscreteStatsTable[GroupByKey]=DiscreteStatsTable[[#This Row],[GroupByKey]])*DiscreteStatsTable[Average])),0)</f>
        <v>6.0049421733661612</v>
      </c>
      <c r="O353" cm="1">
        <f t="array" ref="O353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53" cm="1">
        <f t="array" ref="P353">MAX(IF((ProjectInfoTable[ProjectName]=DiscreteStatsTable[[#This Row],[ProjectName]]),(ProjectInfoTable[ProjectName]=DiscreteStatsTable[[#This Row],[ProjectName]])*ProjectInfoTable[ConfidenceInterval]))</f>
        <v>0.95</v>
      </c>
      <c r="Q353">
        <f>IF(AND(DiscreteStatsTable[[#This Row],[RepsWithStatObserved]]=1,Y353=0),200000000000000000000,IFERROR(_xlfn.T.INV.2T(1 -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53" cm="1">
        <f t="array" ref="R353">MIN(IF((DiscreteStatsTable[GroupByKey]=DiscreteStatsTable[[#This Row],[GroupByKey]]),(DiscreteStatsTable[GroupByKey]=DiscreteStatsTable[[#This Row],[GroupByKey]])*DiscreteStatsTable[Average]))</f>
        <v>5.3825028312479199</v>
      </c>
      <c r="S353" cm="1">
        <f t="array" ref="S353">MAX(IF((DiscreteStatsTable[GroupByKey]=DiscreteStatsTable[[#This Row],[GroupByKey]]),(DiscreteStatsTable[GroupByKey]=DiscreteStatsTable[[#This Row],[GroupByKey]])*DiscreteStatsTable[Average]))</f>
        <v>6.5292240865565203</v>
      </c>
      <c r="T353" cm="1">
        <f t="array" ref="T353">MIN(IF((DiscreteStatsTable[GroupByKey]=DiscreteStatsTable[[#This Row],[GroupByKey]]),(DiscreteStatsTable[GroupByKey]=DiscreteStatsTable[[#This Row],[GroupByKey]])*DiscreteStatsTable[Minimum]))</f>
        <v>0</v>
      </c>
      <c r="U353" cm="1">
        <f t="array" ref="U353">MAX(IF((DiscreteStatsTable[GroupByKey]=DiscreteStatsTable[[#This Row],[GroupByKey]]),(DiscreteStatsTable[GroupByKey]=DiscreteStatsTable[[#This Row],[GroupByKey]])*DiscreteStatsTable[Maximum]))</f>
        <v>63.0529476552218</v>
      </c>
      <c r="V353" cm="1">
        <f t="array" ref="V353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53">
        <f>IF((DiscreteStatsTable[[#This Row],[RepsRequested]]&gt;1),DiscreteStatsTable[[#This Row],[HalfWidth]],DiscreteStatsTable[[#This Row],[BatchMeansHalfWidth]])</f>
        <v>0.11124734756192418</v>
      </c>
      <c r="X353" cm="1">
        <f t="array" ref="X353">COUNT(IF((DiscreteStatsTable[GroupByKey]=DiscreteStatsTable[[#This Row],[GroupByKey]]),(DiscreteStatsTable[GroupByKey]=DiscreteStatsTable[[#This Row],[GroupByKey]])*DiscreteStatsTable[Replication]))</f>
        <v>30</v>
      </c>
      <c r="Y353">
        <f>IF(DiscreteStatsTable[[#This Row],[RepsRequested]]=DiscreteStatsTable[[#This Row],[RepsWithStatObserved]],1,0)</f>
        <v>1</v>
      </c>
    </row>
    <row r="354" spans="1:25" x14ac:dyDescent="0.2">
      <c r="A354" t="s">
        <v>67</v>
      </c>
      <c r="B354" t="s">
        <v>70</v>
      </c>
      <c r="C354">
        <v>23</v>
      </c>
      <c r="D354" t="s">
        <v>88</v>
      </c>
      <c r="E354" t="s">
        <v>72</v>
      </c>
      <c r="F354" t="s">
        <v>73</v>
      </c>
      <c r="G354">
        <v>6.1057886831871899</v>
      </c>
      <c r="H354">
        <v>0.673275510434175</v>
      </c>
      <c r="I354">
        <v>0</v>
      </c>
      <c r="J354">
        <v>44.307350049778996</v>
      </c>
      <c r="K354">
        <v>560</v>
      </c>
      <c r="L354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54" cm="1">
        <f t="array" ref="M354">MAX(IF((ProjectInfoTable[ProjectName]=DiscreteStatsTable[[#This Row],[ProjectName]]),(ProjectInfoTable[ProjectName]=DiscreteStatsTable[[#This Row],[ProjectName]])*ProjectInfoTable[NumberOfReplications]))</f>
        <v>30</v>
      </c>
      <c r="N354" cm="1">
        <f t="array" ref="N354">IFERROR(AVERAGE(IF((DiscreteStatsTable[GroupByKey]=DiscreteStatsTable[[#This Row],[GroupByKey]]),(DiscreteStatsTable[GroupByKey]=DiscreteStatsTable[[#This Row],[GroupByKey]])*DiscreteStatsTable[Average])),0)</f>
        <v>6.0049421733661612</v>
      </c>
      <c r="O354" cm="1">
        <f t="array" ref="O354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54" cm="1">
        <f t="array" ref="P354">MAX(IF((ProjectInfoTable[ProjectName]=DiscreteStatsTable[[#This Row],[ProjectName]]),(ProjectInfoTable[ProjectName]=DiscreteStatsTable[[#This Row],[ProjectName]])*ProjectInfoTable[ConfidenceInterval]))</f>
        <v>0.95</v>
      </c>
      <c r="Q354">
        <f>IF(AND(DiscreteStatsTable[[#This Row],[RepsWithStatObserved]]=1,Y354=0),200000000000000000000,IFERROR(_xlfn.T.INV.2T(1 -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54" cm="1">
        <f t="array" ref="R354">MIN(IF((DiscreteStatsTable[GroupByKey]=DiscreteStatsTable[[#This Row],[GroupByKey]]),(DiscreteStatsTable[GroupByKey]=DiscreteStatsTable[[#This Row],[GroupByKey]])*DiscreteStatsTable[Average]))</f>
        <v>5.3825028312479199</v>
      </c>
      <c r="S354" cm="1">
        <f t="array" ref="S354">MAX(IF((DiscreteStatsTable[GroupByKey]=DiscreteStatsTable[[#This Row],[GroupByKey]]),(DiscreteStatsTable[GroupByKey]=DiscreteStatsTable[[#This Row],[GroupByKey]])*DiscreteStatsTable[Average]))</f>
        <v>6.5292240865565203</v>
      </c>
      <c r="T354" cm="1">
        <f t="array" ref="T354">MIN(IF((DiscreteStatsTable[GroupByKey]=DiscreteStatsTable[[#This Row],[GroupByKey]]),(DiscreteStatsTable[GroupByKey]=DiscreteStatsTable[[#This Row],[GroupByKey]])*DiscreteStatsTable[Minimum]))</f>
        <v>0</v>
      </c>
      <c r="U354" cm="1">
        <f t="array" ref="U354">MAX(IF((DiscreteStatsTable[GroupByKey]=DiscreteStatsTable[[#This Row],[GroupByKey]]),(DiscreteStatsTable[GroupByKey]=DiscreteStatsTable[[#This Row],[GroupByKey]])*DiscreteStatsTable[Maximum]))</f>
        <v>63.0529476552218</v>
      </c>
      <c r="V354" cm="1">
        <f t="array" ref="V354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54">
        <f>IF((DiscreteStatsTable[[#This Row],[RepsRequested]]&gt;1),DiscreteStatsTable[[#This Row],[HalfWidth]],DiscreteStatsTable[[#This Row],[BatchMeansHalfWidth]])</f>
        <v>0.11124734756192418</v>
      </c>
      <c r="X354" cm="1">
        <f t="array" ref="X354">COUNT(IF((DiscreteStatsTable[GroupByKey]=DiscreteStatsTable[[#This Row],[GroupByKey]]),(DiscreteStatsTable[GroupByKey]=DiscreteStatsTable[[#This Row],[GroupByKey]])*DiscreteStatsTable[Replication]))</f>
        <v>30</v>
      </c>
      <c r="Y354">
        <f>IF(DiscreteStatsTable[[#This Row],[RepsRequested]]=DiscreteStatsTable[[#This Row],[RepsWithStatObserved]],1,0)</f>
        <v>1</v>
      </c>
    </row>
    <row r="355" spans="1:25" x14ac:dyDescent="0.2">
      <c r="A355" t="s">
        <v>67</v>
      </c>
      <c r="B355" t="s">
        <v>70</v>
      </c>
      <c r="C355">
        <v>24</v>
      </c>
      <c r="D355" t="s">
        <v>88</v>
      </c>
      <c r="E355" t="s">
        <v>72</v>
      </c>
      <c r="F355" t="s">
        <v>73</v>
      </c>
      <c r="G355">
        <v>5.8938721359739201</v>
      </c>
      <c r="H355">
        <v>0.72600557430766499</v>
      </c>
      <c r="I355">
        <v>0</v>
      </c>
      <c r="J355">
        <v>52.184654728854099</v>
      </c>
      <c r="K355">
        <v>592</v>
      </c>
      <c r="L355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55" cm="1">
        <f t="array" ref="M355">MAX(IF((ProjectInfoTable[ProjectName]=DiscreteStatsTable[[#This Row],[ProjectName]]),(ProjectInfoTable[ProjectName]=DiscreteStatsTable[[#This Row],[ProjectName]])*ProjectInfoTable[NumberOfReplications]))</f>
        <v>30</v>
      </c>
      <c r="N355" cm="1">
        <f t="array" ref="N355">IFERROR(AVERAGE(IF((DiscreteStatsTable[GroupByKey]=DiscreteStatsTable[[#This Row],[GroupByKey]]),(DiscreteStatsTable[GroupByKey]=DiscreteStatsTable[[#This Row],[GroupByKey]])*DiscreteStatsTable[Average])),0)</f>
        <v>6.0049421733661612</v>
      </c>
      <c r="O355" cm="1">
        <f t="array" ref="O355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55" cm="1">
        <f t="array" ref="P355">MAX(IF((ProjectInfoTable[ProjectName]=DiscreteStatsTable[[#This Row],[ProjectName]]),(ProjectInfoTable[ProjectName]=DiscreteStatsTable[[#This Row],[ProjectName]])*ProjectInfoTable[ConfidenceInterval]))</f>
        <v>0.95</v>
      </c>
      <c r="Q355">
        <f>IF(AND(DiscreteStatsTable[[#This Row],[RepsWithStatObserved]]=1,Y355=0),200000000000000000000,IFERROR(_xlfn.T.INV.2T(1 -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55" cm="1">
        <f t="array" ref="R355">MIN(IF((DiscreteStatsTable[GroupByKey]=DiscreteStatsTable[[#This Row],[GroupByKey]]),(DiscreteStatsTable[GroupByKey]=DiscreteStatsTable[[#This Row],[GroupByKey]])*DiscreteStatsTable[Average]))</f>
        <v>5.3825028312479199</v>
      </c>
      <c r="S355" cm="1">
        <f t="array" ref="S355">MAX(IF((DiscreteStatsTable[GroupByKey]=DiscreteStatsTable[[#This Row],[GroupByKey]]),(DiscreteStatsTable[GroupByKey]=DiscreteStatsTable[[#This Row],[GroupByKey]])*DiscreteStatsTable[Average]))</f>
        <v>6.5292240865565203</v>
      </c>
      <c r="T355" cm="1">
        <f t="array" ref="T355">MIN(IF((DiscreteStatsTable[GroupByKey]=DiscreteStatsTable[[#This Row],[GroupByKey]]),(DiscreteStatsTable[GroupByKey]=DiscreteStatsTable[[#This Row],[GroupByKey]])*DiscreteStatsTable[Minimum]))</f>
        <v>0</v>
      </c>
      <c r="U355" cm="1">
        <f t="array" ref="U355">MAX(IF((DiscreteStatsTable[GroupByKey]=DiscreteStatsTable[[#This Row],[GroupByKey]]),(DiscreteStatsTable[GroupByKey]=DiscreteStatsTable[[#This Row],[GroupByKey]])*DiscreteStatsTable[Maximum]))</f>
        <v>63.0529476552218</v>
      </c>
      <c r="V355" cm="1">
        <f t="array" ref="V355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55">
        <f>IF((DiscreteStatsTable[[#This Row],[RepsRequested]]&gt;1),DiscreteStatsTable[[#This Row],[HalfWidth]],DiscreteStatsTable[[#This Row],[BatchMeansHalfWidth]])</f>
        <v>0.11124734756192418</v>
      </c>
      <c r="X355" cm="1">
        <f t="array" ref="X355">COUNT(IF((DiscreteStatsTable[GroupByKey]=DiscreteStatsTable[[#This Row],[GroupByKey]]),(DiscreteStatsTable[GroupByKey]=DiscreteStatsTable[[#This Row],[GroupByKey]])*DiscreteStatsTable[Replication]))</f>
        <v>30</v>
      </c>
      <c r="Y355">
        <f>IF(DiscreteStatsTable[[#This Row],[RepsRequested]]=DiscreteStatsTable[[#This Row],[RepsWithStatObserved]],1,0)</f>
        <v>1</v>
      </c>
    </row>
    <row r="356" spans="1:25" x14ac:dyDescent="0.2">
      <c r="A356" t="s">
        <v>67</v>
      </c>
      <c r="B356" t="s">
        <v>70</v>
      </c>
      <c r="C356">
        <v>25</v>
      </c>
      <c r="D356" t="s">
        <v>88</v>
      </c>
      <c r="E356" t="s">
        <v>72</v>
      </c>
      <c r="F356" t="s">
        <v>73</v>
      </c>
      <c r="G356">
        <v>5.3825028312479199</v>
      </c>
      <c r="H356">
        <v>0.55739138691684897</v>
      </c>
      <c r="I356">
        <v>0</v>
      </c>
      <c r="J356">
        <v>35.622770711496699</v>
      </c>
      <c r="K356">
        <v>600</v>
      </c>
      <c r="L356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56" cm="1">
        <f t="array" ref="M356">MAX(IF((ProjectInfoTable[ProjectName]=DiscreteStatsTable[[#This Row],[ProjectName]]),(ProjectInfoTable[ProjectName]=DiscreteStatsTable[[#This Row],[ProjectName]])*ProjectInfoTable[NumberOfReplications]))</f>
        <v>30</v>
      </c>
      <c r="N356" cm="1">
        <f t="array" ref="N356">IFERROR(AVERAGE(IF((DiscreteStatsTable[GroupByKey]=DiscreteStatsTable[[#This Row],[GroupByKey]]),(DiscreteStatsTable[GroupByKey]=DiscreteStatsTable[[#This Row],[GroupByKey]])*DiscreteStatsTable[Average])),0)</f>
        <v>6.0049421733661612</v>
      </c>
      <c r="O356" cm="1">
        <f t="array" ref="O356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56" cm="1">
        <f t="array" ref="P356">MAX(IF((ProjectInfoTable[ProjectName]=DiscreteStatsTable[[#This Row],[ProjectName]]),(ProjectInfoTable[ProjectName]=DiscreteStatsTable[[#This Row],[ProjectName]])*ProjectInfoTable[ConfidenceInterval]))</f>
        <v>0.95</v>
      </c>
      <c r="Q356">
        <f>IF(AND(DiscreteStatsTable[[#This Row],[RepsWithStatObserved]]=1,Y356=0),200000000000000000000,IFERROR(_xlfn.T.INV.2T(1 -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56" cm="1">
        <f t="array" ref="R356">MIN(IF((DiscreteStatsTable[GroupByKey]=DiscreteStatsTable[[#This Row],[GroupByKey]]),(DiscreteStatsTable[GroupByKey]=DiscreteStatsTable[[#This Row],[GroupByKey]])*DiscreteStatsTable[Average]))</f>
        <v>5.3825028312479199</v>
      </c>
      <c r="S356" cm="1">
        <f t="array" ref="S356">MAX(IF((DiscreteStatsTable[GroupByKey]=DiscreteStatsTable[[#This Row],[GroupByKey]]),(DiscreteStatsTable[GroupByKey]=DiscreteStatsTable[[#This Row],[GroupByKey]])*DiscreteStatsTable[Average]))</f>
        <v>6.5292240865565203</v>
      </c>
      <c r="T356" cm="1">
        <f t="array" ref="T356">MIN(IF((DiscreteStatsTable[GroupByKey]=DiscreteStatsTable[[#This Row],[GroupByKey]]),(DiscreteStatsTable[GroupByKey]=DiscreteStatsTable[[#This Row],[GroupByKey]])*DiscreteStatsTable[Minimum]))</f>
        <v>0</v>
      </c>
      <c r="U356" cm="1">
        <f t="array" ref="U356">MAX(IF((DiscreteStatsTable[GroupByKey]=DiscreteStatsTable[[#This Row],[GroupByKey]]),(DiscreteStatsTable[GroupByKey]=DiscreteStatsTable[[#This Row],[GroupByKey]])*DiscreteStatsTable[Maximum]))</f>
        <v>63.0529476552218</v>
      </c>
      <c r="V356" cm="1">
        <f t="array" ref="V356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56">
        <f>IF((DiscreteStatsTable[[#This Row],[RepsRequested]]&gt;1),DiscreteStatsTable[[#This Row],[HalfWidth]],DiscreteStatsTable[[#This Row],[BatchMeansHalfWidth]])</f>
        <v>0.11124734756192418</v>
      </c>
      <c r="X356" cm="1">
        <f t="array" ref="X356">COUNT(IF((DiscreteStatsTable[GroupByKey]=DiscreteStatsTable[[#This Row],[GroupByKey]]),(DiscreteStatsTable[GroupByKey]=DiscreteStatsTable[[#This Row],[GroupByKey]])*DiscreteStatsTable[Replication]))</f>
        <v>30</v>
      </c>
      <c r="Y356">
        <f>IF(DiscreteStatsTable[[#This Row],[RepsRequested]]=DiscreteStatsTable[[#This Row],[RepsWithStatObserved]],1,0)</f>
        <v>1</v>
      </c>
    </row>
    <row r="357" spans="1:25" x14ac:dyDescent="0.2">
      <c r="A357" t="s">
        <v>67</v>
      </c>
      <c r="B357" t="s">
        <v>70</v>
      </c>
      <c r="C357">
        <v>26</v>
      </c>
      <c r="D357" t="s">
        <v>88</v>
      </c>
      <c r="E357" t="s">
        <v>72</v>
      </c>
      <c r="F357" t="s">
        <v>73</v>
      </c>
      <c r="G357">
        <v>6.2780865148388498</v>
      </c>
      <c r="H357">
        <v>0.455732316892761</v>
      </c>
      <c r="I357">
        <v>0</v>
      </c>
      <c r="J357">
        <v>30.011977790108599</v>
      </c>
      <c r="K357">
        <v>548</v>
      </c>
      <c r="L357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57" cm="1">
        <f t="array" ref="M357">MAX(IF((ProjectInfoTable[ProjectName]=DiscreteStatsTable[[#This Row],[ProjectName]]),(ProjectInfoTable[ProjectName]=DiscreteStatsTable[[#This Row],[ProjectName]])*ProjectInfoTable[NumberOfReplications]))</f>
        <v>30</v>
      </c>
      <c r="N357" cm="1">
        <f t="array" ref="N357">IFERROR(AVERAGE(IF((DiscreteStatsTable[GroupByKey]=DiscreteStatsTable[[#This Row],[GroupByKey]]),(DiscreteStatsTable[GroupByKey]=DiscreteStatsTable[[#This Row],[GroupByKey]])*DiscreteStatsTable[Average])),0)</f>
        <v>6.0049421733661612</v>
      </c>
      <c r="O357" cm="1">
        <f t="array" ref="O357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57" cm="1">
        <f t="array" ref="P357">MAX(IF((ProjectInfoTable[ProjectName]=DiscreteStatsTable[[#This Row],[ProjectName]]),(ProjectInfoTable[ProjectName]=DiscreteStatsTable[[#This Row],[ProjectName]])*ProjectInfoTable[ConfidenceInterval]))</f>
        <v>0.95</v>
      </c>
      <c r="Q357">
        <f>IF(AND(DiscreteStatsTable[[#This Row],[RepsWithStatObserved]]=1,Y357=0),200000000000000000000,IFERROR(_xlfn.T.INV.2T(1 -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57" cm="1">
        <f t="array" ref="R357">MIN(IF((DiscreteStatsTable[GroupByKey]=DiscreteStatsTable[[#This Row],[GroupByKey]]),(DiscreteStatsTable[GroupByKey]=DiscreteStatsTable[[#This Row],[GroupByKey]])*DiscreteStatsTable[Average]))</f>
        <v>5.3825028312479199</v>
      </c>
      <c r="S357" cm="1">
        <f t="array" ref="S357">MAX(IF((DiscreteStatsTable[GroupByKey]=DiscreteStatsTable[[#This Row],[GroupByKey]]),(DiscreteStatsTable[GroupByKey]=DiscreteStatsTable[[#This Row],[GroupByKey]])*DiscreteStatsTable[Average]))</f>
        <v>6.5292240865565203</v>
      </c>
      <c r="T357" cm="1">
        <f t="array" ref="T357">MIN(IF((DiscreteStatsTable[GroupByKey]=DiscreteStatsTable[[#This Row],[GroupByKey]]),(DiscreteStatsTable[GroupByKey]=DiscreteStatsTable[[#This Row],[GroupByKey]])*DiscreteStatsTable[Minimum]))</f>
        <v>0</v>
      </c>
      <c r="U357" cm="1">
        <f t="array" ref="U357">MAX(IF((DiscreteStatsTable[GroupByKey]=DiscreteStatsTable[[#This Row],[GroupByKey]]),(DiscreteStatsTable[GroupByKey]=DiscreteStatsTable[[#This Row],[GroupByKey]])*DiscreteStatsTable[Maximum]))</f>
        <v>63.0529476552218</v>
      </c>
      <c r="V357" cm="1">
        <f t="array" ref="V357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57">
        <f>IF((DiscreteStatsTable[[#This Row],[RepsRequested]]&gt;1),DiscreteStatsTable[[#This Row],[HalfWidth]],DiscreteStatsTable[[#This Row],[BatchMeansHalfWidth]])</f>
        <v>0.11124734756192418</v>
      </c>
      <c r="X357" cm="1">
        <f t="array" ref="X357">COUNT(IF((DiscreteStatsTable[GroupByKey]=DiscreteStatsTable[[#This Row],[GroupByKey]]),(DiscreteStatsTable[GroupByKey]=DiscreteStatsTable[[#This Row],[GroupByKey]])*DiscreteStatsTable[Replication]))</f>
        <v>30</v>
      </c>
      <c r="Y357">
        <f>IF(DiscreteStatsTable[[#This Row],[RepsRequested]]=DiscreteStatsTable[[#This Row],[RepsWithStatObserved]],1,0)</f>
        <v>1</v>
      </c>
    </row>
    <row r="358" spans="1:25" x14ac:dyDescent="0.2">
      <c r="A358" t="s">
        <v>67</v>
      </c>
      <c r="B358" t="s">
        <v>70</v>
      </c>
      <c r="C358">
        <v>27</v>
      </c>
      <c r="D358" t="s">
        <v>88</v>
      </c>
      <c r="E358" t="s">
        <v>72</v>
      </c>
      <c r="F358" t="s">
        <v>73</v>
      </c>
      <c r="G358">
        <v>6.2314437864567704</v>
      </c>
      <c r="H358">
        <v>0.59453977713147199</v>
      </c>
      <c r="I358">
        <v>0</v>
      </c>
      <c r="J358">
        <v>31.475219527045699</v>
      </c>
      <c r="K358">
        <v>544</v>
      </c>
      <c r="L358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58" cm="1">
        <f t="array" ref="M358">MAX(IF((ProjectInfoTable[ProjectName]=DiscreteStatsTable[[#This Row],[ProjectName]]),(ProjectInfoTable[ProjectName]=DiscreteStatsTable[[#This Row],[ProjectName]])*ProjectInfoTable[NumberOfReplications]))</f>
        <v>30</v>
      </c>
      <c r="N358" cm="1">
        <f t="array" ref="N358">IFERROR(AVERAGE(IF((DiscreteStatsTable[GroupByKey]=DiscreteStatsTable[[#This Row],[GroupByKey]]),(DiscreteStatsTable[GroupByKey]=DiscreteStatsTable[[#This Row],[GroupByKey]])*DiscreteStatsTable[Average])),0)</f>
        <v>6.0049421733661612</v>
      </c>
      <c r="O358" cm="1">
        <f t="array" ref="O358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58" cm="1">
        <f t="array" ref="P358">MAX(IF((ProjectInfoTable[ProjectName]=DiscreteStatsTable[[#This Row],[ProjectName]]),(ProjectInfoTable[ProjectName]=DiscreteStatsTable[[#This Row],[ProjectName]])*ProjectInfoTable[ConfidenceInterval]))</f>
        <v>0.95</v>
      </c>
      <c r="Q358">
        <f>IF(AND(DiscreteStatsTable[[#This Row],[RepsWithStatObserved]]=1,Y358=0),200000000000000000000,IFERROR(_xlfn.T.INV.2T(1 -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58" cm="1">
        <f t="array" ref="R358">MIN(IF((DiscreteStatsTable[GroupByKey]=DiscreteStatsTable[[#This Row],[GroupByKey]]),(DiscreteStatsTable[GroupByKey]=DiscreteStatsTable[[#This Row],[GroupByKey]])*DiscreteStatsTable[Average]))</f>
        <v>5.3825028312479199</v>
      </c>
      <c r="S358" cm="1">
        <f t="array" ref="S358">MAX(IF((DiscreteStatsTable[GroupByKey]=DiscreteStatsTable[[#This Row],[GroupByKey]]),(DiscreteStatsTable[GroupByKey]=DiscreteStatsTable[[#This Row],[GroupByKey]])*DiscreteStatsTable[Average]))</f>
        <v>6.5292240865565203</v>
      </c>
      <c r="T358" cm="1">
        <f t="array" ref="T358">MIN(IF((DiscreteStatsTable[GroupByKey]=DiscreteStatsTable[[#This Row],[GroupByKey]]),(DiscreteStatsTable[GroupByKey]=DiscreteStatsTable[[#This Row],[GroupByKey]])*DiscreteStatsTable[Minimum]))</f>
        <v>0</v>
      </c>
      <c r="U358" cm="1">
        <f t="array" ref="U358">MAX(IF((DiscreteStatsTable[GroupByKey]=DiscreteStatsTable[[#This Row],[GroupByKey]]),(DiscreteStatsTable[GroupByKey]=DiscreteStatsTable[[#This Row],[GroupByKey]])*DiscreteStatsTable[Maximum]))</f>
        <v>63.0529476552218</v>
      </c>
      <c r="V358" cm="1">
        <f t="array" ref="V358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58">
        <f>IF((DiscreteStatsTable[[#This Row],[RepsRequested]]&gt;1),DiscreteStatsTable[[#This Row],[HalfWidth]],DiscreteStatsTable[[#This Row],[BatchMeansHalfWidth]])</f>
        <v>0.11124734756192418</v>
      </c>
      <c r="X358" cm="1">
        <f t="array" ref="X358">COUNT(IF((DiscreteStatsTable[GroupByKey]=DiscreteStatsTable[[#This Row],[GroupByKey]]),(DiscreteStatsTable[GroupByKey]=DiscreteStatsTable[[#This Row],[GroupByKey]])*DiscreteStatsTable[Replication]))</f>
        <v>30</v>
      </c>
      <c r="Y358">
        <f>IF(DiscreteStatsTable[[#This Row],[RepsRequested]]=DiscreteStatsTable[[#This Row],[RepsWithStatObserved]],1,0)</f>
        <v>1</v>
      </c>
    </row>
    <row r="359" spans="1:25" x14ac:dyDescent="0.2">
      <c r="A359" t="s">
        <v>67</v>
      </c>
      <c r="B359" t="s">
        <v>70</v>
      </c>
      <c r="C359">
        <v>28</v>
      </c>
      <c r="D359" t="s">
        <v>88</v>
      </c>
      <c r="E359" t="s">
        <v>72</v>
      </c>
      <c r="F359" t="s">
        <v>73</v>
      </c>
      <c r="G359">
        <v>6.2274118123467597</v>
      </c>
      <c r="H359">
        <v>0.64383466424080504</v>
      </c>
      <c r="I359">
        <v>0</v>
      </c>
      <c r="J359">
        <v>37.421370824981899</v>
      </c>
      <c r="K359">
        <v>532</v>
      </c>
      <c r="L359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59" cm="1">
        <f t="array" ref="M359">MAX(IF((ProjectInfoTable[ProjectName]=DiscreteStatsTable[[#This Row],[ProjectName]]),(ProjectInfoTable[ProjectName]=DiscreteStatsTable[[#This Row],[ProjectName]])*ProjectInfoTable[NumberOfReplications]))</f>
        <v>30</v>
      </c>
      <c r="N359" cm="1">
        <f t="array" ref="N359">IFERROR(AVERAGE(IF((DiscreteStatsTable[GroupByKey]=DiscreteStatsTable[[#This Row],[GroupByKey]]),(DiscreteStatsTable[GroupByKey]=DiscreteStatsTable[[#This Row],[GroupByKey]])*DiscreteStatsTable[Average])),0)</f>
        <v>6.0049421733661612</v>
      </c>
      <c r="O359" cm="1">
        <f t="array" ref="O359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59" cm="1">
        <f t="array" ref="P359">MAX(IF((ProjectInfoTable[ProjectName]=DiscreteStatsTable[[#This Row],[ProjectName]]),(ProjectInfoTable[ProjectName]=DiscreteStatsTable[[#This Row],[ProjectName]])*ProjectInfoTable[ConfidenceInterval]))</f>
        <v>0.95</v>
      </c>
      <c r="Q359">
        <f>IF(AND(DiscreteStatsTable[[#This Row],[RepsWithStatObserved]]=1,Y359=0),200000000000000000000,IFERROR(_xlfn.T.INV.2T(1 -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59" cm="1">
        <f t="array" ref="R359">MIN(IF((DiscreteStatsTable[GroupByKey]=DiscreteStatsTable[[#This Row],[GroupByKey]]),(DiscreteStatsTable[GroupByKey]=DiscreteStatsTable[[#This Row],[GroupByKey]])*DiscreteStatsTable[Average]))</f>
        <v>5.3825028312479199</v>
      </c>
      <c r="S359" cm="1">
        <f t="array" ref="S359">MAX(IF((DiscreteStatsTable[GroupByKey]=DiscreteStatsTable[[#This Row],[GroupByKey]]),(DiscreteStatsTable[GroupByKey]=DiscreteStatsTable[[#This Row],[GroupByKey]])*DiscreteStatsTable[Average]))</f>
        <v>6.5292240865565203</v>
      </c>
      <c r="T359" cm="1">
        <f t="array" ref="T359">MIN(IF((DiscreteStatsTable[GroupByKey]=DiscreteStatsTable[[#This Row],[GroupByKey]]),(DiscreteStatsTable[GroupByKey]=DiscreteStatsTable[[#This Row],[GroupByKey]])*DiscreteStatsTable[Minimum]))</f>
        <v>0</v>
      </c>
      <c r="U359" cm="1">
        <f t="array" ref="U359">MAX(IF((DiscreteStatsTable[GroupByKey]=DiscreteStatsTable[[#This Row],[GroupByKey]]),(DiscreteStatsTable[GroupByKey]=DiscreteStatsTable[[#This Row],[GroupByKey]])*DiscreteStatsTable[Maximum]))</f>
        <v>63.0529476552218</v>
      </c>
      <c r="V359" cm="1">
        <f t="array" ref="V359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59">
        <f>IF((DiscreteStatsTable[[#This Row],[RepsRequested]]&gt;1),DiscreteStatsTable[[#This Row],[HalfWidth]],DiscreteStatsTable[[#This Row],[BatchMeansHalfWidth]])</f>
        <v>0.11124734756192418</v>
      </c>
      <c r="X359" cm="1">
        <f t="array" ref="X359">COUNT(IF((DiscreteStatsTable[GroupByKey]=DiscreteStatsTable[[#This Row],[GroupByKey]]),(DiscreteStatsTable[GroupByKey]=DiscreteStatsTable[[#This Row],[GroupByKey]])*DiscreteStatsTable[Replication]))</f>
        <v>30</v>
      </c>
      <c r="Y359">
        <f>IF(DiscreteStatsTable[[#This Row],[RepsRequested]]=DiscreteStatsTable[[#This Row],[RepsWithStatObserved]],1,0)</f>
        <v>1</v>
      </c>
    </row>
    <row r="360" spans="1:25" x14ac:dyDescent="0.2">
      <c r="A360" t="s">
        <v>67</v>
      </c>
      <c r="B360" t="s">
        <v>70</v>
      </c>
      <c r="C360">
        <v>29</v>
      </c>
      <c r="D360" t="s">
        <v>88</v>
      </c>
      <c r="E360" t="s">
        <v>72</v>
      </c>
      <c r="F360" t="s">
        <v>73</v>
      </c>
      <c r="G360">
        <v>5.4639585653020202</v>
      </c>
      <c r="H360">
        <v>0.48547095119629702</v>
      </c>
      <c r="I360">
        <v>0</v>
      </c>
      <c r="J360">
        <v>36.568091005495397</v>
      </c>
      <c r="K360">
        <v>604</v>
      </c>
      <c r="L360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60" cm="1">
        <f t="array" ref="M360">MAX(IF((ProjectInfoTable[ProjectName]=DiscreteStatsTable[[#This Row],[ProjectName]]),(ProjectInfoTable[ProjectName]=DiscreteStatsTable[[#This Row],[ProjectName]])*ProjectInfoTable[NumberOfReplications]))</f>
        <v>30</v>
      </c>
      <c r="N360" cm="1">
        <f t="array" ref="N360">IFERROR(AVERAGE(IF((DiscreteStatsTable[GroupByKey]=DiscreteStatsTable[[#This Row],[GroupByKey]]),(DiscreteStatsTable[GroupByKey]=DiscreteStatsTable[[#This Row],[GroupByKey]])*DiscreteStatsTable[Average])),0)</f>
        <v>6.0049421733661612</v>
      </c>
      <c r="O360" cm="1">
        <f t="array" ref="O360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60" cm="1">
        <f t="array" ref="P360">MAX(IF((ProjectInfoTable[ProjectName]=DiscreteStatsTable[[#This Row],[ProjectName]]),(ProjectInfoTable[ProjectName]=DiscreteStatsTable[[#This Row],[ProjectName]])*ProjectInfoTable[ConfidenceInterval]))</f>
        <v>0.95</v>
      </c>
      <c r="Q360">
        <f>IF(AND(DiscreteStatsTable[[#This Row],[RepsWithStatObserved]]=1,Y360=0),200000000000000000000,IFERROR(_xlfn.T.INV.2T(1 -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60" cm="1">
        <f t="array" ref="R360">MIN(IF((DiscreteStatsTable[GroupByKey]=DiscreteStatsTable[[#This Row],[GroupByKey]]),(DiscreteStatsTable[GroupByKey]=DiscreteStatsTable[[#This Row],[GroupByKey]])*DiscreteStatsTable[Average]))</f>
        <v>5.3825028312479199</v>
      </c>
      <c r="S360" cm="1">
        <f t="array" ref="S360">MAX(IF((DiscreteStatsTable[GroupByKey]=DiscreteStatsTable[[#This Row],[GroupByKey]]),(DiscreteStatsTable[GroupByKey]=DiscreteStatsTable[[#This Row],[GroupByKey]])*DiscreteStatsTable[Average]))</f>
        <v>6.5292240865565203</v>
      </c>
      <c r="T360" cm="1">
        <f t="array" ref="T360">MIN(IF((DiscreteStatsTable[GroupByKey]=DiscreteStatsTable[[#This Row],[GroupByKey]]),(DiscreteStatsTable[GroupByKey]=DiscreteStatsTable[[#This Row],[GroupByKey]])*DiscreteStatsTable[Minimum]))</f>
        <v>0</v>
      </c>
      <c r="U360" cm="1">
        <f t="array" ref="U360">MAX(IF((DiscreteStatsTable[GroupByKey]=DiscreteStatsTable[[#This Row],[GroupByKey]]),(DiscreteStatsTable[GroupByKey]=DiscreteStatsTable[[#This Row],[GroupByKey]])*DiscreteStatsTable[Maximum]))</f>
        <v>63.0529476552218</v>
      </c>
      <c r="V360" cm="1">
        <f t="array" ref="V360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60">
        <f>IF((DiscreteStatsTable[[#This Row],[RepsRequested]]&gt;1),DiscreteStatsTable[[#This Row],[HalfWidth]],DiscreteStatsTable[[#This Row],[BatchMeansHalfWidth]])</f>
        <v>0.11124734756192418</v>
      </c>
      <c r="X360" cm="1">
        <f t="array" ref="X360">COUNT(IF((DiscreteStatsTable[GroupByKey]=DiscreteStatsTable[[#This Row],[GroupByKey]]),(DiscreteStatsTable[GroupByKey]=DiscreteStatsTable[[#This Row],[GroupByKey]])*DiscreteStatsTable[Replication]))</f>
        <v>30</v>
      </c>
      <c r="Y360">
        <f>IF(DiscreteStatsTable[[#This Row],[RepsRequested]]=DiscreteStatsTable[[#This Row],[RepsWithStatObserved]],1,0)</f>
        <v>1</v>
      </c>
    </row>
    <row r="361" spans="1:25" x14ac:dyDescent="0.2">
      <c r="A361" t="s">
        <v>67</v>
      </c>
      <c r="B361" t="s">
        <v>70</v>
      </c>
      <c r="C361">
        <v>30</v>
      </c>
      <c r="D361" t="s">
        <v>88</v>
      </c>
      <c r="E361" t="s">
        <v>72</v>
      </c>
      <c r="F361" t="s">
        <v>73</v>
      </c>
      <c r="G361">
        <v>6.28887314501877</v>
      </c>
      <c r="H361">
        <v>0.84999156060898196</v>
      </c>
      <c r="I361">
        <v>0</v>
      </c>
      <c r="J361">
        <v>36.509279667896898</v>
      </c>
      <c r="K361">
        <v>540</v>
      </c>
      <c r="L361" t="str">
        <f>DiscreteStatsTable[[#This Row],[ProjectName]]&amp;DiscreteStatsTable[[#This Row],[Name]]&amp;DiscreteStatsTable[[#This Row],[Type]]&amp;DiscreteStatsTable[[#This Row],[Source]]</f>
        <v>Unnamed ProjectOrder_Group.QueueWaiting TimeQueue</v>
      </c>
      <c r="M361" cm="1">
        <f t="array" ref="M361">MAX(IF((ProjectInfoTable[ProjectName]=DiscreteStatsTable[[#This Row],[ProjectName]]),(ProjectInfoTable[ProjectName]=DiscreteStatsTable[[#This Row],[ProjectName]])*ProjectInfoTable[NumberOfReplications]))</f>
        <v>30</v>
      </c>
      <c r="N361" cm="1">
        <f t="array" ref="N361">IFERROR(AVERAGE(IF((DiscreteStatsTable[GroupByKey]=DiscreteStatsTable[[#This Row],[GroupByKey]]),(DiscreteStatsTable[GroupByKey]=DiscreteStatsTable[[#This Row],[GroupByKey]])*DiscreteStatsTable[Average])),0)</f>
        <v>6.0049421733661612</v>
      </c>
      <c r="O361" cm="1">
        <f t="array" ref="O361">IFERROR(_xlfn.STDEV.S(IF((DiscreteStatsTable[GroupByKey]=DiscreteStatsTable[[#This Row],[GroupByKey]]),(DiscreteStatsTable[GroupByKey]=DiscreteStatsTable[[#This Row],[GroupByKey]])*DiscreteStatsTable[Average])),0)</f>
        <v>0.29792586840636864</v>
      </c>
      <c r="P361" cm="1">
        <f t="array" ref="P361">MAX(IF((ProjectInfoTable[ProjectName]=DiscreteStatsTable[[#This Row],[ProjectName]]),(ProjectInfoTable[ProjectName]=DiscreteStatsTable[[#This Row],[ProjectName]])*ProjectInfoTable[ConfidenceInterval]))</f>
        <v>0.95</v>
      </c>
      <c r="Q361">
        <f>IF(AND(DiscreteStatsTable[[#This Row],[RepsWithStatObserved]]=1,Y361=0),200000000000000000000,IFERROR(_xlfn.T.INV.2T(1 -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0.11124734756192418</v>
      </c>
      <c r="R361" cm="1">
        <f t="array" ref="R361">MIN(IF((DiscreteStatsTable[GroupByKey]=DiscreteStatsTable[[#This Row],[GroupByKey]]),(DiscreteStatsTable[GroupByKey]=DiscreteStatsTable[[#This Row],[GroupByKey]])*DiscreteStatsTable[Average]))</f>
        <v>5.3825028312479199</v>
      </c>
      <c r="S361" cm="1">
        <f t="array" ref="S361">MAX(IF((DiscreteStatsTable[GroupByKey]=DiscreteStatsTable[[#This Row],[GroupByKey]]),(DiscreteStatsTable[GroupByKey]=DiscreteStatsTable[[#This Row],[GroupByKey]])*DiscreteStatsTable[Average]))</f>
        <v>6.5292240865565203</v>
      </c>
      <c r="T361" cm="1">
        <f t="array" ref="T361">MIN(IF((DiscreteStatsTable[GroupByKey]=DiscreteStatsTable[[#This Row],[GroupByKey]]),(DiscreteStatsTable[GroupByKey]=DiscreteStatsTable[[#This Row],[GroupByKey]])*DiscreteStatsTable[Minimum]))</f>
        <v>0</v>
      </c>
      <c r="U361" cm="1">
        <f t="array" ref="U361">MAX(IF((DiscreteStatsTable[GroupByKey]=DiscreteStatsTable[[#This Row],[GroupByKey]]),(DiscreteStatsTable[GroupByKey]=DiscreteStatsTable[[#This Row],[GroupByKey]])*DiscreteStatsTable[Maximum]))</f>
        <v>63.0529476552218</v>
      </c>
      <c r="V361" cm="1">
        <f t="array" ref="V361">IFERROR(AVERAGE(IF((DiscreteStatsTable[GroupByKey]=DiscreteStatsTable[[#This Row],[GroupByKey]]),(DiscreteStatsTable[GroupByKey]=DiscreteStatsTable[[#This Row],[GroupByKey]])*DiscreteStatsTable[NumberObservations])),0)</f>
        <v>570.66666666666663</v>
      </c>
      <c r="W361">
        <f>IF((DiscreteStatsTable[[#This Row],[RepsRequested]]&gt;1),DiscreteStatsTable[[#This Row],[HalfWidth]],DiscreteStatsTable[[#This Row],[BatchMeansHalfWidth]])</f>
        <v>0.11124734756192418</v>
      </c>
      <c r="X361" cm="1">
        <f t="array" ref="X361">COUNT(IF((DiscreteStatsTable[GroupByKey]=DiscreteStatsTable[[#This Row],[GroupByKey]]),(DiscreteStatsTable[GroupByKey]=DiscreteStatsTable[[#This Row],[GroupByKey]])*DiscreteStatsTable[Replication]))</f>
        <v>30</v>
      </c>
      <c r="Y361">
        <f>IF(DiscreteStatsTable[[#This Row],[RepsRequested]]=DiscreteStatsTable[[#This Row],[RepsWithStatObserved]],1,0)</f>
        <v>1</v>
      </c>
    </row>
    <row r="362" spans="1:25" x14ac:dyDescent="0.2">
      <c r="A362" t="s">
        <v>67</v>
      </c>
      <c r="B362" t="s">
        <v>70</v>
      </c>
      <c r="C362">
        <v>1</v>
      </c>
      <c r="D362" t="s">
        <v>90</v>
      </c>
      <c r="E362" t="s">
        <v>72</v>
      </c>
      <c r="F362" t="s">
        <v>73</v>
      </c>
      <c r="G362">
        <v>0</v>
      </c>
      <c r="H362">
        <v>2E+20</v>
      </c>
      <c r="I362">
        <v>0</v>
      </c>
      <c r="J362">
        <v>0</v>
      </c>
      <c r="K362">
        <v>215</v>
      </c>
      <c r="L362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62" cm="1">
        <f t="array" ref="M362">MAX(IF((ProjectInfoTable[ProjectName]=DiscreteStatsTable[[#This Row],[ProjectName]]),(ProjectInfoTable[ProjectName]=DiscreteStatsTable[[#This Row],[ProjectName]])*ProjectInfoTable[NumberOfReplications]))</f>
        <v>30</v>
      </c>
      <c r="N362" cm="1">
        <f t="array" ref="N362">IFERROR(AVERAGE(IF((DiscreteStatsTable[GroupByKey]=DiscreteStatsTable[[#This Row],[GroupByKey]]),(DiscreteStatsTable[GroupByKey]=DiscreteStatsTable[[#This Row],[GroupByKey]])*DiscreteStatsTable[Average])),0)</f>
        <v>0</v>
      </c>
      <c r="O362" cm="1">
        <f t="array" ref="O362">IFERROR(_xlfn.STDEV.S(IF((DiscreteStatsTable[GroupByKey]=DiscreteStatsTable[[#This Row],[GroupByKey]]),(DiscreteStatsTable[GroupByKey]=DiscreteStatsTable[[#This Row],[GroupByKey]])*DiscreteStatsTable[Average])),0)</f>
        <v>0</v>
      </c>
      <c r="P362" cm="1">
        <f t="array" ref="P362">MAX(IF((ProjectInfoTable[ProjectName]=DiscreteStatsTable[[#This Row],[ProjectName]]),(ProjectInfoTable[ProjectName]=DiscreteStatsTable[[#This Row],[ProjectName]])*ProjectInfoTable[ConfidenceInterval]))</f>
        <v>0.95</v>
      </c>
      <c r="Q362">
        <f>IF(AND(DiscreteStatsTable[[#This Row],[RepsWithStatObserved]]=1,Y362=0),200000000000000000000,IFERROR(_xlfn.T.INV.2T(1 -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2" cm="1">
        <f t="array" ref="R362">MIN(IF((DiscreteStatsTable[GroupByKey]=DiscreteStatsTable[[#This Row],[GroupByKey]]),(DiscreteStatsTable[GroupByKey]=DiscreteStatsTable[[#This Row],[GroupByKey]])*DiscreteStatsTable[Average]))</f>
        <v>0</v>
      </c>
      <c r="S362" cm="1">
        <f t="array" ref="S362">MAX(IF((DiscreteStatsTable[GroupByKey]=DiscreteStatsTable[[#This Row],[GroupByKey]]),(DiscreteStatsTable[GroupByKey]=DiscreteStatsTable[[#This Row],[GroupByKey]])*DiscreteStatsTable[Average]))</f>
        <v>0</v>
      </c>
      <c r="T362" cm="1">
        <f t="array" ref="T362">MIN(IF((DiscreteStatsTable[GroupByKey]=DiscreteStatsTable[[#This Row],[GroupByKey]]),(DiscreteStatsTable[GroupByKey]=DiscreteStatsTable[[#This Row],[GroupByKey]])*DiscreteStatsTable[Minimum]))</f>
        <v>0</v>
      </c>
      <c r="U362" cm="1">
        <f t="array" ref="U362">MAX(IF((DiscreteStatsTable[GroupByKey]=DiscreteStatsTable[[#This Row],[GroupByKey]]),(DiscreteStatsTable[GroupByKey]=DiscreteStatsTable[[#This Row],[GroupByKey]])*DiscreteStatsTable[Maximum]))</f>
        <v>0</v>
      </c>
      <c r="V362" cm="1">
        <f t="array" ref="V362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62">
        <f>IF((DiscreteStatsTable[[#This Row],[RepsRequested]]&gt;1),DiscreteStatsTable[[#This Row],[HalfWidth]],DiscreteStatsTable[[#This Row],[BatchMeansHalfWidth]])</f>
        <v>0</v>
      </c>
      <c r="X362" cm="1">
        <f t="array" ref="X362">COUNT(IF((DiscreteStatsTable[GroupByKey]=DiscreteStatsTable[[#This Row],[GroupByKey]]),(DiscreteStatsTable[GroupByKey]=DiscreteStatsTable[[#This Row],[GroupByKey]])*DiscreteStatsTable[Replication]))</f>
        <v>30</v>
      </c>
      <c r="Y362">
        <f>IF(DiscreteStatsTable[[#This Row],[RepsRequested]]=DiscreteStatsTable[[#This Row],[RepsWithStatObserved]],1,0)</f>
        <v>1</v>
      </c>
    </row>
    <row r="363" spans="1:25" x14ac:dyDescent="0.2">
      <c r="A363" t="s">
        <v>67</v>
      </c>
      <c r="B363" t="s">
        <v>70</v>
      </c>
      <c r="C363">
        <v>2</v>
      </c>
      <c r="D363" t="s">
        <v>90</v>
      </c>
      <c r="E363" t="s">
        <v>72</v>
      </c>
      <c r="F363" t="s">
        <v>73</v>
      </c>
      <c r="G363">
        <v>0</v>
      </c>
      <c r="H363">
        <v>2E+20</v>
      </c>
      <c r="I363">
        <v>0</v>
      </c>
      <c r="J363">
        <v>0</v>
      </c>
      <c r="K363">
        <v>245</v>
      </c>
      <c r="L363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63" cm="1">
        <f t="array" ref="M363">MAX(IF((ProjectInfoTable[ProjectName]=DiscreteStatsTable[[#This Row],[ProjectName]]),(ProjectInfoTable[ProjectName]=DiscreteStatsTable[[#This Row],[ProjectName]])*ProjectInfoTable[NumberOfReplications]))</f>
        <v>30</v>
      </c>
      <c r="N363" cm="1">
        <f t="array" ref="N363">IFERROR(AVERAGE(IF((DiscreteStatsTable[GroupByKey]=DiscreteStatsTable[[#This Row],[GroupByKey]]),(DiscreteStatsTable[GroupByKey]=DiscreteStatsTable[[#This Row],[GroupByKey]])*DiscreteStatsTable[Average])),0)</f>
        <v>0</v>
      </c>
      <c r="O363" cm="1">
        <f t="array" ref="O363">IFERROR(_xlfn.STDEV.S(IF((DiscreteStatsTable[GroupByKey]=DiscreteStatsTable[[#This Row],[GroupByKey]]),(DiscreteStatsTable[GroupByKey]=DiscreteStatsTable[[#This Row],[GroupByKey]])*DiscreteStatsTable[Average])),0)</f>
        <v>0</v>
      </c>
      <c r="P363" cm="1">
        <f t="array" ref="P363">MAX(IF((ProjectInfoTable[ProjectName]=DiscreteStatsTable[[#This Row],[ProjectName]]),(ProjectInfoTable[ProjectName]=DiscreteStatsTable[[#This Row],[ProjectName]])*ProjectInfoTable[ConfidenceInterval]))</f>
        <v>0.95</v>
      </c>
      <c r="Q363">
        <f>IF(AND(DiscreteStatsTable[[#This Row],[RepsWithStatObserved]]=1,Y363=0),200000000000000000000,IFERROR(_xlfn.T.INV.2T(1 -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3" cm="1">
        <f t="array" ref="R363">MIN(IF((DiscreteStatsTable[GroupByKey]=DiscreteStatsTable[[#This Row],[GroupByKey]]),(DiscreteStatsTable[GroupByKey]=DiscreteStatsTable[[#This Row],[GroupByKey]])*DiscreteStatsTable[Average]))</f>
        <v>0</v>
      </c>
      <c r="S363" cm="1">
        <f t="array" ref="S363">MAX(IF((DiscreteStatsTable[GroupByKey]=DiscreteStatsTable[[#This Row],[GroupByKey]]),(DiscreteStatsTable[GroupByKey]=DiscreteStatsTable[[#This Row],[GroupByKey]])*DiscreteStatsTable[Average]))</f>
        <v>0</v>
      </c>
      <c r="T363" cm="1">
        <f t="array" ref="T363">MIN(IF((DiscreteStatsTable[GroupByKey]=DiscreteStatsTable[[#This Row],[GroupByKey]]),(DiscreteStatsTable[GroupByKey]=DiscreteStatsTable[[#This Row],[GroupByKey]])*DiscreteStatsTable[Minimum]))</f>
        <v>0</v>
      </c>
      <c r="U363" cm="1">
        <f t="array" ref="U363">MAX(IF((DiscreteStatsTable[GroupByKey]=DiscreteStatsTable[[#This Row],[GroupByKey]]),(DiscreteStatsTable[GroupByKey]=DiscreteStatsTable[[#This Row],[GroupByKey]])*DiscreteStatsTable[Maximum]))</f>
        <v>0</v>
      </c>
      <c r="V363" cm="1">
        <f t="array" ref="V363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63">
        <f>IF((DiscreteStatsTable[[#This Row],[RepsRequested]]&gt;1),DiscreteStatsTable[[#This Row],[HalfWidth]],DiscreteStatsTable[[#This Row],[BatchMeansHalfWidth]])</f>
        <v>0</v>
      </c>
      <c r="X363" cm="1">
        <f t="array" ref="X363">COUNT(IF((DiscreteStatsTable[GroupByKey]=DiscreteStatsTable[[#This Row],[GroupByKey]]),(DiscreteStatsTable[GroupByKey]=DiscreteStatsTable[[#This Row],[GroupByKey]])*DiscreteStatsTable[Replication]))</f>
        <v>30</v>
      </c>
      <c r="Y363">
        <f>IF(DiscreteStatsTable[[#This Row],[RepsRequested]]=DiscreteStatsTable[[#This Row],[RepsWithStatObserved]],1,0)</f>
        <v>1</v>
      </c>
    </row>
    <row r="364" spans="1:25" x14ac:dyDescent="0.2">
      <c r="A364" t="s">
        <v>67</v>
      </c>
      <c r="B364" t="s">
        <v>70</v>
      </c>
      <c r="C364">
        <v>3</v>
      </c>
      <c r="D364" t="s">
        <v>90</v>
      </c>
      <c r="E364" t="s">
        <v>72</v>
      </c>
      <c r="F364" t="s">
        <v>73</v>
      </c>
      <c r="G364">
        <v>0</v>
      </c>
      <c r="H364">
        <v>2E+20</v>
      </c>
      <c r="I364">
        <v>0</v>
      </c>
      <c r="J364">
        <v>0</v>
      </c>
      <c r="K364">
        <v>211</v>
      </c>
      <c r="L364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64" cm="1">
        <f t="array" ref="M364">MAX(IF((ProjectInfoTable[ProjectName]=DiscreteStatsTable[[#This Row],[ProjectName]]),(ProjectInfoTable[ProjectName]=DiscreteStatsTable[[#This Row],[ProjectName]])*ProjectInfoTable[NumberOfReplications]))</f>
        <v>30</v>
      </c>
      <c r="N364" cm="1">
        <f t="array" ref="N364">IFERROR(AVERAGE(IF((DiscreteStatsTable[GroupByKey]=DiscreteStatsTable[[#This Row],[GroupByKey]]),(DiscreteStatsTable[GroupByKey]=DiscreteStatsTable[[#This Row],[GroupByKey]])*DiscreteStatsTable[Average])),0)</f>
        <v>0</v>
      </c>
      <c r="O364" cm="1">
        <f t="array" ref="O364">IFERROR(_xlfn.STDEV.S(IF((DiscreteStatsTable[GroupByKey]=DiscreteStatsTable[[#This Row],[GroupByKey]]),(DiscreteStatsTable[GroupByKey]=DiscreteStatsTable[[#This Row],[GroupByKey]])*DiscreteStatsTable[Average])),0)</f>
        <v>0</v>
      </c>
      <c r="P364" cm="1">
        <f t="array" ref="P364">MAX(IF((ProjectInfoTable[ProjectName]=DiscreteStatsTable[[#This Row],[ProjectName]]),(ProjectInfoTable[ProjectName]=DiscreteStatsTable[[#This Row],[ProjectName]])*ProjectInfoTable[ConfidenceInterval]))</f>
        <v>0.95</v>
      </c>
      <c r="Q364">
        <f>IF(AND(DiscreteStatsTable[[#This Row],[RepsWithStatObserved]]=1,Y364=0),200000000000000000000,IFERROR(_xlfn.T.INV.2T(1 -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4" cm="1">
        <f t="array" ref="R364">MIN(IF((DiscreteStatsTable[GroupByKey]=DiscreteStatsTable[[#This Row],[GroupByKey]]),(DiscreteStatsTable[GroupByKey]=DiscreteStatsTable[[#This Row],[GroupByKey]])*DiscreteStatsTable[Average]))</f>
        <v>0</v>
      </c>
      <c r="S364" cm="1">
        <f t="array" ref="S364">MAX(IF((DiscreteStatsTable[GroupByKey]=DiscreteStatsTable[[#This Row],[GroupByKey]]),(DiscreteStatsTable[GroupByKey]=DiscreteStatsTable[[#This Row],[GroupByKey]])*DiscreteStatsTable[Average]))</f>
        <v>0</v>
      </c>
      <c r="T364" cm="1">
        <f t="array" ref="T364">MIN(IF((DiscreteStatsTable[GroupByKey]=DiscreteStatsTable[[#This Row],[GroupByKey]]),(DiscreteStatsTable[GroupByKey]=DiscreteStatsTable[[#This Row],[GroupByKey]])*DiscreteStatsTable[Minimum]))</f>
        <v>0</v>
      </c>
      <c r="U364" cm="1">
        <f t="array" ref="U364">MAX(IF((DiscreteStatsTable[GroupByKey]=DiscreteStatsTable[[#This Row],[GroupByKey]]),(DiscreteStatsTable[GroupByKey]=DiscreteStatsTable[[#This Row],[GroupByKey]])*DiscreteStatsTable[Maximum]))</f>
        <v>0</v>
      </c>
      <c r="V364" cm="1">
        <f t="array" ref="V364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64">
        <f>IF((DiscreteStatsTable[[#This Row],[RepsRequested]]&gt;1),DiscreteStatsTable[[#This Row],[HalfWidth]],DiscreteStatsTable[[#This Row],[BatchMeansHalfWidth]])</f>
        <v>0</v>
      </c>
      <c r="X364" cm="1">
        <f t="array" ref="X364">COUNT(IF((DiscreteStatsTable[GroupByKey]=DiscreteStatsTable[[#This Row],[GroupByKey]]),(DiscreteStatsTable[GroupByKey]=DiscreteStatsTable[[#This Row],[GroupByKey]])*DiscreteStatsTable[Replication]))</f>
        <v>30</v>
      </c>
      <c r="Y364">
        <f>IF(DiscreteStatsTable[[#This Row],[RepsRequested]]=DiscreteStatsTable[[#This Row],[RepsWithStatObserved]],1,0)</f>
        <v>1</v>
      </c>
    </row>
    <row r="365" spans="1:25" x14ac:dyDescent="0.2">
      <c r="A365" t="s">
        <v>67</v>
      </c>
      <c r="B365" t="s">
        <v>70</v>
      </c>
      <c r="C365">
        <v>4</v>
      </c>
      <c r="D365" t="s">
        <v>90</v>
      </c>
      <c r="E365" t="s">
        <v>72</v>
      </c>
      <c r="F365" t="s">
        <v>73</v>
      </c>
      <c r="G365">
        <v>0</v>
      </c>
      <c r="H365">
        <v>2E+20</v>
      </c>
      <c r="I365">
        <v>0</v>
      </c>
      <c r="J365">
        <v>0</v>
      </c>
      <c r="K365">
        <v>229</v>
      </c>
      <c r="L365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65" cm="1">
        <f t="array" ref="M365">MAX(IF((ProjectInfoTable[ProjectName]=DiscreteStatsTable[[#This Row],[ProjectName]]),(ProjectInfoTable[ProjectName]=DiscreteStatsTable[[#This Row],[ProjectName]])*ProjectInfoTable[NumberOfReplications]))</f>
        <v>30</v>
      </c>
      <c r="N365" cm="1">
        <f t="array" ref="N365">IFERROR(AVERAGE(IF((DiscreteStatsTable[GroupByKey]=DiscreteStatsTable[[#This Row],[GroupByKey]]),(DiscreteStatsTable[GroupByKey]=DiscreteStatsTable[[#This Row],[GroupByKey]])*DiscreteStatsTable[Average])),0)</f>
        <v>0</v>
      </c>
      <c r="O365" cm="1">
        <f t="array" ref="O365">IFERROR(_xlfn.STDEV.S(IF((DiscreteStatsTable[GroupByKey]=DiscreteStatsTable[[#This Row],[GroupByKey]]),(DiscreteStatsTable[GroupByKey]=DiscreteStatsTable[[#This Row],[GroupByKey]])*DiscreteStatsTable[Average])),0)</f>
        <v>0</v>
      </c>
      <c r="P365" cm="1">
        <f t="array" ref="P365">MAX(IF((ProjectInfoTable[ProjectName]=DiscreteStatsTable[[#This Row],[ProjectName]]),(ProjectInfoTable[ProjectName]=DiscreteStatsTable[[#This Row],[ProjectName]])*ProjectInfoTable[ConfidenceInterval]))</f>
        <v>0.95</v>
      </c>
      <c r="Q365">
        <f>IF(AND(DiscreteStatsTable[[#This Row],[RepsWithStatObserved]]=1,Y365=0),200000000000000000000,IFERROR(_xlfn.T.INV.2T(1 -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5" cm="1">
        <f t="array" ref="R365">MIN(IF((DiscreteStatsTable[GroupByKey]=DiscreteStatsTable[[#This Row],[GroupByKey]]),(DiscreteStatsTable[GroupByKey]=DiscreteStatsTable[[#This Row],[GroupByKey]])*DiscreteStatsTable[Average]))</f>
        <v>0</v>
      </c>
      <c r="S365" cm="1">
        <f t="array" ref="S365">MAX(IF((DiscreteStatsTable[GroupByKey]=DiscreteStatsTable[[#This Row],[GroupByKey]]),(DiscreteStatsTable[GroupByKey]=DiscreteStatsTable[[#This Row],[GroupByKey]])*DiscreteStatsTable[Average]))</f>
        <v>0</v>
      </c>
      <c r="T365" cm="1">
        <f t="array" ref="T365">MIN(IF((DiscreteStatsTable[GroupByKey]=DiscreteStatsTable[[#This Row],[GroupByKey]]),(DiscreteStatsTable[GroupByKey]=DiscreteStatsTable[[#This Row],[GroupByKey]])*DiscreteStatsTable[Minimum]))</f>
        <v>0</v>
      </c>
      <c r="U365" cm="1">
        <f t="array" ref="U365">MAX(IF((DiscreteStatsTable[GroupByKey]=DiscreteStatsTable[[#This Row],[GroupByKey]]),(DiscreteStatsTable[GroupByKey]=DiscreteStatsTable[[#This Row],[GroupByKey]])*DiscreteStatsTable[Maximum]))</f>
        <v>0</v>
      </c>
      <c r="V365" cm="1">
        <f t="array" ref="V365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65">
        <f>IF((DiscreteStatsTable[[#This Row],[RepsRequested]]&gt;1),DiscreteStatsTable[[#This Row],[HalfWidth]],DiscreteStatsTable[[#This Row],[BatchMeansHalfWidth]])</f>
        <v>0</v>
      </c>
      <c r="X365" cm="1">
        <f t="array" ref="X365">COUNT(IF((DiscreteStatsTable[GroupByKey]=DiscreteStatsTable[[#This Row],[GroupByKey]]),(DiscreteStatsTable[GroupByKey]=DiscreteStatsTable[[#This Row],[GroupByKey]])*DiscreteStatsTable[Replication]))</f>
        <v>30</v>
      </c>
      <c r="Y365">
        <f>IF(DiscreteStatsTable[[#This Row],[RepsRequested]]=DiscreteStatsTable[[#This Row],[RepsWithStatObserved]],1,0)</f>
        <v>1</v>
      </c>
    </row>
    <row r="366" spans="1:25" x14ac:dyDescent="0.2">
      <c r="A366" t="s">
        <v>67</v>
      </c>
      <c r="B366" t="s">
        <v>70</v>
      </c>
      <c r="C366">
        <v>5</v>
      </c>
      <c r="D366" t="s">
        <v>90</v>
      </c>
      <c r="E366" t="s">
        <v>72</v>
      </c>
      <c r="F366" t="s">
        <v>73</v>
      </c>
      <c r="G366">
        <v>0</v>
      </c>
      <c r="H366">
        <v>2E+20</v>
      </c>
      <c r="I366">
        <v>0</v>
      </c>
      <c r="J366">
        <v>0</v>
      </c>
      <c r="K366">
        <v>214</v>
      </c>
      <c r="L366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66" cm="1">
        <f t="array" ref="M366">MAX(IF((ProjectInfoTable[ProjectName]=DiscreteStatsTable[[#This Row],[ProjectName]]),(ProjectInfoTable[ProjectName]=DiscreteStatsTable[[#This Row],[ProjectName]])*ProjectInfoTable[NumberOfReplications]))</f>
        <v>30</v>
      </c>
      <c r="N366" cm="1">
        <f t="array" ref="N366">IFERROR(AVERAGE(IF((DiscreteStatsTable[GroupByKey]=DiscreteStatsTable[[#This Row],[GroupByKey]]),(DiscreteStatsTable[GroupByKey]=DiscreteStatsTable[[#This Row],[GroupByKey]])*DiscreteStatsTable[Average])),0)</f>
        <v>0</v>
      </c>
      <c r="O366" cm="1">
        <f t="array" ref="O366">IFERROR(_xlfn.STDEV.S(IF((DiscreteStatsTable[GroupByKey]=DiscreteStatsTable[[#This Row],[GroupByKey]]),(DiscreteStatsTable[GroupByKey]=DiscreteStatsTable[[#This Row],[GroupByKey]])*DiscreteStatsTable[Average])),0)</f>
        <v>0</v>
      </c>
      <c r="P366" cm="1">
        <f t="array" ref="P366">MAX(IF((ProjectInfoTable[ProjectName]=DiscreteStatsTable[[#This Row],[ProjectName]]),(ProjectInfoTable[ProjectName]=DiscreteStatsTable[[#This Row],[ProjectName]])*ProjectInfoTable[ConfidenceInterval]))</f>
        <v>0.95</v>
      </c>
      <c r="Q366">
        <f>IF(AND(DiscreteStatsTable[[#This Row],[RepsWithStatObserved]]=1,Y366=0),200000000000000000000,IFERROR(_xlfn.T.INV.2T(1 -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6" cm="1">
        <f t="array" ref="R366">MIN(IF((DiscreteStatsTable[GroupByKey]=DiscreteStatsTable[[#This Row],[GroupByKey]]),(DiscreteStatsTable[GroupByKey]=DiscreteStatsTable[[#This Row],[GroupByKey]])*DiscreteStatsTable[Average]))</f>
        <v>0</v>
      </c>
      <c r="S366" cm="1">
        <f t="array" ref="S366">MAX(IF((DiscreteStatsTable[GroupByKey]=DiscreteStatsTable[[#This Row],[GroupByKey]]),(DiscreteStatsTable[GroupByKey]=DiscreteStatsTable[[#This Row],[GroupByKey]])*DiscreteStatsTable[Average]))</f>
        <v>0</v>
      </c>
      <c r="T366" cm="1">
        <f t="array" ref="T366">MIN(IF((DiscreteStatsTable[GroupByKey]=DiscreteStatsTable[[#This Row],[GroupByKey]]),(DiscreteStatsTable[GroupByKey]=DiscreteStatsTable[[#This Row],[GroupByKey]])*DiscreteStatsTable[Minimum]))</f>
        <v>0</v>
      </c>
      <c r="U366" cm="1">
        <f t="array" ref="U366">MAX(IF((DiscreteStatsTable[GroupByKey]=DiscreteStatsTable[[#This Row],[GroupByKey]]),(DiscreteStatsTable[GroupByKey]=DiscreteStatsTable[[#This Row],[GroupByKey]])*DiscreteStatsTable[Maximum]))</f>
        <v>0</v>
      </c>
      <c r="V366" cm="1">
        <f t="array" ref="V366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66">
        <f>IF((DiscreteStatsTable[[#This Row],[RepsRequested]]&gt;1),DiscreteStatsTable[[#This Row],[HalfWidth]],DiscreteStatsTable[[#This Row],[BatchMeansHalfWidth]])</f>
        <v>0</v>
      </c>
      <c r="X366" cm="1">
        <f t="array" ref="X366">COUNT(IF((DiscreteStatsTable[GroupByKey]=DiscreteStatsTable[[#This Row],[GroupByKey]]),(DiscreteStatsTable[GroupByKey]=DiscreteStatsTable[[#This Row],[GroupByKey]])*DiscreteStatsTable[Replication]))</f>
        <v>30</v>
      </c>
      <c r="Y366">
        <f>IF(DiscreteStatsTable[[#This Row],[RepsRequested]]=DiscreteStatsTable[[#This Row],[RepsWithStatObserved]],1,0)</f>
        <v>1</v>
      </c>
    </row>
    <row r="367" spans="1:25" x14ac:dyDescent="0.2">
      <c r="A367" t="s">
        <v>67</v>
      </c>
      <c r="B367" t="s">
        <v>70</v>
      </c>
      <c r="C367">
        <v>6</v>
      </c>
      <c r="D367" t="s">
        <v>90</v>
      </c>
      <c r="E367" t="s">
        <v>72</v>
      </c>
      <c r="F367" t="s">
        <v>73</v>
      </c>
      <c r="G367">
        <v>0</v>
      </c>
      <c r="H367">
        <v>2E+20</v>
      </c>
      <c r="I367">
        <v>0</v>
      </c>
      <c r="J367">
        <v>0</v>
      </c>
      <c r="K367">
        <v>245</v>
      </c>
      <c r="L367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67" cm="1">
        <f t="array" ref="M367">MAX(IF((ProjectInfoTable[ProjectName]=DiscreteStatsTable[[#This Row],[ProjectName]]),(ProjectInfoTable[ProjectName]=DiscreteStatsTable[[#This Row],[ProjectName]])*ProjectInfoTable[NumberOfReplications]))</f>
        <v>30</v>
      </c>
      <c r="N367" cm="1">
        <f t="array" ref="N367">IFERROR(AVERAGE(IF((DiscreteStatsTable[GroupByKey]=DiscreteStatsTable[[#This Row],[GroupByKey]]),(DiscreteStatsTable[GroupByKey]=DiscreteStatsTable[[#This Row],[GroupByKey]])*DiscreteStatsTable[Average])),0)</f>
        <v>0</v>
      </c>
      <c r="O367" cm="1">
        <f t="array" ref="O367">IFERROR(_xlfn.STDEV.S(IF((DiscreteStatsTable[GroupByKey]=DiscreteStatsTable[[#This Row],[GroupByKey]]),(DiscreteStatsTable[GroupByKey]=DiscreteStatsTable[[#This Row],[GroupByKey]])*DiscreteStatsTable[Average])),0)</f>
        <v>0</v>
      </c>
      <c r="P367" cm="1">
        <f t="array" ref="P367">MAX(IF((ProjectInfoTable[ProjectName]=DiscreteStatsTable[[#This Row],[ProjectName]]),(ProjectInfoTable[ProjectName]=DiscreteStatsTable[[#This Row],[ProjectName]])*ProjectInfoTable[ConfidenceInterval]))</f>
        <v>0.95</v>
      </c>
      <c r="Q367">
        <f>IF(AND(DiscreteStatsTable[[#This Row],[RepsWithStatObserved]]=1,Y367=0),200000000000000000000,IFERROR(_xlfn.T.INV.2T(1 -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7" cm="1">
        <f t="array" ref="R367">MIN(IF((DiscreteStatsTable[GroupByKey]=DiscreteStatsTable[[#This Row],[GroupByKey]]),(DiscreteStatsTable[GroupByKey]=DiscreteStatsTable[[#This Row],[GroupByKey]])*DiscreteStatsTable[Average]))</f>
        <v>0</v>
      </c>
      <c r="S367" cm="1">
        <f t="array" ref="S367">MAX(IF((DiscreteStatsTable[GroupByKey]=DiscreteStatsTable[[#This Row],[GroupByKey]]),(DiscreteStatsTable[GroupByKey]=DiscreteStatsTable[[#This Row],[GroupByKey]])*DiscreteStatsTable[Average]))</f>
        <v>0</v>
      </c>
      <c r="T367" cm="1">
        <f t="array" ref="T367">MIN(IF((DiscreteStatsTable[GroupByKey]=DiscreteStatsTable[[#This Row],[GroupByKey]]),(DiscreteStatsTable[GroupByKey]=DiscreteStatsTable[[#This Row],[GroupByKey]])*DiscreteStatsTable[Minimum]))</f>
        <v>0</v>
      </c>
      <c r="U367" cm="1">
        <f t="array" ref="U367">MAX(IF((DiscreteStatsTable[GroupByKey]=DiscreteStatsTable[[#This Row],[GroupByKey]]),(DiscreteStatsTable[GroupByKey]=DiscreteStatsTable[[#This Row],[GroupByKey]])*DiscreteStatsTable[Maximum]))</f>
        <v>0</v>
      </c>
      <c r="V367" cm="1">
        <f t="array" ref="V367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67">
        <f>IF((DiscreteStatsTable[[#This Row],[RepsRequested]]&gt;1),DiscreteStatsTable[[#This Row],[HalfWidth]],DiscreteStatsTable[[#This Row],[BatchMeansHalfWidth]])</f>
        <v>0</v>
      </c>
      <c r="X367" cm="1">
        <f t="array" ref="X367">COUNT(IF((DiscreteStatsTable[GroupByKey]=DiscreteStatsTable[[#This Row],[GroupByKey]]),(DiscreteStatsTable[GroupByKey]=DiscreteStatsTable[[#This Row],[GroupByKey]])*DiscreteStatsTable[Replication]))</f>
        <v>30</v>
      </c>
      <c r="Y367">
        <f>IF(DiscreteStatsTable[[#This Row],[RepsRequested]]=DiscreteStatsTable[[#This Row],[RepsWithStatObserved]],1,0)</f>
        <v>1</v>
      </c>
    </row>
    <row r="368" spans="1:25" x14ac:dyDescent="0.2">
      <c r="A368" t="s">
        <v>67</v>
      </c>
      <c r="B368" t="s">
        <v>70</v>
      </c>
      <c r="C368">
        <v>7</v>
      </c>
      <c r="D368" t="s">
        <v>90</v>
      </c>
      <c r="E368" t="s">
        <v>72</v>
      </c>
      <c r="F368" t="s">
        <v>73</v>
      </c>
      <c r="G368">
        <v>0</v>
      </c>
      <c r="H368">
        <v>2E+20</v>
      </c>
      <c r="I368">
        <v>0</v>
      </c>
      <c r="J368">
        <v>0</v>
      </c>
      <c r="K368">
        <v>213</v>
      </c>
      <c r="L368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68" cm="1">
        <f t="array" ref="M368">MAX(IF((ProjectInfoTable[ProjectName]=DiscreteStatsTable[[#This Row],[ProjectName]]),(ProjectInfoTable[ProjectName]=DiscreteStatsTable[[#This Row],[ProjectName]])*ProjectInfoTable[NumberOfReplications]))</f>
        <v>30</v>
      </c>
      <c r="N368" cm="1">
        <f t="array" ref="N368">IFERROR(AVERAGE(IF((DiscreteStatsTable[GroupByKey]=DiscreteStatsTable[[#This Row],[GroupByKey]]),(DiscreteStatsTable[GroupByKey]=DiscreteStatsTable[[#This Row],[GroupByKey]])*DiscreteStatsTable[Average])),0)</f>
        <v>0</v>
      </c>
      <c r="O368" cm="1">
        <f t="array" ref="O368">IFERROR(_xlfn.STDEV.S(IF((DiscreteStatsTable[GroupByKey]=DiscreteStatsTable[[#This Row],[GroupByKey]]),(DiscreteStatsTable[GroupByKey]=DiscreteStatsTable[[#This Row],[GroupByKey]])*DiscreteStatsTable[Average])),0)</f>
        <v>0</v>
      </c>
      <c r="P368" cm="1">
        <f t="array" ref="P368">MAX(IF((ProjectInfoTable[ProjectName]=DiscreteStatsTable[[#This Row],[ProjectName]]),(ProjectInfoTable[ProjectName]=DiscreteStatsTable[[#This Row],[ProjectName]])*ProjectInfoTable[ConfidenceInterval]))</f>
        <v>0.95</v>
      </c>
      <c r="Q368">
        <f>IF(AND(DiscreteStatsTable[[#This Row],[RepsWithStatObserved]]=1,Y368=0),200000000000000000000,IFERROR(_xlfn.T.INV.2T(1 -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8" cm="1">
        <f t="array" ref="R368">MIN(IF((DiscreteStatsTable[GroupByKey]=DiscreteStatsTable[[#This Row],[GroupByKey]]),(DiscreteStatsTable[GroupByKey]=DiscreteStatsTable[[#This Row],[GroupByKey]])*DiscreteStatsTable[Average]))</f>
        <v>0</v>
      </c>
      <c r="S368" cm="1">
        <f t="array" ref="S368">MAX(IF((DiscreteStatsTable[GroupByKey]=DiscreteStatsTable[[#This Row],[GroupByKey]]),(DiscreteStatsTable[GroupByKey]=DiscreteStatsTable[[#This Row],[GroupByKey]])*DiscreteStatsTable[Average]))</f>
        <v>0</v>
      </c>
      <c r="T368" cm="1">
        <f t="array" ref="T368">MIN(IF((DiscreteStatsTable[GroupByKey]=DiscreteStatsTable[[#This Row],[GroupByKey]]),(DiscreteStatsTable[GroupByKey]=DiscreteStatsTable[[#This Row],[GroupByKey]])*DiscreteStatsTable[Minimum]))</f>
        <v>0</v>
      </c>
      <c r="U368" cm="1">
        <f t="array" ref="U368">MAX(IF((DiscreteStatsTable[GroupByKey]=DiscreteStatsTable[[#This Row],[GroupByKey]]),(DiscreteStatsTable[GroupByKey]=DiscreteStatsTable[[#This Row],[GroupByKey]])*DiscreteStatsTable[Maximum]))</f>
        <v>0</v>
      </c>
      <c r="V368" cm="1">
        <f t="array" ref="V368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68">
        <f>IF((DiscreteStatsTable[[#This Row],[RepsRequested]]&gt;1),DiscreteStatsTable[[#This Row],[HalfWidth]],DiscreteStatsTable[[#This Row],[BatchMeansHalfWidth]])</f>
        <v>0</v>
      </c>
      <c r="X368" cm="1">
        <f t="array" ref="X368">COUNT(IF((DiscreteStatsTable[GroupByKey]=DiscreteStatsTable[[#This Row],[GroupByKey]]),(DiscreteStatsTable[GroupByKey]=DiscreteStatsTable[[#This Row],[GroupByKey]])*DiscreteStatsTable[Replication]))</f>
        <v>30</v>
      </c>
      <c r="Y368">
        <f>IF(DiscreteStatsTable[[#This Row],[RepsRequested]]=DiscreteStatsTable[[#This Row],[RepsWithStatObserved]],1,0)</f>
        <v>1</v>
      </c>
    </row>
    <row r="369" spans="1:25" x14ac:dyDescent="0.2">
      <c r="A369" t="s">
        <v>67</v>
      </c>
      <c r="B369" t="s">
        <v>70</v>
      </c>
      <c r="C369">
        <v>8</v>
      </c>
      <c r="D369" t="s">
        <v>90</v>
      </c>
      <c r="E369" t="s">
        <v>72</v>
      </c>
      <c r="F369" t="s">
        <v>73</v>
      </c>
      <c r="G369">
        <v>0</v>
      </c>
      <c r="H369">
        <v>2E+20</v>
      </c>
      <c r="I369">
        <v>0</v>
      </c>
      <c r="J369">
        <v>0</v>
      </c>
      <c r="K369">
        <v>224</v>
      </c>
      <c r="L369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69" cm="1">
        <f t="array" ref="M369">MAX(IF((ProjectInfoTable[ProjectName]=DiscreteStatsTable[[#This Row],[ProjectName]]),(ProjectInfoTable[ProjectName]=DiscreteStatsTable[[#This Row],[ProjectName]])*ProjectInfoTable[NumberOfReplications]))</f>
        <v>30</v>
      </c>
      <c r="N369" cm="1">
        <f t="array" ref="N369">IFERROR(AVERAGE(IF((DiscreteStatsTable[GroupByKey]=DiscreteStatsTable[[#This Row],[GroupByKey]]),(DiscreteStatsTable[GroupByKey]=DiscreteStatsTable[[#This Row],[GroupByKey]])*DiscreteStatsTable[Average])),0)</f>
        <v>0</v>
      </c>
      <c r="O369" cm="1">
        <f t="array" ref="O369">IFERROR(_xlfn.STDEV.S(IF((DiscreteStatsTable[GroupByKey]=DiscreteStatsTable[[#This Row],[GroupByKey]]),(DiscreteStatsTable[GroupByKey]=DiscreteStatsTable[[#This Row],[GroupByKey]])*DiscreteStatsTable[Average])),0)</f>
        <v>0</v>
      </c>
      <c r="P369" cm="1">
        <f t="array" ref="P369">MAX(IF((ProjectInfoTable[ProjectName]=DiscreteStatsTable[[#This Row],[ProjectName]]),(ProjectInfoTable[ProjectName]=DiscreteStatsTable[[#This Row],[ProjectName]])*ProjectInfoTable[ConfidenceInterval]))</f>
        <v>0.95</v>
      </c>
      <c r="Q369">
        <f>IF(AND(DiscreteStatsTable[[#This Row],[RepsWithStatObserved]]=1,Y369=0),200000000000000000000,IFERROR(_xlfn.T.INV.2T(1 -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69" cm="1">
        <f t="array" ref="R369">MIN(IF((DiscreteStatsTable[GroupByKey]=DiscreteStatsTable[[#This Row],[GroupByKey]]),(DiscreteStatsTable[GroupByKey]=DiscreteStatsTable[[#This Row],[GroupByKey]])*DiscreteStatsTable[Average]))</f>
        <v>0</v>
      </c>
      <c r="S369" cm="1">
        <f t="array" ref="S369">MAX(IF((DiscreteStatsTable[GroupByKey]=DiscreteStatsTable[[#This Row],[GroupByKey]]),(DiscreteStatsTable[GroupByKey]=DiscreteStatsTable[[#This Row],[GroupByKey]])*DiscreteStatsTable[Average]))</f>
        <v>0</v>
      </c>
      <c r="T369" cm="1">
        <f t="array" ref="T369">MIN(IF((DiscreteStatsTable[GroupByKey]=DiscreteStatsTable[[#This Row],[GroupByKey]]),(DiscreteStatsTable[GroupByKey]=DiscreteStatsTable[[#This Row],[GroupByKey]])*DiscreteStatsTable[Minimum]))</f>
        <v>0</v>
      </c>
      <c r="U369" cm="1">
        <f t="array" ref="U369">MAX(IF((DiscreteStatsTable[GroupByKey]=DiscreteStatsTable[[#This Row],[GroupByKey]]),(DiscreteStatsTable[GroupByKey]=DiscreteStatsTable[[#This Row],[GroupByKey]])*DiscreteStatsTable[Maximum]))</f>
        <v>0</v>
      </c>
      <c r="V369" cm="1">
        <f t="array" ref="V369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69">
        <f>IF((DiscreteStatsTable[[#This Row],[RepsRequested]]&gt;1),DiscreteStatsTable[[#This Row],[HalfWidth]],DiscreteStatsTable[[#This Row],[BatchMeansHalfWidth]])</f>
        <v>0</v>
      </c>
      <c r="X369" cm="1">
        <f t="array" ref="X369">COUNT(IF((DiscreteStatsTable[GroupByKey]=DiscreteStatsTable[[#This Row],[GroupByKey]]),(DiscreteStatsTable[GroupByKey]=DiscreteStatsTable[[#This Row],[GroupByKey]])*DiscreteStatsTable[Replication]))</f>
        <v>30</v>
      </c>
      <c r="Y369">
        <f>IF(DiscreteStatsTable[[#This Row],[RepsRequested]]=DiscreteStatsTable[[#This Row],[RepsWithStatObserved]],1,0)</f>
        <v>1</v>
      </c>
    </row>
    <row r="370" spans="1:25" x14ac:dyDescent="0.2">
      <c r="A370" t="s">
        <v>67</v>
      </c>
      <c r="B370" t="s">
        <v>70</v>
      </c>
      <c r="C370">
        <v>9</v>
      </c>
      <c r="D370" t="s">
        <v>90</v>
      </c>
      <c r="E370" t="s">
        <v>72</v>
      </c>
      <c r="F370" t="s">
        <v>73</v>
      </c>
      <c r="G370">
        <v>0</v>
      </c>
      <c r="H370">
        <v>2E+20</v>
      </c>
      <c r="I370">
        <v>0</v>
      </c>
      <c r="J370">
        <v>0</v>
      </c>
      <c r="K370">
        <v>233</v>
      </c>
      <c r="L370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70" cm="1">
        <f t="array" ref="M370">MAX(IF((ProjectInfoTable[ProjectName]=DiscreteStatsTable[[#This Row],[ProjectName]]),(ProjectInfoTable[ProjectName]=DiscreteStatsTable[[#This Row],[ProjectName]])*ProjectInfoTable[NumberOfReplications]))</f>
        <v>30</v>
      </c>
      <c r="N370" cm="1">
        <f t="array" ref="N370">IFERROR(AVERAGE(IF((DiscreteStatsTable[GroupByKey]=DiscreteStatsTable[[#This Row],[GroupByKey]]),(DiscreteStatsTable[GroupByKey]=DiscreteStatsTable[[#This Row],[GroupByKey]])*DiscreteStatsTable[Average])),0)</f>
        <v>0</v>
      </c>
      <c r="O370" cm="1">
        <f t="array" ref="O370">IFERROR(_xlfn.STDEV.S(IF((DiscreteStatsTable[GroupByKey]=DiscreteStatsTable[[#This Row],[GroupByKey]]),(DiscreteStatsTable[GroupByKey]=DiscreteStatsTable[[#This Row],[GroupByKey]])*DiscreteStatsTable[Average])),0)</f>
        <v>0</v>
      </c>
      <c r="P370" cm="1">
        <f t="array" ref="P370">MAX(IF((ProjectInfoTable[ProjectName]=DiscreteStatsTable[[#This Row],[ProjectName]]),(ProjectInfoTable[ProjectName]=DiscreteStatsTable[[#This Row],[ProjectName]])*ProjectInfoTable[ConfidenceInterval]))</f>
        <v>0.95</v>
      </c>
      <c r="Q370">
        <f>IF(AND(DiscreteStatsTable[[#This Row],[RepsWithStatObserved]]=1,Y370=0),200000000000000000000,IFERROR(_xlfn.T.INV.2T(1 -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0" cm="1">
        <f t="array" ref="R370">MIN(IF((DiscreteStatsTable[GroupByKey]=DiscreteStatsTable[[#This Row],[GroupByKey]]),(DiscreteStatsTable[GroupByKey]=DiscreteStatsTable[[#This Row],[GroupByKey]])*DiscreteStatsTable[Average]))</f>
        <v>0</v>
      </c>
      <c r="S370" cm="1">
        <f t="array" ref="S370">MAX(IF((DiscreteStatsTable[GroupByKey]=DiscreteStatsTable[[#This Row],[GroupByKey]]),(DiscreteStatsTable[GroupByKey]=DiscreteStatsTable[[#This Row],[GroupByKey]])*DiscreteStatsTable[Average]))</f>
        <v>0</v>
      </c>
      <c r="T370" cm="1">
        <f t="array" ref="T370">MIN(IF((DiscreteStatsTable[GroupByKey]=DiscreteStatsTable[[#This Row],[GroupByKey]]),(DiscreteStatsTable[GroupByKey]=DiscreteStatsTable[[#This Row],[GroupByKey]])*DiscreteStatsTable[Minimum]))</f>
        <v>0</v>
      </c>
      <c r="U370" cm="1">
        <f t="array" ref="U370">MAX(IF((DiscreteStatsTable[GroupByKey]=DiscreteStatsTable[[#This Row],[GroupByKey]]),(DiscreteStatsTable[GroupByKey]=DiscreteStatsTable[[#This Row],[GroupByKey]])*DiscreteStatsTable[Maximum]))</f>
        <v>0</v>
      </c>
      <c r="V370" cm="1">
        <f t="array" ref="V370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70">
        <f>IF((DiscreteStatsTable[[#This Row],[RepsRequested]]&gt;1),DiscreteStatsTable[[#This Row],[HalfWidth]],DiscreteStatsTable[[#This Row],[BatchMeansHalfWidth]])</f>
        <v>0</v>
      </c>
      <c r="X370" cm="1">
        <f t="array" ref="X370">COUNT(IF((DiscreteStatsTable[GroupByKey]=DiscreteStatsTable[[#This Row],[GroupByKey]]),(DiscreteStatsTable[GroupByKey]=DiscreteStatsTable[[#This Row],[GroupByKey]])*DiscreteStatsTable[Replication]))</f>
        <v>30</v>
      </c>
      <c r="Y370">
        <f>IF(DiscreteStatsTable[[#This Row],[RepsRequested]]=DiscreteStatsTable[[#This Row],[RepsWithStatObserved]],1,0)</f>
        <v>1</v>
      </c>
    </row>
    <row r="371" spans="1:25" x14ac:dyDescent="0.2">
      <c r="A371" t="s">
        <v>67</v>
      </c>
      <c r="B371" t="s">
        <v>70</v>
      </c>
      <c r="C371">
        <v>10</v>
      </c>
      <c r="D371" t="s">
        <v>90</v>
      </c>
      <c r="E371" t="s">
        <v>72</v>
      </c>
      <c r="F371" t="s">
        <v>73</v>
      </c>
      <c r="G371">
        <v>0</v>
      </c>
      <c r="H371">
        <v>2E+20</v>
      </c>
      <c r="I371">
        <v>0</v>
      </c>
      <c r="J371">
        <v>0</v>
      </c>
      <c r="K371">
        <v>228</v>
      </c>
      <c r="L371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71" cm="1">
        <f t="array" ref="M371">MAX(IF((ProjectInfoTable[ProjectName]=DiscreteStatsTable[[#This Row],[ProjectName]]),(ProjectInfoTable[ProjectName]=DiscreteStatsTable[[#This Row],[ProjectName]])*ProjectInfoTable[NumberOfReplications]))</f>
        <v>30</v>
      </c>
      <c r="N371" cm="1">
        <f t="array" ref="N371">IFERROR(AVERAGE(IF((DiscreteStatsTable[GroupByKey]=DiscreteStatsTable[[#This Row],[GroupByKey]]),(DiscreteStatsTable[GroupByKey]=DiscreteStatsTable[[#This Row],[GroupByKey]])*DiscreteStatsTable[Average])),0)</f>
        <v>0</v>
      </c>
      <c r="O371" cm="1">
        <f t="array" ref="O371">IFERROR(_xlfn.STDEV.S(IF((DiscreteStatsTable[GroupByKey]=DiscreteStatsTable[[#This Row],[GroupByKey]]),(DiscreteStatsTable[GroupByKey]=DiscreteStatsTable[[#This Row],[GroupByKey]])*DiscreteStatsTable[Average])),0)</f>
        <v>0</v>
      </c>
      <c r="P371" cm="1">
        <f t="array" ref="P371">MAX(IF((ProjectInfoTable[ProjectName]=DiscreteStatsTable[[#This Row],[ProjectName]]),(ProjectInfoTable[ProjectName]=DiscreteStatsTable[[#This Row],[ProjectName]])*ProjectInfoTable[ConfidenceInterval]))</f>
        <v>0.95</v>
      </c>
      <c r="Q371">
        <f>IF(AND(DiscreteStatsTable[[#This Row],[RepsWithStatObserved]]=1,Y371=0),200000000000000000000,IFERROR(_xlfn.T.INV.2T(1 -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1" cm="1">
        <f t="array" ref="R371">MIN(IF((DiscreteStatsTable[GroupByKey]=DiscreteStatsTable[[#This Row],[GroupByKey]]),(DiscreteStatsTable[GroupByKey]=DiscreteStatsTable[[#This Row],[GroupByKey]])*DiscreteStatsTable[Average]))</f>
        <v>0</v>
      </c>
      <c r="S371" cm="1">
        <f t="array" ref="S371">MAX(IF((DiscreteStatsTable[GroupByKey]=DiscreteStatsTable[[#This Row],[GroupByKey]]),(DiscreteStatsTable[GroupByKey]=DiscreteStatsTable[[#This Row],[GroupByKey]])*DiscreteStatsTable[Average]))</f>
        <v>0</v>
      </c>
      <c r="T371" cm="1">
        <f t="array" ref="T371">MIN(IF((DiscreteStatsTable[GroupByKey]=DiscreteStatsTable[[#This Row],[GroupByKey]]),(DiscreteStatsTable[GroupByKey]=DiscreteStatsTable[[#This Row],[GroupByKey]])*DiscreteStatsTable[Minimum]))</f>
        <v>0</v>
      </c>
      <c r="U371" cm="1">
        <f t="array" ref="U371">MAX(IF((DiscreteStatsTable[GroupByKey]=DiscreteStatsTable[[#This Row],[GroupByKey]]),(DiscreteStatsTable[GroupByKey]=DiscreteStatsTable[[#This Row],[GroupByKey]])*DiscreteStatsTable[Maximum]))</f>
        <v>0</v>
      </c>
      <c r="V371" cm="1">
        <f t="array" ref="V371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71">
        <f>IF((DiscreteStatsTable[[#This Row],[RepsRequested]]&gt;1),DiscreteStatsTable[[#This Row],[HalfWidth]],DiscreteStatsTable[[#This Row],[BatchMeansHalfWidth]])</f>
        <v>0</v>
      </c>
      <c r="X371" cm="1">
        <f t="array" ref="X371">COUNT(IF((DiscreteStatsTable[GroupByKey]=DiscreteStatsTable[[#This Row],[GroupByKey]]),(DiscreteStatsTable[GroupByKey]=DiscreteStatsTable[[#This Row],[GroupByKey]])*DiscreteStatsTable[Replication]))</f>
        <v>30</v>
      </c>
      <c r="Y371">
        <f>IF(DiscreteStatsTable[[#This Row],[RepsRequested]]=DiscreteStatsTable[[#This Row],[RepsWithStatObserved]],1,0)</f>
        <v>1</v>
      </c>
    </row>
    <row r="372" spans="1:25" x14ac:dyDescent="0.2">
      <c r="A372" t="s">
        <v>67</v>
      </c>
      <c r="B372" t="s">
        <v>70</v>
      </c>
      <c r="C372">
        <v>11</v>
      </c>
      <c r="D372" t="s">
        <v>90</v>
      </c>
      <c r="E372" t="s">
        <v>72</v>
      </c>
      <c r="F372" t="s">
        <v>73</v>
      </c>
      <c r="G372">
        <v>0</v>
      </c>
      <c r="H372">
        <v>2E+20</v>
      </c>
      <c r="I372">
        <v>0</v>
      </c>
      <c r="J372">
        <v>0</v>
      </c>
      <c r="K372">
        <v>246</v>
      </c>
      <c r="L372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72" cm="1">
        <f t="array" ref="M372">MAX(IF((ProjectInfoTable[ProjectName]=DiscreteStatsTable[[#This Row],[ProjectName]]),(ProjectInfoTable[ProjectName]=DiscreteStatsTable[[#This Row],[ProjectName]])*ProjectInfoTable[NumberOfReplications]))</f>
        <v>30</v>
      </c>
      <c r="N372" cm="1">
        <f t="array" ref="N372">IFERROR(AVERAGE(IF((DiscreteStatsTable[GroupByKey]=DiscreteStatsTable[[#This Row],[GroupByKey]]),(DiscreteStatsTable[GroupByKey]=DiscreteStatsTable[[#This Row],[GroupByKey]])*DiscreteStatsTable[Average])),0)</f>
        <v>0</v>
      </c>
      <c r="O372" cm="1">
        <f t="array" ref="O372">IFERROR(_xlfn.STDEV.S(IF((DiscreteStatsTable[GroupByKey]=DiscreteStatsTable[[#This Row],[GroupByKey]]),(DiscreteStatsTable[GroupByKey]=DiscreteStatsTable[[#This Row],[GroupByKey]])*DiscreteStatsTable[Average])),0)</f>
        <v>0</v>
      </c>
      <c r="P372" cm="1">
        <f t="array" ref="P372">MAX(IF((ProjectInfoTable[ProjectName]=DiscreteStatsTable[[#This Row],[ProjectName]]),(ProjectInfoTable[ProjectName]=DiscreteStatsTable[[#This Row],[ProjectName]])*ProjectInfoTable[ConfidenceInterval]))</f>
        <v>0.95</v>
      </c>
      <c r="Q372">
        <f>IF(AND(DiscreteStatsTable[[#This Row],[RepsWithStatObserved]]=1,Y372=0),200000000000000000000,IFERROR(_xlfn.T.INV.2T(1 -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2" cm="1">
        <f t="array" ref="R372">MIN(IF((DiscreteStatsTable[GroupByKey]=DiscreteStatsTable[[#This Row],[GroupByKey]]),(DiscreteStatsTable[GroupByKey]=DiscreteStatsTable[[#This Row],[GroupByKey]])*DiscreteStatsTable[Average]))</f>
        <v>0</v>
      </c>
      <c r="S372" cm="1">
        <f t="array" ref="S372">MAX(IF((DiscreteStatsTable[GroupByKey]=DiscreteStatsTable[[#This Row],[GroupByKey]]),(DiscreteStatsTable[GroupByKey]=DiscreteStatsTable[[#This Row],[GroupByKey]])*DiscreteStatsTable[Average]))</f>
        <v>0</v>
      </c>
      <c r="T372" cm="1">
        <f t="array" ref="T372">MIN(IF((DiscreteStatsTable[GroupByKey]=DiscreteStatsTable[[#This Row],[GroupByKey]]),(DiscreteStatsTable[GroupByKey]=DiscreteStatsTable[[#This Row],[GroupByKey]])*DiscreteStatsTable[Minimum]))</f>
        <v>0</v>
      </c>
      <c r="U372" cm="1">
        <f t="array" ref="U372">MAX(IF((DiscreteStatsTable[GroupByKey]=DiscreteStatsTable[[#This Row],[GroupByKey]]),(DiscreteStatsTable[GroupByKey]=DiscreteStatsTable[[#This Row],[GroupByKey]])*DiscreteStatsTable[Maximum]))</f>
        <v>0</v>
      </c>
      <c r="V372" cm="1">
        <f t="array" ref="V372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72">
        <f>IF((DiscreteStatsTable[[#This Row],[RepsRequested]]&gt;1),DiscreteStatsTable[[#This Row],[HalfWidth]],DiscreteStatsTable[[#This Row],[BatchMeansHalfWidth]])</f>
        <v>0</v>
      </c>
      <c r="X372" cm="1">
        <f t="array" ref="X372">COUNT(IF((DiscreteStatsTable[GroupByKey]=DiscreteStatsTable[[#This Row],[GroupByKey]]),(DiscreteStatsTable[GroupByKey]=DiscreteStatsTable[[#This Row],[GroupByKey]])*DiscreteStatsTable[Replication]))</f>
        <v>30</v>
      </c>
      <c r="Y372">
        <f>IF(DiscreteStatsTable[[#This Row],[RepsRequested]]=DiscreteStatsTable[[#This Row],[RepsWithStatObserved]],1,0)</f>
        <v>1</v>
      </c>
    </row>
    <row r="373" spans="1:25" x14ac:dyDescent="0.2">
      <c r="A373" t="s">
        <v>67</v>
      </c>
      <c r="B373" t="s">
        <v>70</v>
      </c>
      <c r="C373">
        <v>12</v>
      </c>
      <c r="D373" t="s">
        <v>90</v>
      </c>
      <c r="E373" t="s">
        <v>72</v>
      </c>
      <c r="F373" t="s">
        <v>73</v>
      </c>
      <c r="G373">
        <v>0</v>
      </c>
      <c r="H373">
        <v>2E+20</v>
      </c>
      <c r="I373">
        <v>0</v>
      </c>
      <c r="J373">
        <v>0</v>
      </c>
      <c r="K373">
        <v>253</v>
      </c>
      <c r="L373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73" cm="1">
        <f t="array" ref="M373">MAX(IF((ProjectInfoTable[ProjectName]=DiscreteStatsTable[[#This Row],[ProjectName]]),(ProjectInfoTable[ProjectName]=DiscreteStatsTable[[#This Row],[ProjectName]])*ProjectInfoTable[NumberOfReplications]))</f>
        <v>30</v>
      </c>
      <c r="N373" cm="1">
        <f t="array" ref="N373">IFERROR(AVERAGE(IF((DiscreteStatsTable[GroupByKey]=DiscreteStatsTable[[#This Row],[GroupByKey]]),(DiscreteStatsTable[GroupByKey]=DiscreteStatsTable[[#This Row],[GroupByKey]])*DiscreteStatsTable[Average])),0)</f>
        <v>0</v>
      </c>
      <c r="O373" cm="1">
        <f t="array" ref="O373">IFERROR(_xlfn.STDEV.S(IF((DiscreteStatsTable[GroupByKey]=DiscreteStatsTable[[#This Row],[GroupByKey]]),(DiscreteStatsTable[GroupByKey]=DiscreteStatsTable[[#This Row],[GroupByKey]])*DiscreteStatsTable[Average])),0)</f>
        <v>0</v>
      </c>
      <c r="P373" cm="1">
        <f t="array" ref="P373">MAX(IF((ProjectInfoTable[ProjectName]=DiscreteStatsTable[[#This Row],[ProjectName]]),(ProjectInfoTable[ProjectName]=DiscreteStatsTable[[#This Row],[ProjectName]])*ProjectInfoTable[ConfidenceInterval]))</f>
        <v>0.95</v>
      </c>
      <c r="Q373">
        <f>IF(AND(DiscreteStatsTable[[#This Row],[RepsWithStatObserved]]=1,Y373=0),200000000000000000000,IFERROR(_xlfn.T.INV.2T(1 -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3" cm="1">
        <f t="array" ref="R373">MIN(IF((DiscreteStatsTable[GroupByKey]=DiscreteStatsTable[[#This Row],[GroupByKey]]),(DiscreteStatsTable[GroupByKey]=DiscreteStatsTable[[#This Row],[GroupByKey]])*DiscreteStatsTable[Average]))</f>
        <v>0</v>
      </c>
      <c r="S373" cm="1">
        <f t="array" ref="S373">MAX(IF((DiscreteStatsTable[GroupByKey]=DiscreteStatsTable[[#This Row],[GroupByKey]]),(DiscreteStatsTable[GroupByKey]=DiscreteStatsTable[[#This Row],[GroupByKey]])*DiscreteStatsTable[Average]))</f>
        <v>0</v>
      </c>
      <c r="T373" cm="1">
        <f t="array" ref="T373">MIN(IF((DiscreteStatsTable[GroupByKey]=DiscreteStatsTable[[#This Row],[GroupByKey]]),(DiscreteStatsTable[GroupByKey]=DiscreteStatsTable[[#This Row],[GroupByKey]])*DiscreteStatsTable[Minimum]))</f>
        <v>0</v>
      </c>
      <c r="U373" cm="1">
        <f t="array" ref="U373">MAX(IF((DiscreteStatsTable[GroupByKey]=DiscreteStatsTable[[#This Row],[GroupByKey]]),(DiscreteStatsTable[GroupByKey]=DiscreteStatsTable[[#This Row],[GroupByKey]])*DiscreteStatsTable[Maximum]))</f>
        <v>0</v>
      </c>
      <c r="V373" cm="1">
        <f t="array" ref="V373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73">
        <f>IF((DiscreteStatsTable[[#This Row],[RepsRequested]]&gt;1),DiscreteStatsTable[[#This Row],[HalfWidth]],DiscreteStatsTable[[#This Row],[BatchMeansHalfWidth]])</f>
        <v>0</v>
      </c>
      <c r="X373" cm="1">
        <f t="array" ref="X373">COUNT(IF((DiscreteStatsTable[GroupByKey]=DiscreteStatsTable[[#This Row],[GroupByKey]]),(DiscreteStatsTable[GroupByKey]=DiscreteStatsTable[[#This Row],[GroupByKey]])*DiscreteStatsTable[Replication]))</f>
        <v>30</v>
      </c>
      <c r="Y373">
        <f>IF(DiscreteStatsTable[[#This Row],[RepsRequested]]=DiscreteStatsTable[[#This Row],[RepsWithStatObserved]],1,0)</f>
        <v>1</v>
      </c>
    </row>
    <row r="374" spans="1:25" x14ac:dyDescent="0.2">
      <c r="A374" t="s">
        <v>67</v>
      </c>
      <c r="B374" t="s">
        <v>70</v>
      </c>
      <c r="C374">
        <v>13</v>
      </c>
      <c r="D374" t="s">
        <v>90</v>
      </c>
      <c r="E374" t="s">
        <v>72</v>
      </c>
      <c r="F374" t="s">
        <v>73</v>
      </c>
      <c r="G374">
        <v>0</v>
      </c>
      <c r="H374">
        <v>2E+20</v>
      </c>
      <c r="I374">
        <v>0</v>
      </c>
      <c r="J374">
        <v>0</v>
      </c>
      <c r="K374">
        <v>231</v>
      </c>
      <c r="L374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74" cm="1">
        <f t="array" ref="M374">MAX(IF((ProjectInfoTable[ProjectName]=DiscreteStatsTable[[#This Row],[ProjectName]]),(ProjectInfoTable[ProjectName]=DiscreteStatsTable[[#This Row],[ProjectName]])*ProjectInfoTable[NumberOfReplications]))</f>
        <v>30</v>
      </c>
      <c r="N374" cm="1">
        <f t="array" ref="N374">IFERROR(AVERAGE(IF((DiscreteStatsTable[GroupByKey]=DiscreteStatsTable[[#This Row],[GroupByKey]]),(DiscreteStatsTable[GroupByKey]=DiscreteStatsTable[[#This Row],[GroupByKey]])*DiscreteStatsTable[Average])),0)</f>
        <v>0</v>
      </c>
      <c r="O374" cm="1">
        <f t="array" ref="O374">IFERROR(_xlfn.STDEV.S(IF((DiscreteStatsTable[GroupByKey]=DiscreteStatsTable[[#This Row],[GroupByKey]]),(DiscreteStatsTable[GroupByKey]=DiscreteStatsTable[[#This Row],[GroupByKey]])*DiscreteStatsTable[Average])),0)</f>
        <v>0</v>
      </c>
      <c r="P374" cm="1">
        <f t="array" ref="P374">MAX(IF((ProjectInfoTable[ProjectName]=DiscreteStatsTable[[#This Row],[ProjectName]]),(ProjectInfoTable[ProjectName]=DiscreteStatsTable[[#This Row],[ProjectName]])*ProjectInfoTable[ConfidenceInterval]))</f>
        <v>0.95</v>
      </c>
      <c r="Q374">
        <f>IF(AND(DiscreteStatsTable[[#This Row],[RepsWithStatObserved]]=1,Y374=0),200000000000000000000,IFERROR(_xlfn.T.INV.2T(1 -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4" cm="1">
        <f t="array" ref="R374">MIN(IF((DiscreteStatsTable[GroupByKey]=DiscreteStatsTable[[#This Row],[GroupByKey]]),(DiscreteStatsTable[GroupByKey]=DiscreteStatsTable[[#This Row],[GroupByKey]])*DiscreteStatsTable[Average]))</f>
        <v>0</v>
      </c>
      <c r="S374" cm="1">
        <f t="array" ref="S374">MAX(IF((DiscreteStatsTable[GroupByKey]=DiscreteStatsTable[[#This Row],[GroupByKey]]),(DiscreteStatsTable[GroupByKey]=DiscreteStatsTable[[#This Row],[GroupByKey]])*DiscreteStatsTable[Average]))</f>
        <v>0</v>
      </c>
      <c r="T374" cm="1">
        <f t="array" ref="T374">MIN(IF((DiscreteStatsTable[GroupByKey]=DiscreteStatsTable[[#This Row],[GroupByKey]]),(DiscreteStatsTable[GroupByKey]=DiscreteStatsTable[[#This Row],[GroupByKey]])*DiscreteStatsTable[Minimum]))</f>
        <v>0</v>
      </c>
      <c r="U374" cm="1">
        <f t="array" ref="U374">MAX(IF((DiscreteStatsTable[GroupByKey]=DiscreteStatsTable[[#This Row],[GroupByKey]]),(DiscreteStatsTable[GroupByKey]=DiscreteStatsTable[[#This Row],[GroupByKey]])*DiscreteStatsTable[Maximum]))</f>
        <v>0</v>
      </c>
      <c r="V374" cm="1">
        <f t="array" ref="V374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74">
        <f>IF((DiscreteStatsTable[[#This Row],[RepsRequested]]&gt;1),DiscreteStatsTable[[#This Row],[HalfWidth]],DiscreteStatsTable[[#This Row],[BatchMeansHalfWidth]])</f>
        <v>0</v>
      </c>
      <c r="X374" cm="1">
        <f t="array" ref="X374">COUNT(IF((DiscreteStatsTable[GroupByKey]=DiscreteStatsTable[[#This Row],[GroupByKey]]),(DiscreteStatsTable[GroupByKey]=DiscreteStatsTable[[#This Row],[GroupByKey]])*DiscreteStatsTable[Replication]))</f>
        <v>30</v>
      </c>
      <c r="Y374">
        <f>IF(DiscreteStatsTable[[#This Row],[RepsRequested]]=DiscreteStatsTable[[#This Row],[RepsWithStatObserved]],1,0)</f>
        <v>1</v>
      </c>
    </row>
    <row r="375" spans="1:25" x14ac:dyDescent="0.2">
      <c r="A375" t="s">
        <v>67</v>
      </c>
      <c r="B375" t="s">
        <v>70</v>
      </c>
      <c r="C375">
        <v>14</v>
      </c>
      <c r="D375" t="s">
        <v>90</v>
      </c>
      <c r="E375" t="s">
        <v>72</v>
      </c>
      <c r="F375" t="s">
        <v>73</v>
      </c>
      <c r="G375">
        <v>0</v>
      </c>
      <c r="H375">
        <v>2E+20</v>
      </c>
      <c r="I375">
        <v>0</v>
      </c>
      <c r="J375">
        <v>0</v>
      </c>
      <c r="K375">
        <v>221</v>
      </c>
      <c r="L375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75" cm="1">
        <f t="array" ref="M375">MAX(IF((ProjectInfoTable[ProjectName]=DiscreteStatsTable[[#This Row],[ProjectName]]),(ProjectInfoTable[ProjectName]=DiscreteStatsTable[[#This Row],[ProjectName]])*ProjectInfoTable[NumberOfReplications]))</f>
        <v>30</v>
      </c>
      <c r="N375" cm="1">
        <f t="array" ref="N375">IFERROR(AVERAGE(IF((DiscreteStatsTable[GroupByKey]=DiscreteStatsTable[[#This Row],[GroupByKey]]),(DiscreteStatsTable[GroupByKey]=DiscreteStatsTable[[#This Row],[GroupByKey]])*DiscreteStatsTable[Average])),0)</f>
        <v>0</v>
      </c>
      <c r="O375" cm="1">
        <f t="array" ref="O375">IFERROR(_xlfn.STDEV.S(IF((DiscreteStatsTable[GroupByKey]=DiscreteStatsTable[[#This Row],[GroupByKey]]),(DiscreteStatsTable[GroupByKey]=DiscreteStatsTable[[#This Row],[GroupByKey]])*DiscreteStatsTable[Average])),0)</f>
        <v>0</v>
      </c>
      <c r="P375" cm="1">
        <f t="array" ref="P375">MAX(IF((ProjectInfoTable[ProjectName]=DiscreteStatsTable[[#This Row],[ProjectName]]),(ProjectInfoTable[ProjectName]=DiscreteStatsTable[[#This Row],[ProjectName]])*ProjectInfoTable[ConfidenceInterval]))</f>
        <v>0.95</v>
      </c>
      <c r="Q375">
        <f>IF(AND(DiscreteStatsTable[[#This Row],[RepsWithStatObserved]]=1,Y375=0),200000000000000000000,IFERROR(_xlfn.T.INV.2T(1 -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5" cm="1">
        <f t="array" ref="R375">MIN(IF((DiscreteStatsTable[GroupByKey]=DiscreteStatsTable[[#This Row],[GroupByKey]]),(DiscreteStatsTable[GroupByKey]=DiscreteStatsTable[[#This Row],[GroupByKey]])*DiscreteStatsTable[Average]))</f>
        <v>0</v>
      </c>
      <c r="S375" cm="1">
        <f t="array" ref="S375">MAX(IF((DiscreteStatsTable[GroupByKey]=DiscreteStatsTable[[#This Row],[GroupByKey]]),(DiscreteStatsTable[GroupByKey]=DiscreteStatsTable[[#This Row],[GroupByKey]])*DiscreteStatsTable[Average]))</f>
        <v>0</v>
      </c>
      <c r="T375" cm="1">
        <f t="array" ref="T375">MIN(IF((DiscreteStatsTable[GroupByKey]=DiscreteStatsTable[[#This Row],[GroupByKey]]),(DiscreteStatsTable[GroupByKey]=DiscreteStatsTable[[#This Row],[GroupByKey]])*DiscreteStatsTable[Minimum]))</f>
        <v>0</v>
      </c>
      <c r="U375" cm="1">
        <f t="array" ref="U375">MAX(IF((DiscreteStatsTable[GroupByKey]=DiscreteStatsTable[[#This Row],[GroupByKey]]),(DiscreteStatsTable[GroupByKey]=DiscreteStatsTable[[#This Row],[GroupByKey]])*DiscreteStatsTable[Maximum]))</f>
        <v>0</v>
      </c>
      <c r="V375" cm="1">
        <f t="array" ref="V375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75">
        <f>IF((DiscreteStatsTable[[#This Row],[RepsRequested]]&gt;1),DiscreteStatsTable[[#This Row],[HalfWidth]],DiscreteStatsTable[[#This Row],[BatchMeansHalfWidth]])</f>
        <v>0</v>
      </c>
      <c r="X375" cm="1">
        <f t="array" ref="X375">COUNT(IF((DiscreteStatsTable[GroupByKey]=DiscreteStatsTable[[#This Row],[GroupByKey]]),(DiscreteStatsTable[GroupByKey]=DiscreteStatsTable[[#This Row],[GroupByKey]])*DiscreteStatsTable[Replication]))</f>
        <v>30</v>
      </c>
      <c r="Y375">
        <f>IF(DiscreteStatsTable[[#This Row],[RepsRequested]]=DiscreteStatsTable[[#This Row],[RepsWithStatObserved]],1,0)</f>
        <v>1</v>
      </c>
    </row>
    <row r="376" spans="1:25" x14ac:dyDescent="0.2">
      <c r="A376" t="s">
        <v>67</v>
      </c>
      <c r="B376" t="s">
        <v>70</v>
      </c>
      <c r="C376">
        <v>15</v>
      </c>
      <c r="D376" t="s">
        <v>90</v>
      </c>
      <c r="E376" t="s">
        <v>72</v>
      </c>
      <c r="F376" t="s">
        <v>73</v>
      </c>
      <c r="G376">
        <v>0</v>
      </c>
      <c r="H376">
        <v>2E+20</v>
      </c>
      <c r="I376">
        <v>0</v>
      </c>
      <c r="J376">
        <v>0</v>
      </c>
      <c r="K376">
        <v>208</v>
      </c>
      <c r="L376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76" cm="1">
        <f t="array" ref="M376">MAX(IF((ProjectInfoTable[ProjectName]=DiscreteStatsTable[[#This Row],[ProjectName]]),(ProjectInfoTable[ProjectName]=DiscreteStatsTable[[#This Row],[ProjectName]])*ProjectInfoTable[NumberOfReplications]))</f>
        <v>30</v>
      </c>
      <c r="N376" cm="1">
        <f t="array" ref="N376">IFERROR(AVERAGE(IF((DiscreteStatsTable[GroupByKey]=DiscreteStatsTable[[#This Row],[GroupByKey]]),(DiscreteStatsTable[GroupByKey]=DiscreteStatsTable[[#This Row],[GroupByKey]])*DiscreteStatsTable[Average])),0)</f>
        <v>0</v>
      </c>
      <c r="O376" cm="1">
        <f t="array" ref="O376">IFERROR(_xlfn.STDEV.S(IF((DiscreteStatsTable[GroupByKey]=DiscreteStatsTable[[#This Row],[GroupByKey]]),(DiscreteStatsTable[GroupByKey]=DiscreteStatsTable[[#This Row],[GroupByKey]])*DiscreteStatsTable[Average])),0)</f>
        <v>0</v>
      </c>
      <c r="P376" cm="1">
        <f t="array" ref="P376">MAX(IF((ProjectInfoTable[ProjectName]=DiscreteStatsTable[[#This Row],[ProjectName]]),(ProjectInfoTable[ProjectName]=DiscreteStatsTable[[#This Row],[ProjectName]])*ProjectInfoTable[ConfidenceInterval]))</f>
        <v>0.95</v>
      </c>
      <c r="Q376">
        <f>IF(AND(DiscreteStatsTable[[#This Row],[RepsWithStatObserved]]=1,Y376=0),200000000000000000000,IFERROR(_xlfn.T.INV.2T(1 -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6" cm="1">
        <f t="array" ref="R376">MIN(IF((DiscreteStatsTable[GroupByKey]=DiscreteStatsTable[[#This Row],[GroupByKey]]),(DiscreteStatsTable[GroupByKey]=DiscreteStatsTable[[#This Row],[GroupByKey]])*DiscreteStatsTable[Average]))</f>
        <v>0</v>
      </c>
      <c r="S376" cm="1">
        <f t="array" ref="S376">MAX(IF((DiscreteStatsTable[GroupByKey]=DiscreteStatsTable[[#This Row],[GroupByKey]]),(DiscreteStatsTable[GroupByKey]=DiscreteStatsTable[[#This Row],[GroupByKey]])*DiscreteStatsTable[Average]))</f>
        <v>0</v>
      </c>
      <c r="T376" cm="1">
        <f t="array" ref="T376">MIN(IF((DiscreteStatsTable[GroupByKey]=DiscreteStatsTable[[#This Row],[GroupByKey]]),(DiscreteStatsTable[GroupByKey]=DiscreteStatsTable[[#This Row],[GroupByKey]])*DiscreteStatsTable[Minimum]))</f>
        <v>0</v>
      </c>
      <c r="U376" cm="1">
        <f t="array" ref="U376">MAX(IF((DiscreteStatsTable[GroupByKey]=DiscreteStatsTable[[#This Row],[GroupByKey]]),(DiscreteStatsTable[GroupByKey]=DiscreteStatsTable[[#This Row],[GroupByKey]])*DiscreteStatsTable[Maximum]))</f>
        <v>0</v>
      </c>
      <c r="V376" cm="1">
        <f t="array" ref="V376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76">
        <f>IF((DiscreteStatsTable[[#This Row],[RepsRequested]]&gt;1),DiscreteStatsTable[[#This Row],[HalfWidth]],DiscreteStatsTable[[#This Row],[BatchMeansHalfWidth]])</f>
        <v>0</v>
      </c>
      <c r="X376" cm="1">
        <f t="array" ref="X376">COUNT(IF((DiscreteStatsTable[GroupByKey]=DiscreteStatsTable[[#This Row],[GroupByKey]]),(DiscreteStatsTable[GroupByKey]=DiscreteStatsTable[[#This Row],[GroupByKey]])*DiscreteStatsTable[Replication]))</f>
        <v>30</v>
      </c>
      <c r="Y376">
        <f>IF(DiscreteStatsTable[[#This Row],[RepsRequested]]=DiscreteStatsTable[[#This Row],[RepsWithStatObserved]],1,0)</f>
        <v>1</v>
      </c>
    </row>
    <row r="377" spans="1:25" x14ac:dyDescent="0.2">
      <c r="A377" t="s">
        <v>67</v>
      </c>
      <c r="B377" t="s">
        <v>70</v>
      </c>
      <c r="C377">
        <v>16</v>
      </c>
      <c r="D377" t="s">
        <v>90</v>
      </c>
      <c r="E377" t="s">
        <v>72</v>
      </c>
      <c r="F377" t="s">
        <v>73</v>
      </c>
      <c r="G377">
        <v>0</v>
      </c>
      <c r="H377">
        <v>2E+20</v>
      </c>
      <c r="I377">
        <v>0</v>
      </c>
      <c r="J377">
        <v>0</v>
      </c>
      <c r="K377">
        <v>222</v>
      </c>
      <c r="L377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77" cm="1">
        <f t="array" ref="M377">MAX(IF((ProjectInfoTable[ProjectName]=DiscreteStatsTable[[#This Row],[ProjectName]]),(ProjectInfoTable[ProjectName]=DiscreteStatsTable[[#This Row],[ProjectName]])*ProjectInfoTable[NumberOfReplications]))</f>
        <v>30</v>
      </c>
      <c r="N377" cm="1">
        <f t="array" ref="N377">IFERROR(AVERAGE(IF((DiscreteStatsTable[GroupByKey]=DiscreteStatsTable[[#This Row],[GroupByKey]]),(DiscreteStatsTable[GroupByKey]=DiscreteStatsTable[[#This Row],[GroupByKey]])*DiscreteStatsTable[Average])),0)</f>
        <v>0</v>
      </c>
      <c r="O377" cm="1">
        <f t="array" ref="O377">IFERROR(_xlfn.STDEV.S(IF((DiscreteStatsTable[GroupByKey]=DiscreteStatsTable[[#This Row],[GroupByKey]]),(DiscreteStatsTable[GroupByKey]=DiscreteStatsTable[[#This Row],[GroupByKey]])*DiscreteStatsTable[Average])),0)</f>
        <v>0</v>
      </c>
      <c r="P377" cm="1">
        <f t="array" ref="P377">MAX(IF((ProjectInfoTable[ProjectName]=DiscreteStatsTable[[#This Row],[ProjectName]]),(ProjectInfoTable[ProjectName]=DiscreteStatsTable[[#This Row],[ProjectName]])*ProjectInfoTable[ConfidenceInterval]))</f>
        <v>0.95</v>
      </c>
      <c r="Q377">
        <f>IF(AND(DiscreteStatsTable[[#This Row],[RepsWithStatObserved]]=1,Y377=0),200000000000000000000,IFERROR(_xlfn.T.INV.2T(1 -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7" cm="1">
        <f t="array" ref="R377">MIN(IF((DiscreteStatsTable[GroupByKey]=DiscreteStatsTable[[#This Row],[GroupByKey]]),(DiscreteStatsTable[GroupByKey]=DiscreteStatsTable[[#This Row],[GroupByKey]])*DiscreteStatsTable[Average]))</f>
        <v>0</v>
      </c>
      <c r="S377" cm="1">
        <f t="array" ref="S377">MAX(IF((DiscreteStatsTable[GroupByKey]=DiscreteStatsTable[[#This Row],[GroupByKey]]),(DiscreteStatsTable[GroupByKey]=DiscreteStatsTable[[#This Row],[GroupByKey]])*DiscreteStatsTable[Average]))</f>
        <v>0</v>
      </c>
      <c r="T377" cm="1">
        <f t="array" ref="T377">MIN(IF((DiscreteStatsTable[GroupByKey]=DiscreteStatsTable[[#This Row],[GroupByKey]]),(DiscreteStatsTable[GroupByKey]=DiscreteStatsTable[[#This Row],[GroupByKey]])*DiscreteStatsTable[Minimum]))</f>
        <v>0</v>
      </c>
      <c r="U377" cm="1">
        <f t="array" ref="U377">MAX(IF((DiscreteStatsTable[GroupByKey]=DiscreteStatsTable[[#This Row],[GroupByKey]]),(DiscreteStatsTable[GroupByKey]=DiscreteStatsTable[[#This Row],[GroupByKey]])*DiscreteStatsTable[Maximum]))</f>
        <v>0</v>
      </c>
      <c r="V377" cm="1">
        <f t="array" ref="V377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77">
        <f>IF((DiscreteStatsTable[[#This Row],[RepsRequested]]&gt;1),DiscreteStatsTable[[#This Row],[HalfWidth]],DiscreteStatsTable[[#This Row],[BatchMeansHalfWidth]])</f>
        <v>0</v>
      </c>
      <c r="X377" cm="1">
        <f t="array" ref="X377">COUNT(IF((DiscreteStatsTable[GroupByKey]=DiscreteStatsTable[[#This Row],[GroupByKey]]),(DiscreteStatsTable[GroupByKey]=DiscreteStatsTable[[#This Row],[GroupByKey]])*DiscreteStatsTable[Replication]))</f>
        <v>30</v>
      </c>
      <c r="Y377">
        <f>IF(DiscreteStatsTable[[#This Row],[RepsRequested]]=DiscreteStatsTable[[#This Row],[RepsWithStatObserved]],1,0)</f>
        <v>1</v>
      </c>
    </row>
    <row r="378" spans="1:25" x14ac:dyDescent="0.2">
      <c r="A378" t="s">
        <v>67</v>
      </c>
      <c r="B378" t="s">
        <v>70</v>
      </c>
      <c r="C378">
        <v>17</v>
      </c>
      <c r="D378" t="s">
        <v>90</v>
      </c>
      <c r="E378" t="s">
        <v>72</v>
      </c>
      <c r="F378" t="s">
        <v>73</v>
      </c>
      <c r="G378">
        <v>0</v>
      </c>
      <c r="H378">
        <v>2E+20</v>
      </c>
      <c r="I378">
        <v>0</v>
      </c>
      <c r="J378">
        <v>0</v>
      </c>
      <c r="K378">
        <v>225</v>
      </c>
      <c r="L378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78" cm="1">
        <f t="array" ref="M378">MAX(IF((ProjectInfoTable[ProjectName]=DiscreteStatsTable[[#This Row],[ProjectName]]),(ProjectInfoTable[ProjectName]=DiscreteStatsTable[[#This Row],[ProjectName]])*ProjectInfoTable[NumberOfReplications]))</f>
        <v>30</v>
      </c>
      <c r="N378" cm="1">
        <f t="array" ref="N378">IFERROR(AVERAGE(IF((DiscreteStatsTable[GroupByKey]=DiscreteStatsTable[[#This Row],[GroupByKey]]),(DiscreteStatsTable[GroupByKey]=DiscreteStatsTable[[#This Row],[GroupByKey]])*DiscreteStatsTable[Average])),0)</f>
        <v>0</v>
      </c>
      <c r="O378" cm="1">
        <f t="array" ref="O378">IFERROR(_xlfn.STDEV.S(IF((DiscreteStatsTable[GroupByKey]=DiscreteStatsTable[[#This Row],[GroupByKey]]),(DiscreteStatsTable[GroupByKey]=DiscreteStatsTable[[#This Row],[GroupByKey]])*DiscreteStatsTable[Average])),0)</f>
        <v>0</v>
      </c>
      <c r="P378" cm="1">
        <f t="array" ref="P378">MAX(IF((ProjectInfoTable[ProjectName]=DiscreteStatsTable[[#This Row],[ProjectName]]),(ProjectInfoTable[ProjectName]=DiscreteStatsTable[[#This Row],[ProjectName]])*ProjectInfoTable[ConfidenceInterval]))</f>
        <v>0.95</v>
      </c>
      <c r="Q378">
        <f>IF(AND(DiscreteStatsTable[[#This Row],[RepsWithStatObserved]]=1,Y378=0),200000000000000000000,IFERROR(_xlfn.T.INV.2T(1 -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8" cm="1">
        <f t="array" ref="R378">MIN(IF((DiscreteStatsTable[GroupByKey]=DiscreteStatsTable[[#This Row],[GroupByKey]]),(DiscreteStatsTable[GroupByKey]=DiscreteStatsTable[[#This Row],[GroupByKey]])*DiscreteStatsTable[Average]))</f>
        <v>0</v>
      </c>
      <c r="S378" cm="1">
        <f t="array" ref="S378">MAX(IF((DiscreteStatsTable[GroupByKey]=DiscreteStatsTable[[#This Row],[GroupByKey]]),(DiscreteStatsTable[GroupByKey]=DiscreteStatsTable[[#This Row],[GroupByKey]])*DiscreteStatsTable[Average]))</f>
        <v>0</v>
      </c>
      <c r="T378" cm="1">
        <f t="array" ref="T378">MIN(IF((DiscreteStatsTable[GroupByKey]=DiscreteStatsTable[[#This Row],[GroupByKey]]),(DiscreteStatsTable[GroupByKey]=DiscreteStatsTable[[#This Row],[GroupByKey]])*DiscreteStatsTable[Minimum]))</f>
        <v>0</v>
      </c>
      <c r="U378" cm="1">
        <f t="array" ref="U378">MAX(IF((DiscreteStatsTable[GroupByKey]=DiscreteStatsTable[[#This Row],[GroupByKey]]),(DiscreteStatsTable[GroupByKey]=DiscreteStatsTable[[#This Row],[GroupByKey]])*DiscreteStatsTable[Maximum]))</f>
        <v>0</v>
      </c>
      <c r="V378" cm="1">
        <f t="array" ref="V378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78">
        <f>IF((DiscreteStatsTable[[#This Row],[RepsRequested]]&gt;1),DiscreteStatsTable[[#This Row],[HalfWidth]],DiscreteStatsTable[[#This Row],[BatchMeansHalfWidth]])</f>
        <v>0</v>
      </c>
      <c r="X378" cm="1">
        <f t="array" ref="X378">COUNT(IF((DiscreteStatsTable[GroupByKey]=DiscreteStatsTable[[#This Row],[GroupByKey]]),(DiscreteStatsTable[GroupByKey]=DiscreteStatsTable[[#This Row],[GroupByKey]])*DiscreteStatsTable[Replication]))</f>
        <v>30</v>
      </c>
      <c r="Y378">
        <f>IF(DiscreteStatsTable[[#This Row],[RepsRequested]]=DiscreteStatsTable[[#This Row],[RepsWithStatObserved]],1,0)</f>
        <v>1</v>
      </c>
    </row>
    <row r="379" spans="1:25" x14ac:dyDescent="0.2">
      <c r="A379" t="s">
        <v>67</v>
      </c>
      <c r="B379" t="s">
        <v>70</v>
      </c>
      <c r="C379">
        <v>18</v>
      </c>
      <c r="D379" t="s">
        <v>90</v>
      </c>
      <c r="E379" t="s">
        <v>72</v>
      </c>
      <c r="F379" t="s">
        <v>73</v>
      </c>
      <c r="G379">
        <v>0</v>
      </c>
      <c r="H379">
        <v>2E+20</v>
      </c>
      <c r="I379">
        <v>0</v>
      </c>
      <c r="J379">
        <v>0</v>
      </c>
      <c r="K379">
        <v>237</v>
      </c>
      <c r="L379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79" cm="1">
        <f t="array" ref="M379">MAX(IF((ProjectInfoTable[ProjectName]=DiscreteStatsTable[[#This Row],[ProjectName]]),(ProjectInfoTable[ProjectName]=DiscreteStatsTable[[#This Row],[ProjectName]])*ProjectInfoTable[NumberOfReplications]))</f>
        <v>30</v>
      </c>
      <c r="N379" cm="1">
        <f t="array" ref="N379">IFERROR(AVERAGE(IF((DiscreteStatsTable[GroupByKey]=DiscreteStatsTable[[#This Row],[GroupByKey]]),(DiscreteStatsTable[GroupByKey]=DiscreteStatsTable[[#This Row],[GroupByKey]])*DiscreteStatsTable[Average])),0)</f>
        <v>0</v>
      </c>
      <c r="O379" cm="1">
        <f t="array" ref="O379">IFERROR(_xlfn.STDEV.S(IF((DiscreteStatsTable[GroupByKey]=DiscreteStatsTable[[#This Row],[GroupByKey]]),(DiscreteStatsTable[GroupByKey]=DiscreteStatsTable[[#This Row],[GroupByKey]])*DiscreteStatsTable[Average])),0)</f>
        <v>0</v>
      </c>
      <c r="P379" cm="1">
        <f t="array" ref="P379">MAX(IF((ProjectInfoTable[ProjectName]=DiscreteStatsTable[[#This Row],[ProjectName]]),(ProjectInfoTable[ProjectName]=DiscreteStatsTable[[#This Row],[ProjectName]])*ProjectInfoTable[ConfidenceInterval]))</f>
        <v>0.95</v>
      </c>
      <c r="Q379">
        <f>IF(AND(DiscreteStatsTable[[#This Row],[RepsWithStatObserved]]=1,Y379=0),200000000000000000000,IFERROR(_xlfn.T.INV.2T(1 -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79" cm="1">
        <f t="array" ref="R379">MIN(IF((DiscreteStatsTable[GroupByKey]=DiscreteStatsTable[[#This Row],[GroupByKey]]),(DiscreteStatsTable[GroupByKey]=DiscreteStatsTable[[#This Row],[GroupByKey]])*DiscreteStatsTable[Average]))</f>
        <v>0</v>
      </c>
      <c r="S379" cm="1">
        <f t="array" ref="S379">MAX(IF((DiscreteStatsTable[GroupByKey]=DiscreteStatsTable[[#This Row],[GroupByKey]]),(DiscreteStatsTable[GroupByKey]=DiscreteStatsTable[[#This Row],[GroupByKey]])*DiscreteStatsTable[Average]))</f>
        <v>0</v>
      </c>
      <c r="T379" cm="1">
        <f t="array" ref="T379">MIN(IF((DiscreteStatsTable[GroupByKey]=DiscreteStatsTable[[#This Row],[GroupByKey]]),(DiscreteStatsTable[GroupByKey]=DiscreteStatsTable[[#This Row],[GroupByKey]])*DiscreteStatsTable[Minimum]))</f>
        <v>0</v>
      </c>
      <c r="U379" cm="1">
        <f t="array" ref="U379">MAX(IF((DiscreteStatsTable[GroupByKey]=DiscreteStatsTable[[#This Row],[GroupByKey]]),(DiscreteStatsTable[GroupByKey]=DiscreteStatsTable[[#This Row],[GroupByKey]])*DiscreteStatsTable[Maximum]))</f>
        <v>0</v>
      </c>
      <c r="V379" cm="1">
        <f t="array" ref="V379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79">
        <f>IF((DiscreteStatsTable[[#This Row],[RepsRequested]]&gt;1),DiscreteStatsTable[[#This Row],[HalfWidth]],DiscreteStatsTable[[#This Row],[BatchMeansHalfWidth]])</f>
        <v>0</v>
      </c>
      <c r="X379" cm="1">
        <f t="array" ref="X379">COUNT(IF((DiscreteStatsTable[GroupByKey]=DiscreteStatsTable[[#This Row],[GroupByKey]]),(DiscreteStatsTable[GroupByKey]=DiscreteStatsTable[[#This Row],[GroupByKey]])*DiscreteStatsTable[Replication]))</f>
        <v>30</v>
      </c>
      <c r="Y379">
        <f>IF(DiscreteStatsTable[[#This Row],[RepsRequested]]=DiscreteStatsTable[[#This Row],[RepsWithStatObserved]],1,0)</f>
        <v>1</v>
      </c>
    </row>
    <row r="380" spans="1:25" x14ac:dyDescent="0.2">
      <c r="A380" t="s">
        <v>67</v>
      </c>
      <c r="B380" t="s">
        <v>70</v>
      </c>
      <c r="C380">
        <v>19</v>
      </c>
      <c r="D380" t="s">
        <v>90</v>
      </c>
      <c r="E380" t="s">
        <v>72</v>
      </c>
      <c r="F380" t="s">
        <v>73</v>
      </c>
      <c r="G380">
        <v>0</v>
      </c>
      <c r="H380">
        <v>2E+20</v>
      </c>
      <c r="I380">
        <v>0</v>
      </c>
      <c r="J380">
        <v>0</v>
      </c>
      <c r="K380">
        <v>215</v>
      </c>
      <c r="L380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80" cm="1">
        <f t="array" ref="M380">MAX(IF((ProjectInfoTable[ProjectName]=DiscreteStatsTable[[#This Row],[ProjectName]]),(ProjectInfoTable[ProjectName]=DiscreteStatsTable[[#This Row],[ProjectName]])*ProjectInfoTable[NumberOfReplications]))</f>
        <v>30</v>
      </c>
      <c r="N380" cm="1">
        <f t="array" ref="N380">IFERROR(AVERAGE(IF((DiscreteStatsTable[GroupByKey]=DiscreteStatsTable[[#This Row],[GroupByKey]]),(DiscreteStatsTable[GroupByKey]=DiscreteStatsTable[[#This Row],[GroupByKey]])*DiscreteStatsTable[Average])),0)</f>
        <v>0</v>
      </c>
      <c r="O380" cm="1">
        <f t="array" ref="O380">IFERROR(_xlfn.STDEV.S(IF((DiscreteStatsTable[GroupByKey]=DiscreteStatsTable[[#This Row],[GroupByKey]]),(DiscreteStatsTable[GroupByKey]=DiscreteStatsTable[[#This Row],[GroupByKey]])*DiscreteStatsTable[Average])),0)</f>
        <v>0</v>
      </c>
      <c r="P380" cm="1">
        <f t="array" ref="P380">MAX(IF((ProjectInfoTable[ProjectName]=DiscreteStatsTable[[#This Row],[ProjectName]]),(ProjectInfoTable[ProjectName]=DiscreteStatsTable[[#This Row],[ProjectName]])*ProjectInfoTable[ConfidenceInterval]))</f>
        <v>0.95</v>
      </c>
      <c r="Q380">
        <f>IF(AND(DiscreteStatsTable[[#This Row],[RepsWithStatObserved]]=1,Y380=0),200000000000000000000,IFERROR(_xlfn.T.INV.2T(1 -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0" cm="1">
        <f t="array" ref="R380">MIN(IF((DiscreteStatsTable[GroupByKey]=DiscreteStatsTable[[#This Row],[GroupByKey]]),(DiscreteStatsTable[GroupByKey]=DiscreteStatsTable[[#This Row],[GroupByKey]])*DiscreteStatsTable[Average]))</f>
        <v>0</v>
      </c>
      <c r="S380" cm="1">
        <f t="array" ref="S380">MAX(IF((DiscreteStatsTable[GroupByKey]=DiscreteStatsTable[[#This Row],[GroupByKey]]),(DiscreteStatsTable[GroupByKey]=DiscreteStatsTable[[#This Row],[GroupByKey]])*DiscreteStatsTable[Average]))</f>
        <v>0</v>
      </c>
      <c r="T380" cm="1">
        <f t="array" ref="T380">MIN(IF((DiscreteStatsTable[GroupByKey]=DiscreteStatsTable[[#This Row],[GroupByKey]]),(DiscreteStatsTable[GroupByKey]=DiscreteStatsTable[[#This Row],[GroupByKey]])*DiscreteStatsTable[Minimum]))</f>
        <v>0</v>
      </c>
      <c r="U380" cm="1">
        <f t="array" ref="U380">MAX(IF((DiscreteStatsTable[GroupByKey]=DiscreteStatsTable[[#This Row],[GroupByKey]]),(DiscreteStatsTable[GroupByKey]=DiscreteStatsTable[[#This Row],[GroupByKey]])*DiscreteStatsTable[Maximum]))</f>
        <v>0</v>
      </c>
      <c r="V380" cm="1">
        <f t="array" ref="V380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80">
        <f>IF((DiscreteStatsTable[[#This Row],[RepsRequested]]&gt;1),DiscreteStatsTable[[#This Row],[HalfWidth]],DiscreteStatsTable[[#This Row],[BatchMeansHalfWidth]])</f>
        <v>0</v>
      </c>
      <c r="X380" cm="1">
        <f t="array" ref="X380">COUNT(IF((DiscreteStatsTable[GroupByKey]=DiscreteStatsTable[[#This Row],[GroupByKey]]),(DiscreteStatsTable[GroupByKey]=DiscreteStatsTable[[#This Row],[GroupByKey]])*DiscreteStatsTable[Replication]))</f>
        <v>30</v>
      </c>
      <c r="Y380">
        <f>IF(DiscreteStatsTable[[#This Row],[RepsRequested]]=DiscreteStatsTable[[#This Row],[RepsWithStatObserved]],1,0)</f>
        <v>1</v>
      </c>
    </row>
    <row r="381" spans="1:25" x14ac:dyDescent="0.2">
      <c r="A381" t="s">
        <v>67</v>
      </c>
      <c r="B381" t="s">
        <v>70</v>
      </c>
      <c r="C381">
        <v>20</v>
      </c>
      <c r="D381" t="s">
        <v>90</v>
      </c>
      <c r="E381" t="s">
        <v>72</v>
      </c>
      <c r="F381" t="s">
        <v>73</v>
      </c>
      <c r="G381">
        <v>0</v>
      </c>
      <c r="H381">
        <v>2E+20</v>
      </c>
      <c r="I381">
        <v>0</v>
      </c>
      <c r="J381">
        <v>0</v>
      </c>
      <c r="K381">
        <v>224</v>
      </c>
      <c r="L381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81" cm="1">
        <f t="array" ref="M381">MAX(IF((ProjectInfoTable[ProjectName]=DiscreteStatsTable[[#This Row],[ProjectName]]),(ProjectInfoTable[ProjectName]=DiscreteStatsTable[[#This Row],[ProjectName]])*ProjectInfoTable[NumberOfReplications]))</f>
        <v>30</v>
      </c>
      <c r="N381" cm="1">
        <f t="array" ref="N381">IFERROR(AVERAGE(IF((DiscreteStatsTable[GroupByKey]=DiscreteStatsTable[[#This Row],[GroupByKey]]),(DiscreteStatsTable[GroupByKey]=DiscreteStatsTable[[#This Row],[GroupByKey]])*DiscreteStatsTable[Average])),0)</f>
        <v>0</v>
      </c>
      <c r="O381" cm="1">
        <f t="array" ref="O381">IFERROR(_xlfn.STDEV.S(IF((DiscreteStatsTable[GroupByKey]=DiscreteStatsTable[[#This Row],[GroupByKey]]),(DiscreteStatsTable[GroupByKey]=DiscreteStatsTable[[#This Row],[GroupByKey]])*DiscreteStatsTable[Average])),0)</f>
        <v>0</v>
      </c>
      <c r="P381" cm="1">
        <f t="array" ref="P381">MAX(IF((ProjectInfoTable[ProjectName]=DiscreteStatsTable[[#This Row],[ProjectName]]),(ProjectInfoTable[ProjectName]=DiscreteStatsTable[[#This Row],[ProjectName]])*ProjectInfoTable[ConfidenceInterval]))</f>
        <v>0.95</v>
      </c>
      <c r="Q381">
        <f>IF(AND(DiscreteStatsTable[[#This Row],[RepsWithStatObserved]]=1,Y381=0),200000000000000000000,IFERROR(_xlfn.T.INV.2T(1 -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1" cm="1">
        <f t="array" ref="R381">MIN(IF((DiscreteStatsTable[GroupByKey]=DiscreteStatsTable[[#This Row],[GroupByKey]]),(DiscreteStatsTable[GroupByKey]=DiscreteStatsTable[[#This Row],[GroupByKey]])*DiscreteStatsTable[Average]))</f>
        <v>0</v>
      </c>
      <c r="S381" cm="1">
        <f t="array" ref="S381">MAX(IF((DiscreteStatsTable[GroupByKey]=DiscreteStatsTable[[#This Row],[GroupByKey]]),(DiscreteStatsTable[GroupByKey]=DiscreteStatsTable[[#This Row],[GroupByKey]])*DiscreteStatsTable[Average]))</f>
        <v>0</v>
      </c>
      <c r="T381" cm="1">
        <f t="array" ref="T381">MIN(IF((DiscreteStatsTable[GroupByKey]=DiscreteStatsTable[[#This Row],[GroupByKey]]),(DiscreteStatsTable[GroupByKey]=DiscreteStatsTable[[#This Row],[GroupByKey]])*DiscreteStatsTable[Minimum]))</f>
        <v>0</v>
      </c>
      <c r="U381" cm="1">
        <f t="array" ref="U381">MAX(IF((DiscreteStatsTable[GroupByKey]=DiscreteStatsTable[[#This Row],[GroupByKey]]),(DiscreteStatsTable[GroupByKey]=DiscreteStatsTable[[#This Row],[GroupByKey]])*DiscreteStatsTable[Maximum]))</f>
        <v>0</v>
      </c>
      <c r="V381" cm="1">
        <f t="array" ref="V381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81">
        <f>IF((DiscreteStatsTable[[#This Row],[RepsRequested]]&gt;1),DiscreteStatsTable[[#This Row],[HalfWidth]],DiscreteStatsTable[[#This Row],[BatchMeansHalfWidth]])</f>
        <v>0</v>
      </c>
      <c r="X381" cm="1">
        <f t="array" ref="X381">COUNT(IF((DiscreteStatsTable[GroupByKey]=DiscreteStatsTable[[#This Row],[GroupByKey]]),(DiscreteStatsTable[GroupByKey]=DiscreteStatsTable[[#This Row],[GroupByKey]])*DiscreteStatsTable[Replication]))</f>
        <v>30</v>
      </c>
      <c r="Y381">
        <f>IF(DiscreteStatsTable[[#This Row],[RepsRequested]]=DiscreteStatsTable[[#This Row],[RepsWithStatObserved]],1,0)</f>
        <v>1</v>
      </c>
    </row>
    <row r="382" spans="1:25" x14ac:dyDescent="0.2">
      <c r="A382" t="s">
        <v>67</v>
      </c>
      <c r="B382" t="s">
        <v>70</v>
      </c>
      <c r="C382">
        <v>21</v>
      </c>
      <c r="D382" t="s">
        <v>90</v>
      </c>
      <c r="E382" t="s">
        <v>72</v>
      </c>
      <c r="F382" t="s">
        <v>73</v>
      </c>
      <c r="G382">
        <v>0</v>
      </c>
      <c r="H382">
        <v>2E+20</v>
      </c>
      <c r="I382">
        <v>0</v>
      </c>
      <c r="J382">
        <v>0</v>
      </c>
      <c r="K382">
        <v>226</v>
      </c>
      <c r="L382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82" cm="1">
        <f t="array" ref="M382">MAX(IF((ProjectInfoTable[ProjectName]=DiscreteStatsTable[[#This Row],[ProjectName]]),(ProjectInfoTable[ProjectName]=DiscreteStatsTable[[#This Row],[ProjectName]])*ProjectInfoTable[NumberOfReplications]))</f>
        <v>30</v>
      </c>
      <c r="N382" cm="1">
        <f t="array" ref="N382">IFERROR(AVERAGE(IF((DiscreteStatsTable[GroupByKey]=DiscreteStatsTable[[#This Row],[GroupByKey]]),(DiscreteStatsTable[GroupByKey]=DiscreteStatsTable[[#This Row],[GroupByKey]])*DiscreteStatsTable[Average])),0)</f>
        <v>0</v>
      </c>
      <c r="O382" cm="1">
        <f t="array" ref="O382">IFERROR(_xlfn.STDEV.S(IF((DiscreteStatsTable[GroupByKey]=DiscreteStatsTable[[#This Row],[GroupByKey]]),(DiscreteStatsTable[GroupByKey]=DiscreteStatsTable[[#This Row],[GroupByKey]])*DiscreteStatsTable[Average])),0)</f>
        <v>0</v>
      </c>
      <c r="P382" cm="1">
        <f t="array" ref="P382">MAX(IF((ProjectInfoTable[ProjectName]=DiscreteStatsTable[[#This Row],[ProjectName]]),(ProjectInfoTable[ProjectName]=DiscreteStatsTable[[#This Row],[ProjectName]])*ProjectInfoTable[ConfidenceInterval]))</f>
        <v>0.95</v>
      </c>
      <c r="Q382">
        <f>IF(AND(DiscreteStatsTable[[#This Row],[RepsWithStatObserved]]=1,Y382=0),200000000000000000000,IFERROR(_xlfn.T.INV.2T(1 -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2" cm="1">
        <f t="array" ref="R382">MIN(IF((DiscreteStatsTable[GroupByKey]=DiscreteStatsTable[[#This Row],[GroupByKey]]),(DiscreteStatsTable[GroupByKey]=DiscreteStatsTable[[#This Row],[GroupByKey]])*DiscreteStatsTable[Average]))</f>
        <v>0</v>
      </c>
      <c r="S382" cm="1">
        <f t="array" ref="S382">MAX(IF((DiscreteStatsTable[GroupByKey]=DiscreteStatsTable[[#This Row],[GroupByKey]]),(DiscreteStatsTable[GroupByKey]=DiscreteStatsTable[[#This Row],[GroupByKey]])*DiscreteStatsTable[Average]))</f>
        <v>0</v>
      </c>
      <c r="T382" cm="1">
        <f t="array" ref="T382">MIN(IF((DiscreteStatsTable[GroupByKey]=DiscreteStatsTable[[#This Row],[GroupByKey]]),(DiscreteStatsTable[GroupByKey]=DiscreteStatsTable[[#This Row],[GroupByKey]])*DiscreteStatsTable[Minimum]))</f>
        <v>0</v>
      </c>
      <c r="U382" cm="1">
        <f t="array" ref="U382">MAX(IF((DiscreteStatsTable[GroupByKey]=DiscreteStatsTable[[#This Row],[GroupByKey]]),(DiscreteStatsTable[GroupByKey]=DiscreteStatsTable[[#This Row],[GroupByKey]])*DiscreteStatsTable[Maximum]))</f>
        <v>0</v>
      </c>
      <c r="V382" cm="1">
        <f t="array" ref="V382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82">
        <f>IF((DiscreteStatsTable[[#This Row],[RepsRequested]]&gt;1),DiscreteStatsTable[[#This Row],[HalfWidth]],DiscreteStatsTable[[#This Row],[BatchMeansHalfWidth]])</f>
        <v>0</v>
      </c>
      <c r="X382" cm="1">
        <f t="array" ref="X382">COUNT(IF((DiscreteStatsTable[GroupByKey]=DiscreteStatsTable[[#This Row],[GroupByKey]]),(DiscreteStatsTable[GroupByKey]=DiscreteStatsTable[[#This Row],[GroupByKey]])*DiscreteStatsTable[Replication]))</f>
        <v>30</v>
      </c>
      <c r="Y382">
        <f>IF(DiscreteStatsTable[[#This Row],[RepsRequested]]=DiscreteStatsTable[[#This Row],[RepsWithStatObserved]],1,0)</f>
        <v>1</v>
      </c>
    </row>
    <row r="383" spans="1:25" x14ac:dyDescent="0.2">
      <c r="A383" t="s">
        <v>67</v>
      </c>
      <c r="B383" t="s">
        <v>70</v>
      </c>
      <c r="C383">
        <v>22</v>
      </c>
      <c r="D383" t="s">
        <v>90</v>
      </c>
      <c r="E383" t="s">
        <v>72</v>
      </c>
      <c r="F383" t="s">
        <v>73</v>
      </c>
      <c r="G383">
        <v>0</v>
      </c>
      <c r="H383">
        <v>2E+20</v>
      </c>
      <c r="I383">
        <v>0</v>
      </c>
      <c r="J383">
        <v>0</v>
      </c>
      <c r="K383">
        <v>231</v>
      </c>
      <c r="L383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83" cm="1">
        <f t="array" ref="M383">MAX(IF((ProjectInfoTable[ProjectName]=DiscreteStatsTable[[#This Row],[ProjectName]]),(ProjectInfoTable[ProjectName]=DiscreteStatsTable[[#This Row],[ProjectName]])*ProjectInfoTable[NumberOfReplications]))</f>
        <v>30</v>
      </c>
      <c r="N383" cm="1">
        <f t="array" ref="N383">IFERROR(AVERAGE(IF((DiscreteStatsTable[GroupByKey]=DiscreteStatsTable[[#This Row],[GroupByKey]]),(DiscreteStatsTable[GroupByKey]=DiscreteStatsTable[[#This Row],[GroupByKey]])*DiscreteStatsTable[Average])),0)</f>
        <v>0</v>
      </c>
      <c r="O383" cm="1">
        <f t="array" ref="O383">IFERROR(_xlfn.STDEV.S(IF((DiscreteStatsTable[GroupByKey]=DiscreteStatsTable[[#This Row],[GroupByKey]]),(DiscreteStatsTable[GroupByKey]=DiscreteStatsTable[[#This Row],[GroupByKey]])*DiscreteStatsTable[Average])),0)</f>
        <v>0</v>
      </c>
      <c r="P383" cm="1">
        <f t="array" ref="P383">MAX(IF((ProjectInfoTable[ProjectName]=DiscreteStatsTable[[#This Row],[ProjectName]]),(ProjectInfoTable[ProjectName]=DiscreteStatsTable[[#This Row],[ProjectName]])*ProjectInfoTable[ConfidenceInterval]))</f>
        <v>0.95</v>
      </c>
      <c r="Q383">
        <f>IF(AND(DiscreteStatsTable[[#This Row],[RepsWithStatObserved]]=1,Y383=0),200000000000000000000,IFERROR(_xlfn.T.INV.2T(1 -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3" cm="1">
        <f t="array" ref="R383">MIN(IF((DiscreteStatsTable[GroupByKey]=DiscreteStatsTable[[#This Row],[GroupByKey]]),(DiscreteStatsTable[GroupByKey]=DiscreteStatsTable[[#This Row],[GroupByKey]])*DiscreteStatsTable[Average]))</f>
        <v>0</v>
      </c>
      <c r="S383" cm="1">
        <f t="array" ref="S383">MAX(IF((DiscreteStatsTable[GroupByKey]=DiscreteStatsTable[[#This Row],[GroupByKey]]),(DiscreteStatsTable[GroupByKey]=DiscreteStatsTable[[#This Row],[GroupByKey]])*DiscreteStatsTable[Average]))</f>
        <v>0</v>
      </c>
      <c r="T383" cm="1">
        <f t="array" ref="T383">MIN(IF((DiscreteStatsTable[GroupByKey]=DiscreteStatsTable[[#This Row],[GroupByKey]]),(DiscreteStatsTable[GroupByKey]=DiscreteStatsTable[[#This Row],[GroupByKey]])*DiscreteStatsTable[Minimum]))</f>
        <v>0</v>
      </c>
      <c r="U383" cm="1">
        <f t="array" ref="U383">MAX(IF((DiscreteStatsTable[GroupByKey]=DiscreteStatsTable[[#This Row],[GroupByKey]]),(DiscreteStatsTable[GroupByKey]=DiscreteStatsTable[[#This Row],[GroupByKey]])*DiscreteStatsTable[Maximum]))</f>
        <v>0</v>
      </c>
      <c r="V383" cm="1">
        <f t="array" ref="V383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83">
        <f>IF((DiscreteStatsTable[[#This Row],[RepsRequested]]&gt;1),DiscreteStatsTable[[#This Row],[HalfWidth]],DiscreteStatsTable[[#This Row],[BatchMeansHalfWidth]])</f>
        <v>0</v>
      </c>
      <c r="X383" cm="1">
        <f t="array" ref="X383">COUNT(IF((DiscreteStatsTable[GroupByKey]=DiscreteStatsTable[[#This Row],[GroupByKey]]),(DiscreteStatsTable[GroupByKey]=DiscreteStatsTable[[#This Row],[GroupByKey]])*DiscreteStatsTable[Replication]))</f>
        <v>30</v>
      </c>
      <c r="Y383">
        <f>IF(DiscreteStatsTable[[#This Row],[RepsRequested]]=DiscreteStatsTable[[#This Row],[RepsWithStatObserved]],1,0)</f>
        <v>1</v>
      </c>
    </row>
    <row r="384" spans="1:25" x14ac:dyDescent="0.2">
      <c r="A384" t="s">
        <v>67</v>
      </c>
      <c r="B384" t="s">
        <v>70</v>
      </c>
      <c r="C384">
        <v>23</v>
      </c>
      <c r="D384" t="s">
        <v>90</v>
      </c>
      <c r="E384" t="s">
        <v>72</v>
      </c>
      <c r="F384" t="s">
        <v>73</v>
      </c>
      <c r="G384">
        <v>0</v>
      </c>
      <c r="H384">
        <v>2E+20</v>
      </c>
      <c r="I384">
        <v>0</v>
      </c>
      <c r="J384">
        <v>0</v>
      </c>
      <c r="K384">
        <v>249</v>
      </c>
      <c r="L384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84" cm="1">
        <f t="array" ref="M384">MAX(IF((ProjectInfoTable[ProjectName]=DiscreteStatsTable[[#This Row],[ProjectName]]),(ProjectInfoTable[ProjectName]=DiscreteStatsTable[[#This Row],[ProjectName]])*ProjectInfoTable[NumberOfReplications]))</f>
        <v>30</v>
      </c>
      <c r="N384" cm="1">
        <f t="array" ref="N384">IFERROR(AVERAGE(IF((DiscreteStatsTable[GroupByKey]=DiscreteStatsTable[[#This Row],[GroupByKey]]),(DiscreteStatsTable[GroupByKey]=DiscreteStatsTable[[#This Row],[GroupByKey]])*DiscreteStatsTable[Average])),0)</f>
        <v>0</v>
      </c>
      <c r="O384" cm="1">
        <f t="array" ref="O384">IFERROR(_xlfn.STDEV.S(IF((DiscreteStatsTable[GroupByKey]=DiscreteStatsTable[[#This Row],[GroupByKey]]),(DiscreteStatsTable[GroupByKey]=DiscreteStatsTable[[#This Row],[GroupByKey]])*DiscreteStatsTable[Average])),0)</f>
        <v>0</v>
      </c>
      <c r="P384" cm="1">
        <f t="array" ref="P384">MAX(IF((ProjectInfoTable[ProjectName]=DiscreteStatsTable[[#This Row],[ProjectName]]),(ProjectInfoTable[ProjectName]=DiscreteStatsTable[[#This Row],[ProjectName]])*ProjectInfoTable[ConfidenceInterval]))</f>
        <v>0.95</v>
      </c>
      <c r="Q384">
        <f>IF(AND(DiscreteStatsTable[[#This Row],[RepsWithStatObserved]]=1,Y384=0),200000000000000000000,IFERROR(_xlfn.T.INV.2T(1 -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4" cm="1">
        <f t="array" ref="R384">MIN(IF((DiscreteStatsTable[GroupByKey]=DiscreteStatsTable[[#This Row],[GroupByKey]]),(DiscreteStatsTable[GroupByKey]=DiscreteStatsTable[[#This Row],[GroupByKey]])*DiscreteStatsTable[Average]))</f>
        <v>0</v>
      </c>
      <c r="S384" cm="1">
        <f t="array" ref="S384">MAX(IF((DiscreteStatsTable[GroupByKey]=DiscreteStatsTable[[#This Row],[GroupByKey]]),(DiscreteStatsTable[GroupByKey]=DiscreteStatsTable[[#This Row],[GroupByKey]])*DiscreteStatsTable[Average]))</f>
        <v>0</v>
      </c>
      <c r="T384" cm="1">
        <f t="array" ref="T384">MIN(IF((DiscreteStatsTable[GroupByKey]=DiscreteStatsTable[[#This Row],[GroupByKey]]),(DiscreteStatsTable[GroupByKey]=DiscreteStatsTable[[#This Row],[GroupByKey]])*DiscreteStatsTable[Minimum]))</f>
        <v>0</v>
      </c>
      <c r="U384" cm="1">
        <f t="array" ref="U384">MAX(IF((DiscreteStatsTable[GroupByKey]=DiscreteStatsTable[[#This Row],[GroupByKey]]),(DiscreteStatsTable[GroupByKey]=DiscreteStatsTable[[#This Row],[GroupByKey]])*DiscreteStatsTable[Maximum]))</f>
        <v>0</v>
      </c>
      <c r="V384" cm="1">
        <f t="array" ref="V384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84">
        <f>IF((DiscreteStatsTable[[#This Row],[RepsRequested]]&gt;1),DiscreteStatsTable[[#This Row],[HalfWidth]],DiscreteStatsTable[[#This Row],[BatchMeansHalfWidth]])</f>
        <v>0</v>
      </c>
      <c r="X384" cm="1">
        <f t="array" ref="X384">COUNT(IF((DiscreteStatsTable[GroupByKey]=DiscreteStatsTable[[#This Row],[GroupByKey]]),(DiscreteStatsTable[GroupByKey]=DiscreteStatsTable[[#This Row],[GroupByKey]])*DiscreteStatsTable[Replication]))</f>
        <v>30</v>
      </c>
      <c r="Y384">
        <f>IF(DiscreteStatsTable[[#This Row],[RepsRequested]]=DiscreteStatsTable[[#This Row],[RepsWithStatObserved]],1,0)</f>
        <v>1</v>
      </c>
    </row>
    <row r="385" spans="1:25" x14ac:dyDescent="0.2">
      <c r="A385" t="s">
        <v>67</v>
      </c>
      <c r="B385" t="s">
        <v>70</v>
      </c>
      <c r="C385">
        <v>24</v>
      </c>
      <c r="D385" t="s">
        <v>90</v>
      </c>
      <c r="E385" t="s">
        <v>72</v>
      </c>
      <c r="F385" t="s">
        <v>73</v>
      </c>
      <c r="G385">
        <v>0</v>
      </c>
      <c r="H385">
        <v>2E+20</v>
      </c>
      <c r="I385">
        <v>0</v>
      </c>
      <c r="J385">
        <v>0</v>
      </c>
      <c r="K385">
        <v>222</v>
      </c>
      <c r="L385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85" cm="1">
        <f t="array" ref="M385">MAX(IF((ProjectInfoTable[ProjectName]=DiscreteStatsTable[[#This Row],[ProjectName]]),(ProjectInfoTable[ProjectName]=DiscreteStatsTable[[#This Row],[ProjectName]])*ProjectInfoTable[NumberOfReplications]))</f>
        <v>30</v>
      </c>
      <c r="N385" cm="1">
        <f t="array" ref="N385">IFERROR(AVERAGE(IF((DiscreteStatsTable[GroupByKey]=DiscreteStatsTable[[#This Row],[GroupByKey]]),(DiscreteStatsTable[GroupByKey]=DiscreteStatsTable[[#This Row],[GroupByKey]])*DiscreteStatsTable[Average])),0)</f>
        <v>0</v>
      </c>
      <c r="O385" cm="1">
        <f t="array" ref="O385">IFERROR(_xlfn.STDEV.S(IF((DiscreteStatsTable[GroupByKey]=DiscreteStatsTable[[#This Row],[GroupByKey]]),(DiscreteStatsTable[GroupByKey]=DiscreteStatsTable[[#This Row],[GroupByKey]])*DiscreteStatsTable[Average])),0)</f>
        <v>0</v>
      </c>
      <c r="P385" cm="1">
        <f t="array" ref="P385">MAX(IF((ProjectInfoTable[ProjectName]=DiscreteStatsTable[[#This Row],[ProjectName]]),(ProjectInfoTable[ProjectName]=DiscreteStatsTable[[#This Row],[ProjectName]])*ProjectInfoTable[ConfidenceInterval]))</f>
        <v>0.95</v>
      </c>
      <c r="Q385">
        <f>IF(AND(DiscreteStatsTable[[#This Row],[RepsWithStatObserved]]=1,Y385=0),200000000000000000000,IFERROR(_xlfn.T.INV.2T(1 -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5" cm="1">
        <f t="array" ref="R385">MIN(IF((DiscreteStatsTable[GroupByKey]=DiscreteStatsTable[[#This Row],[GroupByKey]]),(DiscreteStatsTable[GroupByKey]=DiscreteStatsTable[[#This Row],[GroupByKey]])*DiscreteStatsTable[Average]))</f>
        <v>0</v>
      </c>
      <c r="S385" cm="1">
        <f t="array" ref="S385">MAX(IF((DiscreteStatsTable[GroupByKey]=DiscreteStatsTable[[#This Row],[GroupByKey]]),(DiscreteStatsTable[GroupByKey]=DiscreteStatsTable[[#This Row],[GroupByKey]])*DiscreteStatsTable[Average]))</f>
        <v>0</v>
      </c>
      <c r="T385" cm="1">
        <f t="array" ref="T385">MIN(IF((DiscreteStatsTable[GroupByKey]=DiscreteStatsTable[[#This Row],[GroupByKey]]),(DiscreteStatsTable[GroupByKey]=DiscreteStatsTable[[#This Row],[GroupByKey]])*DiscreteStatsTable[Minimum]))</f>
        <v>0</v>
      </c>
      <c r="U385" cm="1">
        <f t="array" ref="U385">MAX(IF((DiscreteStatsTable[GroupByKey]=DiscreteStatsTable[[#This Row],[GroupByKey]]),(DiscreteStatsTable[GroupByKey]=DiscreteStatsTable[[#This Row],[GroupByKey]])*DiscreteStatsTable[Maximum]))</f>
        <v>0</v>
      </c>
      <c r="V385" cm="1">
        <f t="array" ref="V385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85">
        <f>IF((DiscreteStatsTable[[#This Row],[RepsRequested]]&gt;1),DiscreteStatsTable[[#This Row],[HalfWidth]],DiscreteStatsTable[[#This Row],[BatchMeansHalfWidth]])</f>
        <v>0</v>
      </c>
      <c r="X385" cm="1">
        <f t="array" ref="X385">COUNT(IF((DiscreteStatsTable[GroupByKey]=DiscreteStatsTable[[#This Row],[GroupByKey]]),(DiscreteStatsTable[GroupByKey]=DiscreteStatsTable[[#This Row],[GroupByKey]])*DiscreteStatsTable[Replication]))</f>
        <v>30</v>
      </c>
      <c r="Y385">
        <f>IF(DiscreteStatsTable[[#This Row],[RepsRequested]]=DiscreteStatsTable[[#This Row],[RepsWithStatObserved]],1,0)</f>
        <v>1</v>
      </c>
    </row>
    <row r="386" spans="1:25" x14ac:dyDescent="0.2">
      <c r="A386" t="s">
        <v>67</v>
      </c>
      <c r="B386" t="s">
        <v>70</v>
      </c>
      <c r="C386">
        <v>25</v>
      </c>
      <c r="D386" t="s">
        <v>90</v>
      </c>
      <c r="E386" t="s">
        <v>72</v>
      </c>
      <c r="F386" t="s">
        <v>73</v>
      </c>
      <c r="G386">
        <v>0</v>
      </c>
      <c r="H386">
        <v>2E+20</v>
      </c>
      <c r="I386">
        <v>0</v>
      </c>
      <c r="J386">
        <v>0</v>
      </c>
      <c r="K386">
        <v>227</v>
      </c>
      <c r="L386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86" cm="1">
        <f t="array" ref="M386">MAX(IF((ProjectInfoTable[ProjectName]=DiscreteStatsTable[[#This Row],[ProjectName]]),(ProjectInfoTable[ProjectName]=DiscreteStatsTable[[#This Row],[ProjectName]])*ProjectInfoTable[NumberOfReplications]))</f>
        <v>30</v>
      </c>
      <c r="N386" cm="1">
        <f t="array" ref="N386">IFERROR(AVERAGE(IF((DiscreteStatsTable[GroupByKey]=DiscreteStatsTable[[#This Row],[GroupByKey]]),(DiscreteStatsTable[GroupByKey]=DiscreteStatsTable[[#This Row],[GroupByKey]])*DiscreteStatsTable[Average])),0)</f>
        <v>0</v>
      </c>
      <c r="O386" cm="1">
        <f t="array" ref="O386">IFERROR(_xlfn.STDEV.S(IF((DiscreteStatsTable[GroupByKey]=DiscreteStatsTable[[#This Row],[GroupByKey]]),(DiscreteStatsTable[GroupByKey]=DiscreteStatsTable[[#This Row],[GroupByKey]])*DiscreteStatsTable[Average])),0)</f>
        <v>0</v>
      </c>
      <c r="P386" cm="1">
        <f t="array" ref="P386">MAX(IF((ProjectInfoTable[ProjectName]=DiscreteStatsTable[[#This Row],[ProjectName]]),(ProjectInfoTable[ProjectName]=DiscreteStatsTable[[#This Row],[ProjectName]])*ProjectInfoTable[ConfidenceInterval]))</f>
        <v>0.95</v>
      </c>
      <c r="Q386">
        <f>IF(AND(DiscreteStatsTable[[#This Row],[RepsWithStatObserved]]=1,Y386=0),200000000000000000000,IFERROR(_xlfn.T.INV.2T(1 -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6" cm="1">
        <f t="array" ref="R386">MIN(IF((DiscreteStatsTable[GroupByKey]=DiscreteStatsTable[[#This Row],[GroupByKey]]),(DiscreteStatsTable[GroupByKey]=DiscreteStatsTable[[#This Row],[GroupByKey]])*DiscreteStatsTable[Average]))</f>
        <v>0</v>
      </c>
      <c r="S386" cm="1">
        <f t="array" ref="S386">MAX(IF((DiscreteStatsTable[GroupByKey]=DiscreteStatsTable[[#This Row],[GroupByKey]]),(DiscreteStatsTable[GroupByKey]=DiscreteStatsTable[[#This Row],[GroupByKey]])*DiscreteStatsTable[Average]))</f>
        <v>0</v>
      </c>
      <c r="T386" cm="1">
        <f t="array" ref="T386">MIN(IF((DiscreteStatsTable[GroupByKey]=DiscreteStatsTable[[#This Row],[GroupByKey]]),(DiscreteStatsTable[GroupByKey]=DiscreteStatsTable[[#This Row],[GroupByKey]])*DiscreteStatsTable[Minimum]))</f>
        <v>0</v>
      </c>
      <c r="U386" cm="1">
        <f t="array" ref="U386">MAX(IF((DiscreteStatsTable[GroupByKey]=DiscreteStatsTable[[#This Row],[GroupByKey]]),(DiscreteStatsTable[GroupByKey]=DiscreteStatsTable[[#This Row],[GroupByKey]])*DiscreteStatsTable[Maximum]))</f>
        <v>0</v>
      </c>
      <c r="V386" cm="1">
        <f t="array" ref="V386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86">
        <f>IF((DiscreteStatsTable[[#This Row],[RepsRequested]]&gt;1),DiscreteStatsTable[[#This Row],[HalfWidth]],DiscreteStatsTable[[#This Row],[BatchMeansHalfWidth]])</f>
        <v>0</v>
      </c>
      <c r="X386" cm="1">
        <f t="array" ref="X386">COUNT(IF((DiscreteStatsTable[GroupByKey]=DiscreteStatsTable[[#This Row],[GroupByKey]]),(DiscreteStatsTable[GroupByKey]=DiscreteStatsTable[[#This Row],[GroupByKey]])*DiscreteStatsTable[Replication]))</f>
        <v>30</v>
      </c>
      <c r="Y386">
        <f>IF(DiscreteStatsTable[[#This Row],[RepsRequested]]=DiscreteStatsTable[[#This Row],[RepsWithStatObserved]],1,0)</f>
        <v>1</v>
      </c>
    </row>
    <row r="387" spans="1:25" x14ac:dyDescent="0.2">
      <c r="A387" t="s">
        <v>67</v>
      </c>
      <c r="B387" t="s">
        <v>70</v>
      </c>
      <c r="C387">
        <v>26</v>
      </c>
      <c r="D387" t="s">
        <v>90</v>
      </c>
      <c r="E387" t="s">
        <v>72</v>
      </c>
      <c r="F387" t="s">
        <v>73</v>
      </c>
      <c r="G387">
        <v>0</v>
      </c>
      <c r="H387">
        <v>2E+20</v>
      </c>
      <c r="I387">
        <v>0</v>
      </c>
      <c r="J387">
        <v>0</v>
      </c>
      <c r="K387">
        <v>205</v>
      </c>
      <c r="L387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87" cm="1">
        <f t="array" ref="M387">MAX(IF((ProjectInfoTable[ProjectName]=DiscreteStatsTable[[#This Row],[ProjectName]]),(ProjectInfoTable[ProjectName]=DiscreteStatsTable[[#This Row],[ProjectName]])*ProjectInfoTable[NumberOfReplications]))</f>
        <v>30</v>
      </c>
      <c r="N387" cm="1">
        <f t="array" ref="N387">IFERROR(AVERAGE(IF((DiscreteStatsTable[GroupByKey]=DiscreteStatsTable[[#This Row],[GroupByKey]]),(DiscreteStatsTable[GroupByKey]=DiscreteStatsTable[[#This Row],[GroupByKey]])*DiscreteStatsTable[Average])),0)</f>
        <v>0</v>
      </c>
      <c r="O387" cm="1">
        <f t="array" ref="O387">IFERROR(_xlfn.STDEV.S(IF((DiscreteStatsTable[GroupByKey]=DiscreteStatsTable[[#This Row],[GroupByKey]]),(DiscreteStatsTable[GroupByKey]=DiscreteStatsTable[[#This Row],[GroupByKey]])*DiscreteStatsTable[Average])),0)</f>
        <v>0</v>
      </c>
      <c r="P387" cm="1">
        <f t="array" ref="P387">MAX(IF((ProjectInfoTable[ProjectName]=DiscreteStatsTable[[#This Row],[ProjectName]]),(ProjectInfoTable[ProjectName]=DiscreteStatsTable[[#This Row],[ProjectName]])*ProjectInfoTable[ConfidenceInterval]))</f>
        <v>0.95</v>
      </c>
      <c r="Q387">
        <f>IF(AND(DiscreteStatsTable[[#This Row],[RepsWithStatObserved]]=1,Y387=0),200000000000000000000,IFERROR(_xlfn.T.INV.2T(1 -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7" cm="1">
        <f t="array" ref="R387">MIN(IF((DiscreteStatsTable[GroupByKey]=DiscreteStatsTable[[#This Row],[GroupByKey]]),(DiscreteStatsTable[GroupByKey]=DiscreteStatsTable[[#This Row],[GroupByKey]])*DiscreteStatsTable[Average]))</f>
        <v>0</v>
      </c>
      <c r="S387" cm="1">
        <f t="array" ref="S387">MAX(IF((DiscreteStatsTable[GroupByKey]=DiscreteStatsTable[[#This Row],[GroupByKey]]),(DiscreteStatsTable[GroupByKey]=DiscreteStatsTable[[#This Row],[GroupByKey]])*DiscreteStatsTable[Average]))</f>
        <v>0</v>
      </c>
      <c r="T387" cm="1">
        <f t="array" ref="T387">MIN(IF((DiscreteStatsTable[GroupByKey]=DiscreteStatsTable[[#This Row],[GroupByKey]]),(DiscreteStatsTable[GroupByKey]=DiscreteStatsTable[[#This Row],[GroupByKey]])*DiscreteStatsTable[Minimum]))</f>
        <v>0</v>
      </c>
      <c r="U387" cm="1">
        <f t="array" ref="U387">MAX(IF((DiscreteStatsTable[GroupByKey]=DiscreteStatsTable[[#This Row],[GroupByKey]]),(DiscreteStatsTable[GroupByKey]=DiscreteStatsTable[[#This Row],[GroupByKey]])*DiscreteStatsTable[Maximum]))</f>
        <v>0</v>
      </c>
      <c r="V387" cm="1">
        <f t="array" ref="V387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87">
        <f>IF((DiscreteStatsTable[[#This Row],[RepsRequested]]&gt;1),DiscreteStatsTable[[#This Row],[HalfWidth]],DiscreteStatsTable[[#This Row],[BatchMeansHalfWidth]])</f>
        <v>0</v>
      </c>
      <c r="X387" cm="1">
        <f t="array" ref="X387">COUNT(IF((DiscreteStatsTable[GroupByKey]=DiscreteStatsTable[[#This Row],[GroupByKey]]),(DiscreteStatsTable[GroupByKey]=DiscreteStatsTable[[#This Row],[GroupByKey]])*DiscreteStatsTable[Replication]))</f>
        <v>30</v>
      </c>
      <c r="Y387">
        <f>IF(DiscreteStatsTable[[#This Row],[RepsRequested]]=DiscreteStatsTable[[#This Row],[RepsWithStatObserved]],1,0)</f>
        <v>1</v>
      </c>
    </row>
    <row r="388" spans="1:25" x14ac:dyDescent="0.2">
      <c r="A388" t="s">
        <v>67</v>
      </c>
      <c r="B388" t="s">
        <v>70</v>
      </c>
      <c r="C388">
        <v>27</v>
      </c>
      <c r="D388" t="s">
        <v>90</v>
      </c>
      <c r="E388" t="s">
        <v>72</v>
      </c>
      <c r="F388" t="s">
        <v>73</v>
      </c>
      <c r="G388">
        <v>0</v>
      </c>
      <c r="H388">
        <v>2E+20</v>
      </c>
      <c r="I388">
        <v>0</v>
      </c>
      <c r="J388">
        <v>0</v>
      </c>
      <c r="K388">
        <v>220</v>
      </c>
      <c r="L388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88" cm="1">
        <f t="array" ref="M388">MAX(IF((ProjectInfoTable[ProjectName]=DiscreteStatsTable[[#This Row],[ProjectName]]),(ProjectInfoTable[ProjectName]=DiscreteStatsTable[[#This Row],[ProjectName]])*ProjectInfoTable[NumberOfReplications]))</f>
        <v>30</v>
      </c>
      <c r="N388" cm="1">
        <f t="array" ref="N388">IFERROR(AVERAGE(IF((DiscreteStatsTable[GroupByKey]=DiscreteStatsTable[[#This Row],[GroupByKey]]),(DiscreteStatsTable[GroupByKey]=DiscreteStatsTable[[#This Row],[GroupByKey]])*DiscreteStatsTable[Average])),0)</f>
        <v>0</v>
      </c>
      <c r="O388" cm="1">
        <f t="array" ref="O388">IFERROR(_xlfn.STDEV.S(IF((DiscreteStatsTable[GroupByKey]=DiscreteStatsTable[[#This Row],[GroupByKey]]),(DiscreteStatsTable[GroupByKey]=DiscreteStatsTable[[#This Row],[GroupByKey]])*DiscreteStatsTable[Average])),0)</f>
        <v>0</v>
      </c>
      <c r="P388" cm="1">
        <f t="array" ref="P388">MAX(IF((ProjectInfoTable[ProjectName]=DiscreteStatsTable[[#This Row],[ProjectName]]),(ProjectInfoTable[ProjectName]=DiscreteStatsTable[[#This Row],[ProjectName]])*ProjectInfoTable[ConfidenceInterval]))</f>
        <v>0.95</v>
      </c>
      <c r="Q388">
        <f>IF(AND(DiscreteStatsTable[[#This Row],[RepsWithStatObserved]]=1,Y388=0),200000000000000000000,IFERROR(_xlfn.T.INV.2T(1 -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8" cm="1">
        <f t="array" ref="R388">MIN(IF((DiscreteStatsTable[GroupByKey]=DiscreteStatsTable[[#This Row],[GroupByKey]]),(DiscreteStatsTable[GroupByKey]=DiscreteStatsTable[[#This Row],[GroupByKey]])*DiscreteStatsTable[Average]))</f>
        <v>0</v>
      </c>
      <c r="S388" cm="1">
        <f t="array" ref="S388">MAX(IF((DiscreteStatsTable[GroupByKey]=DiscreteStatsTable[[#This Row],[GroupByKey]]),(DiscreteStatsTable[GroupByKey]=DiscreteStatsTable[[#This Row],[GroupByKey]])*DiscreteStatsTable[Average]))</f>
        <v>0</v>
      </c>
      <c r="T388" cm="1">
        <f t="array" ref="T388">MIN(IF((DiscreteStatsTable[GroupByKey]=DiscreteStatsTable[[#This Row],[GroupByKey]]),(DiscreteStatsTable[GroupByKey]=DiscreteStatsTable[[#This Row],[GroupByKey]])*DiscreteStatsTable[Minimum]))</f>
        <v>0</v>
      </c>
      <c r="U388" cm="1">
        <f t="array" ref="U388">MAX(IF((DiscreteStatsTable[GroupByKey]=DiscreteStatsTable[[#This Row],[GroupByKey]]),(DiscreteStatsTable[GroupByKey]=DiscreteStatsTable[[#This Row],[GroupByKey]])*DiscreteStatsTable[Maximum]))</f>
        <v>0</v>
      </c>
      <c r="V388" cm="1">
        <f t="array" ref="V388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88">
        <f>IF((DiscreteStatsTable[[#This Row],[RepsRequested]]&gt;1),DiscreteStatsTable[[#This Row],[HalfWidth]],DiscreteStatsTable[[#This Row],[BatchMeansHalfWidth]])</f>
        <v>0</v>
      </c>
      <c r="X388" cm="1">
        <f t="array" ref="X388">COUNT(IF((DiscreteStatsTable[GroupByKey]=DiscreteStatsTable[[#This Row],[GroupByKey]]),(DiscreteStatsTable[GroupByKey]=DiscreteStatsTable[[#This Row],[GroupByKey]])*DiscreteStatsTable[Replication]))</f>
        <v>30</v>
      </c>
      <c r="Y388">
        <f>IF(DiscreteStatsTable[[#This Row],[RepsRequested]]=DiscreteStatsTable[[#This Row],[RepsWithStatObserved]],1,0)</f>
        <v>1</v>
      </c>
    </row>
    <row r="389" spans="1:25" x14ac:dyDescent="0.2">
      <c r="A389" t="s">
        <v>67</v>
      </c>
      <c r="B389" t="s">
        <v>70</v>
      </c>
      <c r="C389">
        <v>28</v>
      </c>
      <c r="D389" t="s">
        <v>90</v>
      </c>
      <c r="E389" t="s">
        <v>72</v>
      </c>
      <c r="F389" t="s">
        <v>73</v>
      </c>
      <c r="G389">
        <v>0</v>
      </c>
      <c r="H389">
        <v>2E+20</v>
      </c>
      <c r="I389">
        <v>0</v>
      </c>
      <c r="J389">
        <v>0</v>
      </c>
      <c r="K389">
        <v>216</v>
      </c>
      <c r="L389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89" cm="1">
        <f t="array" ref="M389">MAX(IF((ProjectInfoTable[ProjectName]=DiscreteStatsTable[[#This Row],[ProjectName]]),(ProjectInfoTable[ProjectName]=DiscreteStatsTable[[#This Row],[ProjectName]])*ProjectInfoTable[NumberOfReplications]))</f>
        <v>30</v>
      </c>
      <c r="N389" cm="1">
        <f t="array" ref="N389">IFERROR(AVERAGE(IF((DiscreteStatsTable[GroupByKey]=DiscreteStatsTable[[#This Row],[GroupByKey]]),(DiscreteStatsTable[GroupByKey]=DiscreteStatsTable[[#This Row],[GroupByKey]])*DiscreteStatsTable[Average])),0)</f>
        <v>0</v>
      </c>
      <c r="O389" cm="1">
        <f t="array" ref="O389">IFERROR(_xlfn.STDEV.S(IF((DiscreteStatsTable[GroupByKey]=DiscreteStatsTable[[#This Row],[GroupByKey]]),(DiscreteStatsTable[GroupByKey]=DiscreteStatsTable[[#This Row],[GroupByKey]])*DiscreteStatsTable[Average])),0)</f>
        <v>0</v>
      </c>
      <c r="P389" cm="1">
        <f t="array" ref="P389">MAX(IF((ProjectInfoTable[ProjectName]=DiscreteStatsTable[[#This Row],[ProjectName]]),(ProjectInfoTable[ProjectName]=DiscreteStatsTable[[#This Row],[ProjectName]])*ProjectInfoTable[ConfidenceInterval]))</f>
        <v>0.95</v>
      </c>
      <c r="Q389">
        <f>IF(AND(DiscreteStatsTable[[#This Row],[RepsWithStatObserved]]=1,Y389=0),200000000000000000000,IFERROR(_xlfn.T.INV.2T(1 -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9" cm="1">
        <f t="array" ref="R389">MIN(IF((DiscreteStatsTable[GroupByKey]=DiscreteStatsTable[[#This Row],[GroupByKey]]),(DiscreteStatsTable[GroupByKey]=DiscreteStatsTable[[#This Row],[GroupByKey]])*DiscreteStatsTable[Average]))</f>
        <v>0</v>
      </c>
      <c r="S389" cm="1">
        <f t="array" ref="S389">MAX(IF((DiscreteStatsTable[GroupByKey]=DiscreteStatsTable[[#This Row],[GroupByKey]]),(DiscreteStatsTable[GroupByKey]=DiscreteStatsTable[[#This Row],[GroupByKey]])*DiscreteStatsTable[Average]))</f>
        <v>0</v>
      </c>
      <c r="T389" cm="1">
        <f t="array" ref="T389">MIN(IF((DiscreteStatsTable[GroupByKey]=DiscreteStatsTable[[#This Row],[GroupByKey]]),(DiscreteStatsTable[GroupByKey]=DiscreteStatsTable[[#This Row],[GroupByKey]])*DiscreteStatsTable[Minimum]))</f>
        <v>0</v>
      </c>
      <c r="U389" cm="1">
        <f t="array" ref="U389">MAX(IF((DiscreteStatsTable[GroupByKey]=DiscreteStatsTable[[#This Row],[GroupByKey]]),(DiscreteStatsTable[GroupByKey]=DiscreteStatsTable[[#This Row],[GroupByKey]])*DiscreteStatsTable[Maximum]))</f>
        <v>0</v>
      </c>
      <c r="V389" cm="1">
        <f t="array" ref="V389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89">
        <f>IF((DiscreteStatsTable[[#This Row],[RepsRequested]]&gt;1),DiscreteStatsTable[[#This Row],[HalfWidth]],DiscreteStatsTable[[#This Row],[BatchMeansHalfWidth]])</f>
        <v>0</v>
      </c>
      <c r="X389" cm="1">
        <f t="array" ref="X389">COUNT(IF((DiscreteStatsTable[GroupByKey]=DiscreteStatsTable[[#This Row],[GroupByKey]]),(DiscreteStatsTable[GroupByKey]=DiscreteStatsTable[[#This Row],[GroupByKey]])*DiscreteStatsTable[Replication]))</f>
        <v>30</v>
      </c>
      <c r="Y389">
        <f>IF(DiscreteStatsTable[[#This Row],[RepsRequested]]=DiscreteStatsTable[[#This Row],[RepsWithStatObserved]],1,0)</f>
        <v>1</v>
      </c>
    </row>
    <row r="390" spans="1:25" x14ac:dyDescent="0.2">
      <c r="A390" t="s">
        <v>67</v>
      </c>
      <c r="B390" t="s">
        <v>70</v>
      </c>
      <c r="C390">
        <v>29</v>
      </c>
      <c r="D390" t="s">
        <v>90</v>
      </c>
      <c r="E390" t="s">
        <v>72</v>
      </c>
      <c r="F390" t="s">
        <v>73</v>
      </c>
      <c r="G390">
        <v>0</v>
      </c>
      <c r="H390">
        <v>2E+20</v>
      </c>
      <c r="I390">
        <v>0</v>
      </c>
      <c r="J390">
        <v>0</v>
      </c>
      <c r="K390">
        <v>227</v>
      </c>
      <c r="L390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90" cm="1">
        <f t="array" ref="M390">MAX(IF((ProjectInfoTable[ProjectName]=DiscreteStatsTable[[#This Row],[ProjectName]]),(ProjectInfoTable[ProjectName]=DiscreteStatsTable[[#This Row],[ProjectName]])*ProjectInfoTable[NumberOfReplications]))</f>
        <v>30</v>
      </c>
      <c r="N390" cm="1">
        <f t="array" ref="N390">IFERROR(AVERAGE(IF((DiscreteStatsTable[GroupByKey]=DiscreteStatsTable[[#This Row],[GroupByKey]]),(DiscreteStatsTable[GroupByKey]=DiscreteStatsTable[[#This Row],[GroupByKey]])*DiscreteStatsTable[Average])),0)</f>
        <v>0</v>
      </c>
      <c r="O390" cm="1">
        <f t="array" ref="O390">IFERROR(_xlfn.STDEV.S(IF((DiscreteStatsTable[GroupByKey]=DiscreteStatsTable[[#This Row],[GroupByKey]]),(DiscreteStatsTable[GroupByKey]=DiscreteStatsTable[[#This Row],[GroupByKey]])*DiscreteStatsTable[Average])),0)</f>
        <v>0</v>
      </c>
      <c r="P390" cm="1">
        <f t="array" ref="P390">MAX(IF((ProjectInfoTable[ProjectName]=DiscreteStatsTable[[#This Row],[ProjectName]]),(ProjectInfoTable[ProjectName]=DiscreteStatsTable[[#This Row],[ProjectName]])*ProjectInfoTable[ConfidenceInterval]))</f>
        <v>0.95</v>
      </c>
      <c r="Q390">
        <f>IF(AND(DiscreteStatsTable[[#This Row],[RepsWithStatObserved]]=1,Y390=0),200000000000000000000,IFERROR(_xlfn.T.INV.2T(1 -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0" cm="1">
        <f t="array" ref="R390">MIN(IF((DiscreteStatsTable[GroupByKey]=DiscreteStatsTable[[#This Row],[GroupByKey]]),(DiscreteStatsTable[GroupByKey]=DiscreteStatsTable[[#This Row],[GroupByKey]])*DiscreteStatsTable[Average]))</f>
        <v>0</v>
      </c>
      <c r="S390" cm="1">
        <f t="array" ref="S390">MAX(IF((DiscreteStatsTable[GroupByKey]=DiscreteStatsTable[[#This Row],[GroupByKey]]),(DiscreteStatsTable[GroupByKey]=DiscreteStatsTable[[#This Row],[GroupByKey]])*DiscreteStatsTable[Average]))</f>
        <v>0</v>
      </c>
      <c r="T390" cm="1">
        <f t="array" ref="T390">MIN(IF((DiscreteStatsTable[GroupByKey]=DiscreteStatsTable[[#This Row],[GroupByKey]]),(DiscreteStatsTable[GroupByKey]=DiscreteStatsTable[[#This Row],[GroupByKey]])*DiscreteStatsTable[Minimum]))</f>
        <v>0</v>
      </c>
      <c r="U390" cm="1">
        <f t="array" ref="U390">MAX(IF((DiscreteStatsTable[GroupByKey]=DiscreteStatsTable[[#This Row],[GroupByKey]]),(DiscreteStatsTable[GroupByKey]=DiscreteStatsTable[[#This Row],[GroupByKey]])*DiscreteStatsTable[Maximum]))</f>
        <v>0</v>
      </c>
      <c r="V390" cm="1">
        <f t="array" ref="V390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90">
        <f>IF((DiscreteStatsTable[[#This Row],[RepsRequested]]&gt;1),DiscreteStatsTable[[#This Row],[HalfWidth]],DiscreteStatsTable[[#This Row],[BatchMeansHalfWidth]])</f>
        <v>0</v>
      </c>
      <c r="X390" cm="1">
        <f t="array" ref="X390">COUNT(IF((DiscreteStatsTable[GroupByKey]=DiscreteStatsTable[[#This Row],[GroupByKey]]),(DiscreteStatsTable[GroupByKey]=DiscreteStatsTable[[#This Row],[GroupByKey]])*DiscreteStatsTable[Replication]))</f>
        <v>30</v>
      </c>
      <c r="Y390">
        <f>IF(DiscreteStatsTable[[#This Row],[RepsRequested]]=DiscreteStatsTable[[#This Row],[RepsWithStatObserved]],1,0)</f>
        <v>1</v>
      </c>
    </row>
    <row r="391" spans="1:25" x14ac:dyDescent="0.2">
      <c r="A391" t="s">
        <v>67</v>
      </c>
      <c r="B391" t="s">
        <v>70</v>
      </c>
      <c r="C391">
        <v>30</v>
      </c>
      <c r="D391" t="s">
        <v>90</v>
      </c>
      <c r="E391" t="s">
        <v>72</v>
      </c>
      <c r="F391" t="s">
        <v>73</v>
      </c>
      <c r="G391">
        <v>0</v>
      </c>
      <c r="H391">
        <v>2E+20</v>
      </c>
      <c r="I391">
        <v>0</v>
      </c>
      <c r="J391">
        <v>0</v>
      </c>
      <c r="K391">
        <v>216</v>
      </c>
      <c r="L391" t="str">
        <f>DiscreteStatsTable[[#This Row],[ProjectName]]&amp;DiscreteStatsTable[[#This Row],[Name]]&amp;DiscreteStatsTable[[#This Row],[Type]]&amp;DiscreteStatsTable[[#This Row],[Source]]</f>
        <v>Unnamed ProjectOutside_Table_Standing.QueueWaiting TimeQueue</v>
      </c>
      <c r="M391" cm="1">
        <f t="array" ref="M391">MAX(IF((ProjectInfoTable[ProjectName]=DiscreteStatsTable[[#This Row],[ProjectName]]),(ProjectInfoTable[ProjectName]=DiscreteStatsTable[[#This Row],[ProjectName]])*ProjectInfoTable[NumberOfReplications]))</f>
        <v>30</v>
      </c>
      <c r="N391" cm="1">
        <f t="array" ref="N391">IFERROR(AVERAGE(IF((DiscreteStatsTable[GroupByKey]=DiscreteStatsTable[[#This Row],[GroupByKey]]),(DiscreteStatsTable[GroupByKey]=DiscreteStatsTable[[#This Row],[GroupByKey]])*DiscreteStatsTable[Average])),0)</f>
        <v>0</v>
      </c>
      <c r="O391" cm="1">
        <f t="array" ref="O391">IFERROR(_xlfn.STDEV.S(IF((DiscreteStatsTable[GroupByKey]=DiscreteStatsTable[[#This Row],[GroupByKey]]),(DiscreteStatsTable[GroupByKey]=DiscreteStatsTable[[#This Row],[GroupByKey]])*DiscreteStatsTable[Average])),0)</f>
        <v>0</v>
      </c>
      <c r="P391" cm="1">
        <f t="array" ref="P391">MAX(IF((ProjectInfoTable[ProjectName]=DiscreteStatsTable[[#This Row],[ProjectName]]),(ProjectInfoTable[ProjectName]=DiscreteStatsTable[[#This Row],[ProjectName]])*ProjectInfoTable[ConfidenceInterval]))</f>
        <v>0.95</v>
      </c>
      <c r="Q391">
        <f>IF(AND(DiscreteStatsTable[[#This Row],[RepsWithStatObserved]]=1,Y391=0),200000000000000000000,IFERROR(_xlfn.T.INV.2T(1 -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1" cm="1">
        <f t="array" ref="R391">MIN(IF((DiscreteStatsTable[GroupByKey]=DiscreteStatsTable[[#This Row],[GroupByKey]]),(DiscreteStatsTable[GroupByKey]=DiscreteStatsTable[[#This Row],[GroupByKey]])*DiscreteStatsTable[Average]))</f>
        <v>0</v>
      </c>
      <c r="S391" cm="1">
        <f t="array" ref="S391">MAX(IF((DiscreteStatsTable[GroupByKey]=DiscreteStatsTable[[#This Row],[GroupByKey]]),(DiscreteStatsTable[GroupByKey]=DiscreteStatsTable[[#This Row],[GroupByKey]])*DiscreteStatsTable[Average]))</f>
        <v>0</v>
      </c>
      <c r="T391" cm="1">
        <f t="array" ref="T391">MIN(IF((DiscreteStatsTable[GroupByKey]=DiscreteStatsTable[[#This Row],[GroupByKey]]),(DiscreteStatsTable[GroupByKey]=DiscreteStatsTable[[#This Row],[GroupByKey]])*DiscreteStatsTable[Minimum]))</f>
        <v>0</v>
      </c>
      <c r="U391" cm="1">
        <f t="array" ref="U391">MAX(IF((DiscreteStatsTable[GroupByKey]=DiscreteStatsTable[[#This Row],[GroupByKey]]),(DiscreteStatsTable[GroupByKey]=DiscreteStatsTable[[#This Row],[GroupByKey]])*DiscreteStatsTable[Maximum]))</f>
        <v>0</v>
      </c>
      <c r="V391" cm="1">
        <f t="array" ref="V391">IFERROR(AVERAGE(IF((DiscreteStatsTable[GroupByKey]=DiscreteStatsTable[[#This Row],[GroupByKey]]),(DiscreteStatsTable[GroupByKey]=DiscreteStatsTable[[#This Row],[GroupByKey]])*DiscreteStatsTable[NumberObservations])),0)</f>
        <v>225.93333333333334</v>
      </c>
      <c r="W391">
        <f>IF((DiscreteStatsTable[[#This Row],[RepsRequested]]&gt;1),DiscreteStatsTable[[#This Row],[HalfWidth]],DiscreteStatsTable[[#This Row],[BatchMeansHalfWidth]])</f>
        <v>0</v>
      </c>
      <c r="X391" cm="1">
        <f t="array" ref="X391">COUNT(IF((DiscreteStatsTable[GroupByKey]=DiscreteStatsTable[[#This Row],[GroupByKey]]),(DiscreteStatsTable[GroupByKey]=DiscreteStatsTable[[#This Row],[GroupByKey]])*DiscreteStatsTable[Replication]))</f>
        <v>30</v>
      </c>
      <c r="Y391">
        <f>IF(DiscreteStatsTable[[#This Row],[RepsRequested]]=DiscreteStatsTable[[#This Row],[RepsWithStatObserved]],1,0)</f>
        <v>1</v>
      </c>
    </row>
    <row r="392" spans="1:25" x14ac:dyDescent="0.2">
      <c r="A392" t="s">
        <v>67</v>
      </c>
      <c r="B392" t="s">
        <v>70</v>
      </c>
      <c r="C392">
        <v>1</v>
      </c>
      <c r="D392" t="s">
        <v>91</v>
      </c>
      <c r="E392" t="s">
        <v>72</v>
      </c>
      <c r="F392" t="s">
        <v>73</v>
      </c>
      <c r="G392">
        <v>0</v>
      </c>
      <c r="H392">
        <v>2E+20</v>
      </c>
      <c r="I392">
        <v>0</v>
      </c>
      <c r="J392">
        <v>0</v>
      </c>
      <c r="K392">
        <v>191</v>
      </c>
      <c r="L392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392" cm="1">
        <f t="array" ref="M392">MAX(IF((ProjectInfoTable[ProjectName]=DiscreteStatsTable[[#This Row],[ProjectName]]),(ProjectInfoTable[ProjectName]=DiscreteStatsTable[[#This Row],[ProjectName]])*ProjectInfoTable[NumberOfReplications]))</f>
        <v>30</v>
      </c>
      <c r="N392" cm="1">
        <f t="array" ref="N392">IFERROR(AVERAGE(IF((DiscreteStatsTable[GroupByKey]=DiscreteStatsTable[[#This Row],[GroupByKey]]),(DiscreteStatsTable[GroupByKey]=DiscreteStatsTable[[#This Row],[GroupByKey]])*DiscreteStatsTable[Average])),0)</f>
        <v>0</v>
      </c>
      <c r="O392" cm="1">
        <f t="array" ref="O392">IFERROR(_xlfn.STDEV.S(IF((DiscreteStatsTable[GroupByKey]=DiscreteStatsTable[[#This Row],[GroupByKey]]),(DiscreteStatsTable[GroupByKey]=DiscreteStatsTable[[#This Row],[GroupByKey]])*DiscreteStatsTable[Average])),0)</f>
        <v>0</v>
      </c>
      <c r="P392" cm="1">
        <f t="array" ref="P392">MAX(IF((ProjectInfoTable[ProjectName]=DiscreteStatsTable[[#This Row],[ProjectName]]),(ProjectInfoTable[ProjectName]=DiscreteStatsTable[[#This Row],[ProjectName]])*ProjectInfoTable[ConfidenceInterval]))</f>
        <v>0.95</v>
      </c>
      <c r="Q392">
        <f>IF(AND(DiscreteStatsTable[[#This Row],[RepsWithStatObserved]]=1,Y392=0),200000000000000000000,IFERROR(_xlfn.T.INV.2T(1 -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2" cm="1">
        <f t="array" ref="R392">MIN(IF((DiscreteStatsTable[GroupByKey]=DiscreteStatsTable[[#This Row],[GroupByKey]]),(DiscreteStatsTable[GroupByKey]=DiscreteStatsTable[[#This Row],[GroupByKey]])*DiscreteStatsTable[Average]))</f>
        <v>0</v>
      </c>
      <c r="S392" cm="1">
        <f t="array" ref="S392">MAX(IF((DiscreteStatsTable[GroupByKey]=DiscreteStatsTable[[#This Row],[GroupByKey]]),(DiscreteStatsTable[GroupByKey]=DiscreteStatsTable[[#This Row],[GroupByKey]])*DiscreteStatsTable[Average]))</f>
        <v>0</v>
      </c>
      <c r="T392" cm="1">
        <f t="array" ref="T392">MIN(IF((DiscreteStatsTable[GroupByKey]=DiscreteStatsTable[[#This Row],[GroupByKey]]),(DiscreteStatsTable[GroupByKey]=DiscreteStatsTable[[#This Row],[GroupByKey]])*DiscreteStatsTable[Minimum]))</f>
        <v>0</v>
      </c>
      <c r="U392" cm="1">
        <f t="array" ref="U392">MAX(IF((DiscreteStatsTable[GroupByKey]=DiscreteStatsTable[[#This Row],[GroupByKey]]),(DiscreteStatsTable[GroupByKey]=DiscreteStatsTable[[#This Row],[GroupByKey]])*DiscreteStatsTable[Maximum]))</f>
        <v>0</v>
      </c>
      <c r="V392" cm="1">
        <f t="array" ref="V392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392">
        <f>IF((DiscreteStatsTable[[#This Row],[RepsRequested]]&gt;1),DiscreteStatsTable[[#This Row],[HalfWidth]],DiscreteStatsTable[[#This Row],[BatchMeansHalfWidth]])</f>
        <v>0</v>
      </c>
      <c r="X392" cm="1">
        <f t="array" ref="X392">COUNT(IF((DiscreteStatsTable[GroupByKey]=DiscreteStatsTable[[#This Row],[GroupByKey]]),(DiscreteStatsTable[GroupByKey]=DiscreteStatsTable[[#This Row],[GroupByKey]])*DiscreteStatsTable[Replication]))</f>
        <v>30</v>
      </c>
      <c r="Y392">
        <f>IF(DiscreteStatsTable[[#This Row],[RepsRequested]]=DiscreteStatsTable[[#This Row],[RepsWithStatObserved]],1,0)</f>
        <v>1</v>
      </c>
    </row>
    <row r="393" spans="1:25" x14ac:dyDescent="0.2">
      <c r="A393" t="s">
        <v>67</v>
      </c>
      <c r="B393" t="s">
        <v>70</v>
      </c>
      <c r="C393">
        <v>2</v>
      </c>
      <c r="D393" t="s">
        <v>91</v>
      </c>
      <c r="E393" t="s">
        <v>72</v>
      </c>
      <c r="F393" t="s">
        <v>73</v>
      </c>
      <c r="G393">
        <v>0</v>
      </c>
      <c r="H393">
        <v>2E+20</v>
      </c>
      <c r="I393">
        <v>0</v>
      </c>
      <c r="J393">
        <v>0</v>
      </c>
      <c r="K393">
        <v>223</v>
      </c>
      <c r="L393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393" cm="1">
        <f t="array" ref="M393">MAX(IF((ProjectInfoTable[ProjectName]=DiscreteStatsTable[[#This Row],[ProjectName]]),(ProjectInfoTable[ProjectName]=DiscreteStatsTable[[#This Row],[ProjectName]])*ProjectInfoTable[NumberOfReplications]))</f>
        <v>30</v>
      </c>
      <c r="N393" cm="1">
        <f t="array" ref="N393">IFERROR(AVERAGE(IF((DiscreteStatsTable[GroupByKey]=DiscreteStatsTable[[#This Row],[GroupByKey]]),(DiscreteStatsTable[GroupByKey]=DiscreteStatsTable[[#This Row],[GroupByKey]])*DiscreteStatsTable[Average])),0)</f>
        <v>0</v>
      </c>
      <c r="O393" cm="1">
        <f t="array" ref="O393">IFERROR(_xlfn.STDEV.S(IF((DiscreteStatsTable[GroupByKey]=DiscreteStatsTable[[#This Row],[GroupByKey]]),(DiscreteStatsTable[GroupByKey]=DiscreteStatsTable[[#This Row],[GroupByKey]])*DiscreteStatsTable[Average])),0)</f>
        <v>0</v>
      </c>
      <c r="P393" cm="1">
        <f t="array" ref="P393">MAX(IF((ProjectInfoTable[ProjectName]=DiscreteStatsTable[[#This Row],[ProjectName]]),(ProjectInfoTable[ProjectName]=DiscreteStatsTable[[#This Row],[ProjectName]])*ProjectInfoTable[ConfidenceInterval]))</f>
        <v>0.95</v>
      </c>
      <c r="Q393">
        <f>IF(AND(DiscreteStatsTable[[#This Row],[RepsWithStatObserved]]=1,Y393=0),200000000000000000000,IFERROR(_xlfn.T.INV.2T(1 -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3" cm="1">
        <f t="array" ref="R393">MIN(IF((DiscreteStatsTable[GroupByKey]=DiscreteStatsTable[[#This Row],[GroupByKey]]),(DiscreteStatsTable[GroupByKey]=DiscreteStatsTable[[#This Row],[GroupByKey]])*DiscreteStatsTable[Average]))</f>
        <v>0</v>
      </c>
      <c r="S393" cm="1">
        <f t="array" ref="S393">MAX(IF((DiscreteStatsTable[GroupByKey]=DiscreteStatsTable[[#This Row],[GroupByKey]]),(DiscreteStatsTable[GroupByKey]=DiscreteStatsTable[[#This Row],[GroupByKey]])*DiscreteStatsTable[Average]))</f>
        <v>0</v>
      </c>
      <c r="T393" cm="1">
        <f t="array" ref="T393">MIN(IF((DiscreteStatsTable[GroupByKey]=DiscreteStatsTable[[#This Row],[GroupByKey]]),(DiscreteStatsTable[GroupByKey]=DiscreteStatsTable[[#This Row],[GroupByKey]])*DiscreteStatsTable[Minimum]))</f>
        <v>0</v>
      </c>
      <c r="U393" cm="1">
        <f t="array" ref="U393">MAX(IF((DiscreteStatsTable[GroupByKey]=DiscreteStatsTable[[#This Row],[GroupByKey]]),(DiscreteStatsTable[GroupByKey]=DiscreteStatsTable[[#This Row],[GroupByKey]])*DiscreteStatsTable[Maximum]))</f>
        <v>0</v>
      </c>
      <c r="V393" cm="1">
        <f t="array" ref="V393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393">
        <f>IF((DiscreteStatsTable[[#This Row],[RepsRequested]]&gt;1),DiscreteStatsTable[[#This Row],[HalfWidth]],DiscreteStatsTable[[#This Row],[BatchMeansHalfWidth]])</f>
        <v>0</v>
      </c>
      <c r="X393" cm="1">
        <f t="array" ref="X393">COUNT(IF((DiscreteStatsTable[GroupByKey]=DiscreteStatsTable[[#This Row],[GroupByKey]]),(DiscreteStatsTable[GroupByKey]=DiscreteStatsTable[[#This Row],[GroupByKey]])*DiscreteStatsTable[Replication]))</f>
        <v>30</v>
      </c>
      <c r="Y393">
        <f>IF(DiscreteStatsTable[[#This Row],[RepsRequested]]=DiscreteStatsTable[[#This Row],[RepsWithStatObserved]],1,0)</f>
        <v>1</v>
      </c>
    </row>
    <row r="394" spans="1:25" x14ac:dyDescent="0.2">
      <c r="A394" t="s">
        <v>67</v>
      </c>
      <c r="B394" t="s">
        <v>70</v>
      </c>
      <c r="C394">
        <v>3</v>
      </c>
      <c r="D394" t="s">
        <v>91</v>
      </c>
      <c r="E394" t="s">
        <v>72</v>
      </c>
      <c r="F394" t="s">
        <v>73</v>
      </c>
      <c r="G394">
        <v>0</v>
      </c>
      <c r="H394">
        <v>2E+20</v>
      </c>
      <c r="I394">
        <v>0</v>
      </c>
      <c r="J394">
        <v>0</v>
      </c>
      <c r="K394">
        <v>187</v>
      </c>
      <c r="L394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394" cm="1">
        <f t="array" ref="M394">MAX(IF((ProjectInfoTable[ProjectName]=DiscreteStatsTable[[#This Row],[ProjectName]]),(ProjectInfoTable[ProjectName]=DiscreteStatsTable[[#This Row],[ProjectName]])*ProjectInfoTable[NumberOfReplications]))</f>
        <v>30</v>
      </c>
      <c r="N394" cm="1">
        <f t="array" ref="N394">IFERROR(AVERAGE(IF((DiscreteStatsTable[GroupByKey]=DiscreteStatsTable[[#This Row],[GroupByKey]]),(DiscreteStatsTable[GroupByKey]=DiscreteStatsTable[[#This Row],[GroupByKey]])*DiscreteStatsTable[Average])),0)</f>
        <v>0</v>
      </c>
      <c r="O394" cm="1">
        <f t="array" ref="O394">IFERROR(_xlfn.STDEV.S(IF((DiscreteStatsTable[GroupByKey]=DiscreteStatsTable[[#This Row],[GroupByKey]]),(DiscreteStatsTable[GroupByKey]=DiscreteStatsTable[[#This Row],[GroupByKey]])*DiscreteStatsTable[Average])),0)</f>
        <v>0</v>
      </c>
      <c r="P394" cm="1">
        <f t="array" ref="P394">MAX(IF((ProjectInfoTable[ProjectName]=DiscreteStatsTable[[#This Row],[ProjectName]]),(ProjectInfoTable[ProjectName]=DiscreteStatsTable[[#This Row],[ProjectName]])*ProjectInfoTable[ConfidenceInterval]))</f>
        <v>0.95</v>
      </c>
      <c r="Q394">
        <f>IF(AND(DiscreteStatsTable[[#This Row],[RepsWithStatObserved]]=1,Y394=0),200000000000000000000,IFERROR(_xlfn.T.INV.2T(1 -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4" cm="1">
        <f t="array" ref="R394">MIN(IF((DiscreteStatsTable[GroupByKey]=DiscreteStatsTable[[#This Row],[GroupByKey]]),(DiscreteStatsTable[GroupByKey]=DiscreteStatsTable[[#This Row],[GroupByKey]])*DiscreteStatsTable[Average]))</f>
        <v>0</v>
      </c>
      <c r="S394" cm="1">
        <f t="array" ref="S394">MAX(IF((DiscreteStatsTable[GroupByKey]=DiscreteStatsTable[[#This Row],[GroupByKey]]),(DiscreteStatsTable[GroupByKey]=DiscreteStatsTable[[#This Row],[GroupByKey]])*DiscreteStatsTable[Average]))</f>
        <v>0</v>
      </c>
      <c r="T394" cm="1">
        <f t="array" ref="T394">MIN(IF((DiscreteStatsTable[GroupByKey]=DiscreteStatsTable[[#This Row],[GroupByKey]]),(DiscreteStatsTable[GroupByKey]=DiscreteStatsTable[[#This Row],[GroupByKey]])*DiscreteStatsTable[Minimum]))</f>
        <v>0</v>
      </c>
      <c r="U394" cm="1">
        <f t="array" ref="U394">MAX(IF((DiscreteStatsTable[GroupByKey]=DiscreteStatsTable[[#This Row],[GroupByKey]]),(DiscreteStatsTable[GroupByKey]=DiscreteStatsTable[[#This Row],[GroupByKey]])*DiscreteStatsTable[Maximum]))</f>
        <v>0</v>
      </c>
      <c r="V394" cm="1">
        <f t="array" ref="V394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394">
        <f>IF((DiscreteStatsTable[[#This Row],[RepsRequested]]&gt;1),DiscreteStatsTable[[#This Row],[HalfWidth]],DiscreteStatsTable[[#This Row],[BatchMeansHalfWidth]])</f>
        <v>0</v>
      </c>
      <c r="X394" cm="1">
        <f t="array" ref="X394">COUNT(IF((DiscreteStatsTable[GroupByKey]=DiscreteStatsTable[[#This Row],[GroupByKey]]),(DiscreteStatsTable[GroupByKey]=DiscreteStatsTable[[#This Row],[GroupByKey]])*DiscreteStatsTable[Replication]))</f>
        <v>30</v>
      </c>
      <c r="Y394">
        <f>IF(DiscreteStatsTable[[#This Row],[RepsRequested]]=DiscreteStatsTable[[#This Row],[RepsWithStatObserved]],1,0)</f>
        <v>1</v>
      </c>
    </row>
    <row r="395" spans="1:25" x14ac:dyDescent="0.2">
      <c r="A395" t="s">
        <v>67</v>
      </c>
      <c r="B395" t="s">
        <v>70</v>
      </c>
      <c r="C395">
        <v>4</v>
      </c>
      <c r="D395" t="s">
        <v>91</v>
      </c>
      <c r="E395" t="s">
        <v>72</v>
      </c>
      <c r="F395" t="s">
        <v>73</v>
      </c>
      <c r="G395">
        <v>0</v>
      </c>
      <c r="H395">
        <v>2E+20</v>
      </c>
      <c r="I395">
        <v>0</v>
      </c>
      <c r="J395">
        <v>0</v>
      </c>
      <c r="K395">
        <v>199</v>
      </c>
      <c r="L395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395" cm="1">
        <f t="array" ref="M395">MAX(IF((ProjectInfoTable[ProjectName]=DiscreteStatsTable[[#This Row],[ProjectName]]),(ProjectInfoTable[ProjectName]=DiscreteStatsTable[[#This Row],[ProjectName]])*ProjectInfoTable[NumberOfReplications]))</f>
        <v>30</v>
      </c>
      <c r="N395" cm="1">
        <f t="array" ref="N395">IFERROR(AVERAGE(IF((DiscreteStatsTable[GroupByKey]=DiscreteStatsTable[[#This Row],[GroupByKey]]),(DiscreteStatsTable[GroupByKey]=DiscreteStatsTable[[#This Row],[GroupByKey]])*DiscreteStatsTable[Average])),0)</f>
        <v>0</v>
      </c>
      <c r="O395" cm="1">
        <f t="array" ref="O395">IFERROR(_xlfn.STDEV.S(IF((DiscreteStatsTable[GroupByKey]=DiscreteStatsTable[[#This Row],[GroupByKey]]),(DiscreteStatsTable[GroupByKey]=DiscreteStatsTable[[#This Row],[GroupByKey]])*DiscreteStatsTable[Average])),0)</f>
        <v>0</v>
      </c>
      <c r="P395" cm="1">
        <f t="array" ref="P395">MAX(IF((ProjectInfoTable[ProjectName]=DiscreteStatsTable[[#This Row],[ProjectName]]),(ProjectInfoTable[ProjectName]=DiscreteStatsTable[[#This Row],[ProjectName]])*ProjectInfoTable[ConfidenceInterval]))</f>
        <v>0.95</v>
      </c>
      <c r="Q395">
        <f>IF(AND(DiscreteStatsTable[[#This Row],[RepsWithStatObserved]]=1,Y395=0),200000000000000000000,IFERROR(_xlfn.T.INV.2T(1 -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5" cm="1">
        <f t="array" ref="R395">MIN(IF((DiscreteStatsTable[GroupByKey]=DiscreteStatsTable[[#This Row],[GroupByKey]]),(DiscreteStatsTable[GroupByKey]=DiscreteStatsTable[[#This Row],[GroupByKey]])*DiscreteStatsTable[Average]))</f>
        <v>0</v>
      </c>
      <c r="S395" cm="1">
        <f t="array" ref="S395">MAX(IF((DiscreteStatsTable[GroupByKey]=DiscreteStatsTable[[#This Row],[GroupByKey]]),(DiscreteStatsTable[GroupByKey]=DiscreteStatsTable[[#This Row],[GroupByKey]])*DiscreteStatsTable[Average]))</f>
        <v>0</v>
      </c>
      <c r="T395" cm="1">
        <f t="array" ref="T395">MIN(IF((DiscreteStatsTable[GroupByKey]=DiscreteStatsTable[[#This Row],[GroupByKey]]),(DiscreteStatsTable[GroupByKey]=DiscreteStatsTable[[#This Row],[GroupByKey]])*DiscreteStatsTable[Minimum]))</f>
        <v>0</v>
      </c>
      <c r="U395" cm="1">
        <f t="array" ref="U395">MAX(IF((DiscreteStatsTable[GroupByKey]=DiscreteStatsTable[[#This Row],[GroupByKey]]),(DiscreteStatsTable[GroupByKey]=DiscreteStatsTable[[#This Row],[GroupByKey]])*DiscreteStatsTable[Maximum]))</f>
        <v>0</v>
      </c>
      <c r="V395" cm="1">
        <f t="array" ref="V395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395">
        <f>IF((DiscreteStatsTable[[#This Row],[RepsRequested]]&gt;1),DiscreteStatsTable[[#This Row],[HalfWidth]],DiscreteStatsTable[[#This Row],[BatchMeansHalfWidth]])</f>
        <v>0</v>
      </c>
      <c r="X395" cm="1">
        <f t="array" ref="X395">COUNT(IF((DiscreteStatsTable[GroupByKey]=DiscreteStatsTable[[#This Row],[GroupByKey]]),(DiscreteStatsTable[GroupByKey]=DiscreteStatsTable[[#This Row],[GroupByKey]])*DiscreteStatsTable[Replication]))</f>
        <v>30</v>
      </c>
      <c r="Y395">
        <f>IF(DiscreteStatsTable[[#This Row],[RepsRequested]]=DiscreteStatsTable[[#This Row],[RepsWithStatObserved]],1,0)</f>
        <v>1</v>
      </c>
    </row>
    <row r="396" spans="1:25" x14ac:dyDescent="0.2">
      <c r="A396" t="s">
        <v>67</v>
      </c>
      <c r="B396" t="s">
        <v>70</v>
      </c>
      <c r="C396">
        <v>5</v>
      </c>
      <c r="D396" t="s">
        <v>91</v>
      </c>
      <c r="E396" t="s">
        <v>72</v>
      </c>
      <c r="F396" t="s">
        <v>73</v>
      </c>
      <c r="G396">
        <v>0</v>
      </c>
      <c r="H396">
        <v>2E+20</v>
      </c>
      <c r="I396">
        <v>0</v>
      </c>
      <c r="J396">
        <v>0</v>
      </c>
      <c r="K396">
        <v>198</v>
      </c>
      <c r="L396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396" cm="1">
        <f t="array" ref="M396">MAX(IF((ProjectInfoTable[ProjectName]=DiscreteStatsTable[[#This Row],[ProjectName]]),(ProjectInfoTable[ProjectName]=DiscreteStatsTable[[#This Row],[ProjectName]])*ProjectInfoTable[NumberOfReplications]))</f>
        <v>30</v>
      </c>
      <c r="N396" cm="1">
        <f t="array" ref="N396">IFERROR(AVERAGE(IF((DiscreteStatsTable[GroupByKey]=DiscreteStatsTable[[#This Row],[GroupByKey]]),(DiscreteStatsTable[GroupByKey]=DiscreteStatsTable[[#This Row],[GroupByKey]])*DiscreteStatsTable[Average])),0)</f>
        <v>0</v>
      </c>
      <c r="O396" cm="1">
        <f t="array" ref="O396">IFERROR(_xlfn.STDEV.S(IF((DiscreteStatsTable[GroupByKey]=DiscreteStatsTable[[#This Row],[GroupByKey]]),(DiscreteStatsTable[GroupByKey]=DiscreteStatsTable[[#This Row],[GroupByKey]])*DiscreteStatsTable[Average])),0)</f>
        <v>0</v>
      </c>
      <c r="P396" cm="1">
        <f t="array" ref="P396">MAX(IF((ProjectInfoTable[ProjectName]=DiscreteStatsTable[[#This Row],[ProjectName]]),(ProjectInfoTable[ProjectName]=DiscreteStatsTable[[#This Row],[ProjectName]])*ProjectInfoTable[ConfidenceInterval]))</f>
        <v>0.95</v>
      </c>
      <c r="Q396">
        <f>IF(AND(DiscreteStatsTable[[#This Row],[RepsWithStatObserved]]=1,Y396=0),200000000000000000000,IFERROR(_xlfn.T.INV.2T(1 -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6" cm="1">
        <f t="array" ref="R396">MIN(IF((DiscreteStatsTable[GroupByKey]=DiscreteStatsTable[[#This Row],[GroupByKey]]),(DiscreteStatsTable[GroupByKey]=DiscreteStatsTable[[#This Row],[GroupByKey]])*DiscreteStatsTable[Average]))</f>
        <v>0</v>
      </c>
      <c r="S396" cm="1">
        <f t="array" ref="S396">MAX(IF((DiscreteStatsTable[GroupByKey]=DiscreteStatsTable[[#This Row],[GroupByKey]]),(DiscreteStatsTable[GroupByKey]=DiscreteStatsTable[[#This Row],[GroupByKey]])*DiscreteStatsTable[Average]))</f>
        <v>0</v>
      </c>
      <c r="T396" cm="1">
        <f t="array" ref="T396">MIN(IF((DiscreteStatsTable[GroupByKey]=DiscreteStatsTable[[#This Row],[GroupByKey]]),(DiscreteStatsTable[GroupByKey]=DiscreteStatsTable[[#This Row],[GroupByKey]])*DiscreteStatsTable[Minimum]))</f>
        <v>0</v>
      </c>
      <c r="U396" cm="1">
        <f t="array" ref="U396">MAX(IF((DiscreteStatsTable[GroupByKey]=DiscreteStatsTable[[#This Row],[GroupByKey]]),(DiscreteStatsTable[GroupByKey]=DiscreteStatsTable[[#This Row],[GroupByKey]])*DiscreteStatsTable[Maximum]))</f>
        <v>0</v>
      </c>
      <c r="V396" cm="1">
        <f t="array" ref="V396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396">
        <f>IF((DiscreteStatsTable[[#This Row],[RepsRequested]]&gt;1),DiscreteStatsTable[[#This Row],[HalfWidth]],DiscreteStatsTable[[#This Row],[BatchMeansHalfWidth]])</f>
        <v>0</v>
      </c>
      <c r="X396" cm="1">
        <f t="array" ref="X396">COUNT(IF((DiscreteStatsTable[GroupByKey]=DiscreteStatsTable[[#This Row],[GroupByKey]]),(DiscreteStatsTable[GroupByKey]=DiscreteStatsTable[[#This Row],[GroupByKey]])*DiscreteStatsTable[Replication]))</f>
        <v>30</v>
      </c>
      <c r="Y396">
        <f>IF(DiscreteStatsTable[[#This Row],[RepsRequested]]=DiscreteStatsTable[[#This Row],[RepsWithStatObserved]],1,0)</f>
        <v>1</v>
      </c>
    </row>
    <row r="397" spans="1:25" x14ac:dyDescent="0.2">
      <c r="A397" t="s">
        <v>67</v>
      </c>
      <c r="B397" t="s">
        <v>70</v>
      </c>
      <c r="C397">
        <v>6</v>
      </c>
      <c r="D397" t="s">
        <v>91</v>
      </c>
      <c r="E397" t="s">
        <v>72</v>
      </c>
      <c r="F397" t="s">
        <v>73</v>
      </c>
      <c r="G397">
        <v>0</v>
      </c>
      <c r="H397">
        <v>2E+20</v>
      </c>
      <c r="I397">
        <v>0</v>
      </c>
      <c r="J397">
        <v>0</v>
      </c>
      <c r="K397">
        <v>225</v>
      </c>
      <c r="L397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397" cm="1">
        <f t="array" ref="M397">MAX(IF((ProjectInfoTable[ProjectName]=DiscreteStatsTable[[#This Row],[ProjectName]]),(ProjectInfoTable[ProjectName]=DiscreteStatsTable[[#This Row],[ProjectName]])*ProjectInfoTable[NumberOfReplications]))</f>
        <v>30</v>
      </c>
      <c r="N397" cm="1">
        <f t="array" ref="N397">IFERROR(AVERAGE(IF((DiscreteStatsTable[GroupByKey]=DiscreteStatsTable[[#This Row],[GroupByKey]]),(DiscreteStatsTable[GroupByKey]=DiscreteStatsTable[[#This Row],[GroupByKey]])*DiscreteStatsTable[Average])),0)</f>
        <v>0</v>
      </c>
      <c r="O397" cm="1">
        <f t="array" ref="O397">IFERROR(_xlfn.STDEV.S(IF((DiscreteStatsTable[GroupByKey]=DiscreteStatsTable[[#This Row],[GroupByKey]]),(DiscreteStatsTable[GroupByKey]=DiscreteStatsTable[[#This Row],[GroupByKey]])*DiscreteStatsTable[Average])),0)</f>
        <v>0</v>
      </c>
      <c r="P397" cm="1">
        <f t="array" ref="P397">MAX(IF((ProjectInfoTable[ProjectName]=DiscreteStatsTable[[#This Row],[ProjectName]]),(ProjectInfoTable[ProjectName]=DiscreteStatsTable[[#This Row],[ProjectName]])*ProjectInfoTable[ConfidenceInterval]))</f>
        <v>0.95</v>
      </c>
      <c r="Q397">
        <f>IF(AND(DiscreteStatsTable[[#This Row],[RepsWithStatObserved]]=1,Y397=0),200000000000000000000,IFERROR(_xlfn.T.INV.2T(1 -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7" cm="1">
        <f t="array" ref="R397">MIN(IF((DiscreteStatsTable[GroupByKey]=DiscreteStatsTable[[#This Row],[GroupByKey]]),(DiscreteStatsTable[GroupByKey]=DiscreteStatsTable[[#This Row],[GroupByKey]])*DiscreteStatsTable[Average]))</f>
        <v>0</v>
      </c>
      <c r="S397" cm="1">
        <f t="array" ref="S397">MAX(IF((DiscreteStatsTable[GroupByKey]=DiscreteStatsTable[[#This Row],[GroupByKey]]),(DiscreteStatsTable[GroupByKey]=DiscreteStatsTable[[#This Row],[GroupByKey]])*DiscreteStatsTable[Average]))</f>
        <v>0</v>
      </c>
      <c r="T397" cm="1">
        <f t="array" ref="T397">MIN(IF((DiscreteStatsTable[GroupByKey]=DiscreteStatsTable[[#This Row],[GroupByKey]]),(DiscreteStatsTable[GroupByKey]=DiscreteStatsTable[[#This Row],[GroupByKey]])*DiscreteStatsTable[Minimum]))</f>
        <v>0</v>
      </c>
      <c r="U397" cm="1">
        <f t="array" ref="U397">MAX(IF((DiscreteStatsTable[GroupByKey]=DiscreteStatsTable[[#This Row],[GroupByKey]]),(DiscreteStatsTable[GroupByKey]=DiscreteStatsTable[[#This Row],[GroupByKey]])*DiscreteStatsTable[Maximum]))</f>
        <v>0</v>
      </c>
      <c r="V397" cm="1">
        <f t="array" ref="V397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397">
        <f>IF((DiscreteStatsTable[[#This Row],[RepsRequested]]&gt;1),DiscreteStatsTable[[#This Row],[HalfWidth]],DiscreteStatsTable[[#This Row],[BatchMeansHalfWidth]])</f>
        <v>0</v>
      </c>
      <c r="X397" cm="1">
        <f t="array" ref="X397">COUNT(IF((DiscreteStatsTable[GroupByKey]=DiscreteStatsTable[[#This Row],[GroupByKey]]),(DiscreteStatsTable[GroupByKey]=DiscreteStatsTable[[#This Row],[GroupByKey]])*DiscreteStatsTable[Replication]))</f>
        <v>30</v>
      </c>
      <c r="Y397">
        <f>IF(DiscreteStatsTable[[#This Row],[RepsRequested]]=DiscreteStatsTable[[#This Row],[RepsWithStatObserved]],1,0)</f>
        <v>1</v>
      </c>
    </row>
    <row r="398" spans="1:25" x14ac:dyDescent="0.2">
      <c r="A398" t="s">
        <v>67</v>
      </c>
      <c r="B398" t="s">
        <v>70</v>
      </c>
      <c r="C398">
        <v>7</v>
      </c>
      <c r="D398" t="s">
        <v>91</v>
      </c>
      <c r="E398" t="s">
        <v>72</v>
      </c>
      <c r="F398" t="s">
        <v>73</v>
      </c>
      <c r="G398">
        <v>0</v>
      </c>
      <c r="H398">
        <v>2E+20</v>
      </c>
      <c r="I398">
        <v>0</v>
      </c>
      <c r="J398">
        <v>0</v>
      </c>
      <c r="K398">
        <v>195</v>
      </c>
      <c r="L398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398" cm="1">
        <f t="array" ref="M398">MAX(IF((ProjectInfoTable[ProjectName]=DiscreteStatsTable[[#This Row],[ProjectName]]),(ProjectInfoTable[ProjectName]=DiscreteStatsTable[[#This Row],[ProjectName]])*ProjectInfoTable[NumberOfReplications]))</f>
        <v>30</v>
      </c>
      <c r="N398" cm="1">
        <f t="array" ref="N398">IFERROR(AVERAGE(IF((DiscreteStatsTable[GroupByKey]=DiscreteStatsTable[[#This Row],[GroupByKey]]),(DiscreteStatsTable[GroupByKey]=DiscreteStatsTable[[#This Row],[GroupByKey]])*DiscreteStatsTable[Average])),0)</f>
        <v>0</v>
      </c>
      <c r="O398" cm="1">
        <f t="array" ref="O398">IFERROR(_xlfn.STDEV.S(IF((DiscreteStatsTable[GroupByKey]=DiscreteStatsTable[[#This Row],[GroupByKey]]),(DiscreteStatsTable[GroupByKey]=DiscreteStatsTable[[#This Row],[GroupByKey]])*DiscreteStatsTable[Average])),0)</f>
        <v>0</v>
      </c>
      <c r="P398" cm="1">
        <f t="array" ref="P398">MAX(IF((ProjectInfoTable[ProjectName]=DiscreteStatsTable[[#This Row],[ProjectName]]),(ProjectInfoTable[ProjectName]=DiscreteStatsTable[[#This Row],[ProjectName]])*ProjectInfoTable[ConfidenceInterval]))</f>
        <v>0.95</v>
      </c>
      <c r="Q398">
        <f>IF(AND(DiscreteStatsTable[[#This Row],[RepsWithStatObserved]]=1,Y398=0),200000000000000000000,IFERROR(_xlfn.T.INV.2T(1 -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8" cm="1">
        <f t="array" ref="R398">MIN(IF((DiscreteStatsTable[GroupByKey]=DiscreteStatsTable[[#This Row],[GroupByKey]]),(DiscreteStatsTable[GroupByKey]=DiscreteStatsTable[[#This Row],[GroupByKey]])*DiscreteStatsTable[Average]))</f>
        <v>0</v>
      </c>
      <c r="S398" cm="1">
        <f t="array" ref="S398">MAX(IF((DiscreteStatsTable[GroupByKey]=DiscreteStatsTable[[#This Row],[GroupByKey]]),(DiscreteStatsTable[GroupByKey]=DiscreteStatsTable[[#This Row],[GroupByKey]])*DiscreteStatsTable[Average]))</f>
        <v>0</v>
      </c>
      <c r="T398" cm="1">
        <f t="array" ref="T398">MIN(IF((DiscreteStatsTable[GroupByKey]=DiscreteStatsTable[[#This Row],[GroupByKey]]),(DiscreteStatsTable[GroupByKey]=DiscreteStatsTable[[#This Row],[GroupByKey]])*DiscreteStatsTable[Minimum]))</f>
        <v>0</v>
      </c>
      <c r="U398" cm="1">
        <f t="array" ref="U398">MAX(IF((DiscreteStatsTable[GroupByKey]=DiscreteStatsTable[[#This Row],[GroupByKey]]),(DiscreteStatsTable[GroupByKey]=DiscreteStatsTable[[#This Row],[GroupByKey]])*DiscreteStatsTable[Maximum]))</f>
        <v>0</v>
      </c>
      <c r="V398" cm="1">
        <f t="array" ref="V398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398">
        <f>IF((DiscreteStatsTable[[#This Row],[RepsRequested]]&gt;1),DiscreteStatsTable[[#This Row],[HalfWidth]],DiscreteStatsTable[[#This Row],[BatchMeansHalfWidth]])</f>
        <v>0</v>
      </c>
      <c r="X398" cm="1">
        <f t="array" ref="X398">COUNT(IF((DiscreteStatsTable[GroupByKey]=DiscreteStatsTable[[#This Row],[GroupByKey]]),(DiscreteStatsTable[GroupByKey]=DiscreteStatsTable[[#This Row],[GroupByKey]])*DiscreteStatsTable[Replication]))</f>
        <v>30</v>
      </c>
      <c r="Y398">
        <f>IF(DiscreteStatsTable[[#This Row],[RepsRequested]]=DiscreteStatsTable[[#This Row],[RepsWithStatObserved]],1,0)</f>
        <v>1</v>
      </c>
    </row>
    <row r="399" spans="1:25" x14ac:dyDescent="0.2">
      <c r="A399" t="s">
        <v>67</v>
      </c>
      <c r="B399" t="s">
        <v>70</v>
      </c>
      <c r="C399">
        <v>8</v>
      </c>
      <c r="D399" t="s">
        <v>91</v>
      </c>
      <c r="E399" t="s">
        <v>72</v>
      </c>
      <c r="F399" t="s">
        <v>73</v>
      </c>
      <c r="G399">
        <v>0</v>
      </c>
      <c r="H399">
        <v>2E+20</v>
      </c>
      <c r="I399">
        <v>0</v>
      </c>
      <c r="J399">
        <v>0</v>
      </c>
      <c r="K399">
        <v>210</v>
      </c>
      <c r="L399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399" cm="1">
        <f t="array" ref="M399">MAX(IF((ProjectInfoTable[ProjectName]=DiscreteStatsTable[[#This Row],[ProjectName]]),(ProjectInfoTable[ProjectName]=DiscreteStatsTable[[#This Row],[ProjectName]])*ProjectInfoTable[NumberOfReplications]))</f>
        <v>30</v>
      </c>
      <c r="N399" cm="1">
        <f t="array" ref="N399">IFERROR(AVERAGE(IF((DiscreteStatsTable[GroupByKey]=DiscreteStatsTable[[#This Row],[GroupByKey]]),(DiscreteStatsTable[GroupByKey]=DiscreteStatsTable[[#This Row],[GroupByKey]])*DiscreteStatsTable[Average])),0)</f>
        <v>0</v>
      </c>
      <c r="O399" cm="1">
        <f t="array" ref="O399">IFERROR(_xlfn.STDEV.S(IF((DiscreteStatsTable[GroupByKey]=DiscreteStatsTable[[#This Row],[GroupByKey]]),(DiscreteStatsTable[GroupByKey]=DiscreteStatsTable[[#This Row],[GroupByKey]])*DiscreteStatsTable[Average])),0)</f>
        <v>0</v>
      </c>
      <c r="P399" cm="1">
        <f t="array" ref="P399">MAX(IF((ProjectInfoTable[ProjectName]=DiscreteStatsTable[[#This Row],[ProjectName]]),(ProjectInfoTable[ProjectName]=DiscreteStatsTable[[#This Row],[ProjectName]])*ProjectInfoTable[ConfidenceInterval]))</f>
        <v>0.95</v>
      </c>
      <c r="Q399">
        <f>IF(AND(DiscreteStatsTable[[#This Row],[RepsWithStatObserved]]=1,Y399=0),200000000000000000000,IFERROR(_xlfn.T.INV.2T(1 -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9" cm="1">
        <f t="array" ref="R399">MIN(IF((DiscreteStatsTable[GroupByKey]=DiscreteStatsTable[[#This Row],[GroupByKey]]),(DiscreteStatsTable[GroupByKey]=DiscreteStatsTable[[#This Row],[GroupByKey]])*DiscreteStatsTable[Average]))</f>
        <v>0</v>
      </c>
      <c r="S399" cm="1">
        <f t="array" ref="S399">MAX(IF((DiscreteStatsTable[GroupByKey]=DiscreteStatsTable[[#This Row],[GroupByKey]]),(DiscreteStatsTable[GroupByKey]=DiscreteStatsTable[[#This Row],[GroupByKey]])*DiscreteStatsTable[Average]))</f>
        <v>0</v>
      </c>
      <c r="T399" cm="1">
        <f t="array" ref="T399">MIN(IF((DiscreteStatsTable[GroupByKey]=DiscreteStatsTable[[#This Row],[GroupByKey]]),(DiscreteStatsTable[GroupByKey]=DiscreteStatsTable[[#This Row],[GroupByKey]])*DiscreteStatsTable[Minimum]))</f>
        <v>0</v>
      </c>
      <c r="U399" cm="1">
        <f t="array" ref="U399">MAX(IF((DiscreteStatsTable[GroupByKey]=DiscreteStatsTable[[#This Row],[GroupByKey]]),(DiscreteStatsTable[GroupByKey]=DiscreteStatsTable[[#This Row],[GroupByKey]])*DiscreteStatsTable[Maximum]))</f>
        <v>0</v>
      </c>
      <c r="V399" cm="1">
        <f t="array" ref="V399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399">
        <f>IF((DiscreteStatsTable[[#This Row],[RepsRequested]]&gt;1),DiscreteStatsTable[[#This Row],[HalfWidth]],DiscreteStatsTable[[#This Row],[BatchMeansHalfWidth]])</f>
        <v>0</v>
      </c>
      <c r="X399" cm="1">
        <f t="array" ref="X399">COUNT(IF((DiscreteStatsTable[GroupByKey]=DiscreteStatsTable[[#This Row],[GroupByKey]]),(DiscreteStatsTable[GroupByKey]=DiscreteStatsTable[[#This Row],[GroupByKey]])*DiscreteStatsTable[Replication]))</f>
        <v>30</v>
      </c>
      <c r="Y399">
        <f>IF(DiscreteStatsTable[[#This Row],[RepsRequested]]=DiscreteStatsTable[[#This Row],[RepsWithStatObserved]],1,0)</f>
        <v>1</v>
      </c>
    </row>
    <row r="400" spans="1:25" x14ac:dyDescent="0.2">
      <c r="A400" t="s">
        <v>67</v>
      </c>
      <c r="B400" t="s">
        <v>70</v>
      </c>
      <c r="C400">
        <v>9</v>
      </c>
      <c r="D400" t="s">
        <v>91</v>
      </c>
      <c r="E400" t="s">
        <v>72</v>
      </c>
      <c r="F400" t="s">
        <v>73</v>
      </c>
      <c r="G400">
        <v>0</v>
      </c>
      <c r="H400">
        <v>2E+20</v>
      </c>
      <c r="I400">
        <v>0</v>
      </c>
      <c r="J400">
        <v>0</v>
      </c>
      <c r="K400">
        <v>216</v>
      </c>
      <c r="L400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00" cm="1">
        <f t="array" ref="M400">MAX(IF((ProjectInfoTable[ProjectName]=DiscreteStatsTable[[#This Row],[ProjectName]]),(ProjectInfoTable[ProjectName]=DiscreteStatsTable[[#This Row],[ProjectName]])*ProjectInfoTable[NumberOfReplications]))</f>
        <v>30</v>
      </c>
      <c r="N400" cm="1">
        <f t="array" ref="N400">IFERROR(AVERAGE(IF((DiscreteStatsTable[GroupByKey]=DiscreteStatsTable[[#This Row],[GroupByKey]]),(DiscreteStatsTable[GroupByKey]=DiscreteStatsTable[[#This Row],[GroupByKey]])*DiscreteStatsTable[Average])),0)</f>
        <v>0</v>
      </c>
      <c r="O400" cm="1">
        <f t="array" ref="O400">IFERROR(_xlfn.STDEV.S(IF((DiscreteStatsTable[GroupByKey]=DiscreteStatsTable[[#This Row],[GroupByKey]]),(DiscreteStatsTable[GroupByKey]=DiscreteStatsTable[[#This Row],[GroupByKey]])*DiscreteStatsTable[Average])),0)</f>
        <v>0</v>
      </c>
      <c r="P400" cm="1">
        <f t="array" ref="P400">MAX(IF((ProjectInfoTable[ProjectName]=DiscreteStatsTable[[#This Row],[ProjectName]]),(ProjectInfoTable[ProjectName]=DiscreteStatsTable[[#This Row],[ProjectName]])*ProjectInfoTable[ConfidenceInterval]))</f>
        <v>0.95</v>
      </c>
      <c r="Q400">
        <f>IF(AND(DiscreteStatsTable[[#This Row],[RepsWithStatObserved]]=1,Y400=0),200000000000000000000,IFERROR(_xlfn.T.INV.2T(1 -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0" cm="1">
        <f t="array" ref="R400">MIN(IF((DiscreteStatsTable[GroupByKey]=DiscreteStatsTable[[#This Row],[GroupByKey]]),(DiscreteStatsTable[GroupByKey]=DiscreteStatsTable[[#This Row],[GroupByKey]])*DiscreteStatsTable[Average]))</f>
        <v>0</v>
      </c>
      <c r="S400" cm="1">
        <f t="array" ref="S400">MAX(IF((DiscreteStatsTable[GroupByKey]=DiscreteStatsTable[[#This Row],[GroupByKey]]),(DiscreteStatsTable[GroupByKey]=DiscreteStatsTable[[#This Row],[GroupByKey]])*DiscreteStatsTable[Average]))</f>
        <v>0</v>
      </c>
      <c r="T400" cm="1">
        <f t="array" ref="T400">MIN(IF((DiscreteStatsTable[GroupByKey]=DiscreteStatsTable[[#This Row],[GroupByKey]]),(DiscreteStatsTable[GroupByKey]=DiscreteStatsTable[[#This Row],[GroupByKey]])*DiscreteStatsTable[Minimum]))</f>
        <v>0</v>
      </c>
      <c r="U400" cm="1">
        <f t="array" ref="U400">MAX(IF((DiscreteStatsTable[GroupByKey]=DiscreteStatsTable[[#This Row],[GroupByKey]]),(DiscreteStatsTable[GroupByKey]=DiscreteStatsTable[[#This Row],[GroupByKey]])*DiscreteStatsTable[Maximum]))</f>
        <v>0</v>
      </c>
      <c r="V400" cm="1">
        <f t="array" ref="V400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00">
        <f>IF((DiscreteStatsTable[[#This Row],[RepsRequested]]&gt;1),DiscreteStatsTable[[#This Row],[HalfWidth]],DiscreteStatsTable[[#This Row],[BatchMeansHalfWidth]])</f>
        <v>0</v>
      </c>
      <c r="X400" cm="1">
        <f t="array" ref="X400">COUNT(IF((DiscreteStatsTable[GroupByKey]=DiscreteStatsTable[[#This Row],[GroupByKey]]),(DiscreteStatsTable[GroupByKey]=DiscreteStatsTable[[#This Row],[GroupByKey]])*DiscreteStatsTable[Replication]))</f>
        <v>30</v>
      </c>
      <c r="Y400">
        <f>IF(DiscreteStatsTable[[#This Row],[RepsRequested]]=DiscreteStatsTable[[#This Row],[RepsWithStatObserved]],1,0)</f>
        <v>1</v>
      </c>
    </row>
    <row r="401" spans="1:25" x14ac:dyDescent="0.2">
      <c r="A401" t="s">
        <v>67</v>
      </c>
      <c r="B401" t="s">
        <v>70</v>
      </c>
      <c r="C401">
        <v>10</v>
      </c>
      <c r="D401" t="s">
        <v>91</v>
      </c>
      <c r="E401" t="s">
        <v>72</v>
      </c>
      <c r="F401" t="s">
        <v>73</v>
      </c>
      <c r="G401">
        <v>0</v>
      </c>
      <c r="H401">
        <v>2E+20</v>
      </c>
      <c r="I401">
        <v>0</v>
      </c>
      <c r="J401">
        <v>0</v>
      </c>
      <c r="K401">
        <v>210</v>
      </c>
      <c r="L401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01" cm="1">
        <f t="array" ref="M401">MAX(IF((ProjectInfoTable[ProjectName]=DiscreteStatsTable[[#This Row],[ProjectName]]),(ProjectInfoTable[ProjectName]=DiscreteStatsTable[[#This Row],[ProjectName]])*ProjectInfoTable[NumberOfReplications]))</f>
        <v>30</v>
      </c>
      <c r="N401" cm="1">
        <f t="array" ref="N401">IFERROR(AVERAGE(IF((DiscreteStatsTable[GroupByKey]=DiscreteStatsTable[[#This Row],[GroupByKey]]),(DiscreteStatsTable[GroupByKey]=DiscreteStatsTable[[#This Row],[GroupByKey]])*DiscreteStatsTable[Average])),0)</f>
        <v>0</v>
      </c>
      <c r="O401" cm="1">
        <f t="array" ref="O401">IFERROR(_xlfn.STDEV.S(IF((DiscreteStatsTable[GroupByKey]=DiscreteStatsTable[[#This Row],[GroupByKey]]),(DiscreteStatsTable[GroupByKey]=DiscreteStatsTable[[#This Row],[GroupByKey]])*DiscreteStatsTable[Average])),0)</f>
        <v>0</v>
      </c>
      <c r="P401" cm="1">
        <f t="array" ref="P401">MAX(IF((ProjectInfoTable[ProjectName]=DiscreteStatsTable[[#This Row],[ProjectName]]),(ProjectInfoTable[ProjectName]=DiscreteStatsTable[[#This Row],[ProjectName]])*ProjectInfoTable[ConfidenceInterval]))</f>
        <v>0.95</v>
      </c>
      <c r="Q401">
        <f>IF(AND(DiscreteStatsTable[[#This Row],[RepsWithStatObserved]]=1,Y401=0),200000000000000000000,IFERROR(_xlfn.T.INV.2T(1 -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1" cm="1">
        <f t="array" ref="R401">MIN(IF((DiscreteStatsTable[GroupByKey]=DiscreteStatsTable[[#This Row],[GroupByKey]]),(DiscreteStatsTable[GroupByKey]=DiscreteStatsTable[[#This Row],[GroupByKey]])*DiscreteStatsTable[Average]))</f>
        <v>0</v>
      </c>
      <c r="S401" cm="1">
        <f t="array" ref="S401">MAX(IF((DiscreteStatsTable[GroupByKey]=DiscreteStatsTable[[#This Row],[GroupByKey]]),(DiscreteStatsTable[GroupByKey]=DiscreteStatsTable[[#This Row],[GroupByKey]])*DiscreteStatsTable[Average]))</f>
        <v>0</v>
      </c>
      <c r="T401" cm="1">
        <f t="array" ref="T401">MIN(IF((DiscreteStatsTable[GroupByKey]=DiscreteStatsTable[[#This Row],[GroupByKey]]),(DiscreteStatsTable[GroupByKey]=DiscreteStatsTable[[#This Row],[GroupByKey]])*DiscreteStatsTable[Minimum]))</f>
        <v>0</v>
      </c>
      <c r="U401" cm="1">
        <f t="array" ref="U401">MAX(IF((DiscreteStatsTable[GroupByKey]=DiscreteStatsTable[[#This Row],[GroupByKey]]),(DiscreteStatsTable[GroupByKey]=DiscreteStatsTable[[#This Row],[GroupByKey]])*DiscreteStatsTable[Maximum]))</f>
        <v>0</v>
      </c>
      <c r="V401" cm="1">
        <f t="array" ref="V401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01">
        <f>IF((DiscreteStatsTable[[#This Row],[RepsRequested]]&gt;1),DiscreteStatsTable[[#This Row],[HalfWidth]],DiscreteStatsTable[[#This Row],[BatchMeansHalfWidth]])</f>
        <v>0</v>
      </c>
      <c r="X401" cm="1">
        <f t="array" ref="X401">COUNT(IF((DiscreteStatsTable[GroupByKey]=DiscreteStatsTable[[#This Row],[GroupByKey]]),(DiscreteStatsTable[GroupByKey]=DiscreteStatsTable[[#This Row],[GroupByKey]])*DiscreteStatsTable[Replication]))</f>
        <v>30</v>
      </c>
      <c r="Y401">
        <f>IF(DiscreteStatsTable[[#This Row],[RepsRequested]]=DiscreteStatsTable[[#This Row],[RepsWithStatObserved]],1,0)</f>
        <v>1</v>
      </c>
    </row>
    <row r="402" spans="1:25" x14ac:dyDescent="0.2">
      <c r="A402" t="s">
        <v>67</v>
      </c>
      <c r="B402" t="s">
        <v>70</v>
      </c>
      <c r="C402">
        <v>11</v>
      </c>
      <c r="D402" t="s">
        <v>91</v>
      </c>
      <c r="E402" t="s">
        <v>72</v>
      </c>
      <c r="F402" t="s">
        <v>73</v>
      </c>
      <c r="G402">
        <v>0</v>
      </c>
      <c r="H402">
        <v>2E+20</v>
      </c>
      <c r="I402">
        <v>0</v>
      </c>
      <c r="J402">
        <v>0</v>
      </c>
      <c r="K402">
        <v>222</v>
      </c>
      <c r="L402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02" cm="1">
        <f t="array" ref="M402">MAX(IF((ProjectInfoTable[ProjectName]=DiscreteStatsTable[[#This Row],[ProjectName]]),(ProjectInfoTable[ProjectName]=DiscreteStatsTable[[#This Row],[ProjectName]])*ProjectInfoTable[NumberOfReplications]))</f>
        <v>30</v>
      </c>
      <c r="N402" cm="1">
        <f t="array" ref="N402">IFERROR(AVERAGE(IF((DiscreteStatsTable[GroupByKey]=DiscreteStatsTable[[#This Row],[GroupByKey]]),(DiscreteStatsTable[GroupByKey]=DiscreteStatsTable[[#This Row],[GroupByKey]])*DiscreteStatsTable[Average])),0)</f>
        <v>0</v>
      </c>
      <c r="O402" cm="1">
        <f t="array" ref="O402">IFERROR(_xlfn.STDEV.S(IF((DiscreteStatsTable[GroupByKey]=DiscreteStatsTable[[#This Row],[GroupByKey]]),(DiscreteStatsTable[GroupByKey]=DiscreteStatsTable[[#This Row],[GroupByKey]])*DiscreteStatsTable[Average])),0)</f>
        <v>0</v>
      </c>
      <c r="P402" cm="1">
        <f t="array" ref="P402">MAX(IF((ProjectInfoTable[ProjectName]=DiscreteStatsTable[[#This Row],[ProjectName]]),(ProjectInfoTable[ProjectName]=DiscreteStatsTable[[#This Row],[ProjectName]])*ProjectInfoTable[ConfidenceInterval]))</f>
        <v>0.95</v>
      </c>
      <c r="Q402">
        <f>IF(AND(DiscreteStatsTable[[#This Row],[RepsWithStatObserved]]=1,Y402=0),200000000000000000000,IFERROR(_xlfn.T.INV.2T(1 -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2" cm="1">
        <f t="array" ref="R402">MIN(IF((DiscreteStatsTable[GroupByKey]=DiscreteStatsTable[[#This Row],[GroupByKey]]),(DiscreteStatsTable[GroupByKey]=DiscreteStatsTable[[#This Row],[GroupByKey]])*DiscreteStatsTable[Average]))</f>
        <v>0</v>
      </c>
      <c r="S402" cm="1">
        <f t="array" ref="S402">MAX(IF((DiscreteStatsTable[GroupByKey]=DiscreteStatsTable[[#This Row],[GroupByKey]]),(DiscreteStatsTable[GroupByKey]=DiscreteStatsTable[[#This Row],[GroupByKey]])*DiscreteStatsTable[Average]))</f>
        <v>0</v>
      </c>
      <c r="T402" cm="1">
        <f t="array" ref="T402">MIN(IF((DiscreteStatsTable[GroupByKey]=DiscreteStatsTable[[#This Row],[GroupByKey]]),(DiscreteStatsTable[GroupByKey]=DiscreteStatsTable[[#This Row],[GroupByKey]])*DiscreteStatsTable[Minimum]))</f>
        <v>0</v>
      </c>
      <c r="U402" cm="1">
        <f t="array" ref="U402">MAX(IF((DiscreteStatsTable[GroupByKey]=DiscreteStatsTable[[#This Row],[GroupByKey]]),(DiscreteStatsTable[GroupByKey]=DiscreteStatsTable[[#This Row],[GroupByKey]])*DiscreteStatsTable[Maximum]))</f>
        <v>0</v>
      </c>
      <c r="V402" cm="1">
        <f t="array" ref="V402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02">
        <f>IF((DiscreteStatsTable[[#This Row],[RepsRequested]]&gt;1),DiscreteStatsTable[[#This Row],[HalfWidth]],DiscreteStatsTable[[#This Row],[BatchMeansHalfWidth]])</f>
        <v>0</v>
      </c>
      <c r="X402" cm="1">
        <f t="array" ref="X402">COUNT(IF((DiscreteStatsTable[GroupByKey]=DiscreteStatsTable[[#This Row],[GroupByKey]]),(DiscreteStatsTable[GroupByKey]=DiscreteStatsTable[[#This Row],[GroupByKey]])*DiscreteStatsTable[Replication]))</f>
        <v>30</v>
      </c>
      <c r="Y402">
        <f>IF(DiscreteStatsTable[[#This Row],[RepsRequested]]=DiscreteStatsTable[[#This Row],[RepsWithStatObserved]],1,0)</f>
        <v>1</v>
      </c>
    </row>
    <row r="403" spans="1:25" x14ac:dyDescent="0.2">
      <c r="A403" t="s">
        <v>67</v>
      </c>
      <c r="B403" t="s">
        <v>70</v>
      </c>
      <c r="C403">
        <v>12</v>
      </c>
      <c r="D403" t="s">
        <v>91</v>
      </c>
      <c r="E403" t="s">
        <v>72</v>
      </c>
      <c r="F403" t="s">
        <v>73</v>
      </c>
      <c r="G403">
        <v>0</v>
      </c>
      <c r="H403">
        <v>2E+20</v>
      </c>
      <c r="I403">
        <v>0</v>
      </c>
      <c r="J403">
        <v>0</v>
      </c>
      <c r="K403">
        <v>231</v>
      </c>
      <c r="L403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03" cm="1">
        <f t="array" ref="M403">MAX(IF((ProjectInfoTable[ProjectName]=DiscreteStatsTable[[#This Row],[ProjectName]]),(ProjectInfoTable[ProjectName]=DiscreteStatsTable[[#This Row],[ProjectName]])*ProjectInfoTable[NumberOfReplications]))</f>
        <v>30</v>
      </c>
      <c r="N403" cm="1">
        <f t="array" ref="N403">IFERROR(AVERAGE(IF((DiscreteStatsTable[GroupByKey]=DiscreteStatsTable[[#This Row],[GroupByKey]]),(DiscreteStatsTable[GroupByKey]=DiscreteStatsTable[[#This Row],[GroupByKey]])*DiscreteStatsTable[Average])),0)</f>
        <v>0</v>
      </c>
      <c r="O403" cm="1">
        <f t="array" ref="O403">IFERROR(_xlfn.STDEV.S(IF((DiscreteStatsTable[GroupByKey]=DiscreteStatsTable[[#This Row],[GroupByKey]]),(DiscreteStatsTable[GroupByKey]=DiscreteStatsTable[[#This Row],[GroupByKey]])*DiscreteStatsTable[Average])),0)</f>
        <v>0</v>
      </c>
      <c r="P403" cm="1">
        <f t="array" ref="P403">MAX(IF((ProjectInfoTable[ProjectName]=DiscreteStatsTable[[#This Row],[ProjectName]]),(ProjectInfoTable[ProjectName]=DiscreteStatsTable[[#This Row],[ProjectName]])*ProjectInfoTable[ConfidenceInterval]))</f>
        <v>0.95</v>
      </c>
      <c r="Q403">
        <f>IF(AND(DiscreteStatsTable[[#This Row],[RepsWithStatObserved]]=1,Y403=0),200000000000000000000,IFERROR(_xlfn.T.INV.2T(1 -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3" cm="1">
        <f t="array" ref="R403">MIN(IF((DiscreteStatsTable[GroupByKey]=DiscreteStatsTable[[#This Row],[GroupByKey]]),(DiscreteStatsTable[GroupByKey]=DiscreteStatsTable[[#This Row],[GroupByKey]])*DiscreteStatsTable[Average]))</f>
        <v>0</v>
      </c>
      <c r="S403" cm="1">
        <f t="array" ref="S403">MAX(IF((DiscreteStatsTable[GroupByKey]=DiscreteStatsTable[[#This Row],[GroupByKey]]),(DiscreteStatsTable[GroupByKey]=DiscreteStatsTable[[#This Row],[GroupByKey]])*DiscreteStatsTable[Average]))</f>
        <v>0</v>
      </c>
      <c r="T403" cm="1">
        <f t="array" ref="T403">MIN(IF((DiscreteStatsTable[GroupByKey]=DiscreteStatsTable[[#This Row],[GroupByKey]]),(DiscreteStatsTable[GroupByKey]=DiscreteStatsTable[[#This Row],[GroupByKey]])*DiscreteStatsTable[Minimum]))</f>
        <v>0</v>
      </c>
      <c r="U403" cm="1">
        <f t="array" ref="U403">MAX(IF((DiscreteStatsTable[GroupByKey]=DiscreteStatsTable[[#This Row],[GroupByKey]]),(DiscreteStatsTable[GroupByKey]=DiscreteStatsTable[[#This Row],[GroupByKey]])*DiscreteStatsTable[Maximum]))</f>
        <v>0</v>
      </c>
      <c r="V403" cm="1">
        <f t="array" ref="V403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03">
        <f>IF((DiscreteStatsTable[[#This Row],[RepsRequested]]&gt;1),DiscreteStatsTable[[#This Row],[HalfWidth]],DiscreteStatsTable[[#This Row],[BatchMeansHalfWidth]])</f>
        <v>0</v>
      </c>
      <c r="X403" cm="1">
        <f t="array" ref="X403">COUNT(IF((DiscreteStatsTable[GroupByKey]=DiscreteStatsTable[[#This Row],[GroupByKey]]),(DiscreteStatsTable[GroupByKey]=DiscreteStatsTable[[#This Row],[GroupByKey]])*DiscreteStatsTable[Replication]))</f>
        <v>30</v>
      </c>
      <c r="Y403">
        <f>IF(DiscreteStatsTable[[#This Row],[RepsRequested]]=DiscreteStatsTable[[#This Row],[RepsWithStatObserved]],1,0)</f>
        <v>1</v>
      </c>
    </row>
    <row r="404" spans="1:25" x14ac:dyDescent="0.2">
      <c r="A404" t="s">
        <v>67</v>
      </c>
      <c r="B404" t="s">
        <v>70</v>
      </c>
      <c r="C404">
        <v>13</v>
      </c>
      <c r="D404" t="s">
        <v>91</v>
      </c>
      <c r="E404" t="s">
        <v>72</v>
      </c>
      <c r="F404" t="s">
        <v>73</v>
      </c>
      <c r="G404">
        <v>0</v>
      </c>
      <c r="H404">
        <v>2E+20</v>
      </c>
      <c r="I404">
        <v>0</v>
      </c>
      <c r="J404">
        <v>0</v>
      </c>
      <c r="K404">
        <v>208</v>
      </c>
      <c r="L404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04" cm="1">
        <f t="array" ref="M404">MAX(IF((ProjectInfoTable[ProjectName]=DiscreteStatsTable[[#This Row],[ProjectName]]),(ProjectInfoTable[ProjectName]=DiscreteStatsTable[[#This Row],[ProjectName]])*ProjectInfoTable[NumberOfReplications]))</f>
        <v>30</v>
      </c>
      <c r="N404" cm="1">
        <f t="array" ref="N404">IFERROR(AVERAGE(IF((DiscreteStatsTable[GroupByKey]=DiscreteStatsTable[[#This Row],[GroupByKey]]),(DiscreteStatsTable[GroupByKey]=DiscreteStatsTable[[#This Row],[GroupByKey]])*DiscreteStatsTable[Average])),0)</f>
        <v>0</v>
      </c>
      <c r="O404" cm="1">
        <f t="array" ref="O404">IFERROR(_xlfn.STDEV.S(IF((DiscreteStatsTable[GroupByKey]=DiscreteStatsTable[[#This Row],[GroupByKey]]),(DiscreteStatsTable[GroupByKey]=DiscreteStatsTable[[#This Row],[GroupByKey]])*DiscreteStatsTable[Average])),0)</f>
        <v>0</v>
      </c>
      <c r="P404" cm="1">
        <f t="array" ref="P404">MAX(IF((ProjectInfoTable[ProjectName]=DiscreteStatsTable[[#This Row],[ProjectName]]),(ProjectInfoTable[ProjectName]=DiscreteStatsTable[[#This Row],[ProjectName]])*ProjectInfoTable[ConfidenceInterval]))</f>
        <v>0.95</v>
      </c>
      <c r="Q404">
        <f>IF(AND(DiscreteStatsTable[[#This Row],[RepsWithStatObserved]]=1,Y404=0),200000000000000000000,IFERROR(_xlfn.T.INV.2T(1 -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4" cm="1">
        <f t="array" ref="R404">MIN(IF((DiscreteStatsTable[GroupByKey]=DiscreteStatsTable[[#This Row],[GroupByKey]]),(DiscreteStatsTable[GroupByKey]=DiscreteStatsTable[[#This Row],[GroupByKey]])*DiscreteStatsTable[Average]))</f>
        <v>0</v>
      </c>
      <c r="S404" cm="1">
        <f t="array" ref="S404">MAX(IF((DiscreteStatsTable[GroupByKey]=DiscreteStatsTable[[#This Row],[GroupByKey]]),(DiscreteStatsTable[GroupByKey]=DiscreteStatsTable[[#This Row],[GroupByKey]])*DiscreteStatsTable[Average]))</f>
        <v>0</v>
      </c>
      <c r="T404" cm="1">
        <f t="array" ref="T404">MIN(IF((DiscreteStatsTable[GroupByKey]=DiscreteStatsTable[[#This Row],[GroupByKey]]),(DiscreteStatsTable[GroupByKey]=DiscreteStatsTable[[#This Row],[GroupByKey]])*DiscreteStatsTable[Minimum]))</f>
        <v>0</v>
      </c>
      <c r="U404" cm="1">
        <f t="array" ref="U404">MAX(IF((DiscreteStatsTable[GroupByKey]=DiscreteStatsTable[[#This Row],[GroupByKey]]),(DiscreteStatsTable[GroupByKey]=DiscreteStatsTable[[#This Row],[GroupByKey]])*DiscreteStatsTable[Maximum]))</f>
        <v>0</v>
      </c>
      <c r="V404" cm="1">
        <f t="array" ref="V404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04">
        <f>IF((DiscreteStatsTable[[#This Row],[RepsRequested]]&gt;1),DiscreteStatsTable[[#This Row],[HalfWidth]],DiscreteStatsTable[[#This Row],[BatchMeansHalfWidth]])</f>
        <v>0</v>
      </c>
      <c r="X404" cm="1">
        <f t="array" ref="X404">COUNT(IF((DiscreteStatsTable[GroupByKey]=DiscreteStatsTable[[#This Row],[GroupByKey]]),(DiscreteStatsTable[GroupByKey]=DiscreteStatsTable[[#This Row],[GroupByKey]])*DiscreteStatsTable[Replication]))</f>
        <v>30</v>
      </c>
      <c r="Y404">
        <f>IF(DiscreteStatsTable[[#This Row],[RepsRequested]]=DiscreteStatsTable[[#This Row],[RepsWithStatObserved]],1,0)</f>
        <v>1</v>
      </c>
    </row>
    <row r="405" spans="1:25" x14ac:dyDescent="0.2">
      <c r="A405" t="s">
        <v>67</v>
      </c>
      <c r="B405" t="s">
        <v>70</v>
      </c>
      <c r="C405">
        <v>14</v>
      </c>
      <c r="D405" t="s">
        <v>91</v>
      </c>
      <c r="E405" t="s">
        <v>72</v>
      </c>
      <c r="F405" t="s">
        <v>73</v>
      </c>
      <c r="G405">
        <v>0</v>
      </c>
      <c r="H405">
        <v>2E+20</v>
      </c>
      <c r="I405">
        <v>0</v>
      </c>
      <c r="J405">
        <v>0</v>
      </c>
      <c r="K405">
        <v>202</v>
      </c>
      <c r="L405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05" cm="1">
        <f t="array" ref="M405">MAX(IF((ProjectInfoTable[ProjectName]=DiscreteStatsTable[[#This Row],[ProjectName]]),(ProjectInfoTable[ProjectName]=DiscreteStatsTable[[#This Row],[ProjectName]])*ProjectInfoTable[NumberOfReplications]))</f>
        <v>30</v>
      </c>
      <c r="N405" cm="1">
        <f t="array" ref="N405">IFERROR(AVERAGE(IF((DiscreteStatsTable[GroupByKey]=DiscreteStatsTable[[#This Row],[GroupByKey]]),(DiscreteStatsTable[GroupByKey]=DiscreteStatsTable[[#This Row],[GroupByKey]])*DiscreteStatsTable[Average])),0)</f>
        <v>0</v>
      </c>
      <c r="O405" cm="1">
        <f t="array" ref="O405">IFERROR(_xlfn.STDEV.S(IF((DiscreteStatsTable[GroupByKey]=DiscreteStatsTable[[#This Row],[GroupByKey]]),(DiscreteStatsTable[GroupByKey]=DiscreteStatsTable[[#This Row],[GroupByKey]])*DiscreteStatsTable[Average])),0)</f>
        <v>0</v>
      </c>
      <c r="P405" cm="1">
        <f t="array" ref="P405">MAX(IF((ProjectInfoTable[ProjectName]=DiscreteStatsTable[[#This Row],[ProjectName]]),(ProjectInfoTable[ProjectName]=DiscreteStatsTable[[#This Row],[ProjectName]])*ProjectInfoTable[ConfidenceInterval]))</f>
        <v>0.95</v>
      </c>
      <c r="Q405">
        <f>IF(AND(DiscreteStatsTable[[#This Row],[RepsWithStatObserved]]=1,Y405=0),200000000000000000000,IFERROR(_xlfn.T.INV.2T(1 -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5" cm="1">
        <f t="array" ref="R405">MIN(IF((DiscreteStatsTable[GroupByKey]=DiscreteStatsTable[[#This Row],[GroupByKey]]),(DiscreteStatsTable[GroupByKey]=DiscreteStatsTable[[#This Row],[GroupByKey]])*DiscreteStatsTable[Average]))</f>
        <v>0</v>
      </c>
      <c r="S405" cm="1">
        <f t="array" ref="S405">MAX(IF((DiscreteStatsTable[GroupByKey]=DiscreteStatsTable[[#This Row],[GroupByKey]]),(DiscreteStatsTable[GroupByKey]=DiscreteStatsTable[[#This Row],[GroupByKey]])*DiscreteStatsTable[Average]))</f>
        <v>0</v>
      </c>
      <c r="T405" cm="1">
        <f t="array" ref="T405">MIN(IF((DiscreteStatsTable[GroupByKey]=DiscreteStatsTable[[#This Row],[GroupByKey]]),(DiscreteStatsTable[GroupByKey]=DiscreteStatsTable[[#This Row],[GroupByKey]])*DiscreteStatsTable[Minimum]))</f>
        <v>0</v>
      </c>
      <c r="U405" cm="1">
        <f t="array" ref="U405">MAX(IF((DiscreteStatsTable[GroupByKey]=DiscreteStatsTable[[#This Row],[GroupByKey]]),(DiscreteStatsTable[GroupByKey]=DiscreteStatsTable[[#This Row],[GroupByKey]])*DiscreteStatsTable[Maximum]))</f>
        <v>0</v>
      </c>
      <c r="V405" cm="1">
        <f t="array" ref="V405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05">
        <f>IF((DiscreteStatsTable[[#This Row],[RepsRequested]]&gt;1),DiscreteStatsTable[[#This Row],[HalfWidth]],DiscreteStatsTable[[#This Row],[BatchMeansHalfWidth]])</f>
        <v>0</v>
      </c>
      <c r="X405" cm="1">
        <f t="array" ref="X405">COUNT(IF((DiscreteStatsTable[GroupByKey]=DiscreteStatsTable[[#This Row],[GroupByKey]]),(DiscreteStatsTable[GroupByKey]=DiscreteStatsTable[[#This Row],[GroupByKey]])*DiscreteStatsTable[Replication]))</f>
        <v>30</v>
      </c>
      <c r="Y405">
        <f>IF(DiscreteStatsTable[[#This Row],[RepsRequested]]=DiscreteStatsTable[[#This Row],[RepsWithStatObserved]],1,0)</f>
        <v>1</v>
      </c>
    </row>
    <row r="406" spans="1:25" x14ac:dyDescent="0.2">
      <c r="A406" t="s">
        <v>67</v>
      </c>
      <c r="B406" t="s">
        <v>70</v>
      </c>
      <c r="C406">
        <v>15</v>
      </c>
      <c r="D406" t="s">
        <v>91</v>
      </c>
      <c r="E406" t="s">
        <v>72</v>
      </c>
      <c r="F406" t="s">
        <v>73</v>
      </c>
      <c r="G406">
        <v>0</v>
      </c>
      <c r="H406">
        <v>2E+20</v>
      </c>
      <c r="I406">
        <v>0</v>
      </c>
      <c r="J406">
        <v>0</v>
      </c>
      <c r="K406">
        <v>194</v>
      </c>
      <c r="L406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06" cm="1">
        <f t="array" ref="M406">MAX(IF((ProjectInfoTable[ProjectName]=DiscreteStatsTable[[#This Row],[ProjectName]]),(ProjectInfoTable[ProjectName]=DiscreteStatsTable[[#This Row],[ProjectName]])*ProjectInfoTable[NumberOfReplications]))</f>
        <v>30</v>
      </c>
      <c r="N406" cm="1">
        <f t="array" ref="N406">IFERROR(AVERAGE(IF((DiscreteStatsTable[GroupByKey]=DiscreteStatsTable[[#This Row],[GroupByKey]]),(DiscreteStatsTable[GroupByKey]=DiscreteStatsTable[[#This Row],[GroupByKey]])*DiscreteStatsTable[Average])),0)</f>
        <v>0</v>
      </c>
      <c r="O406" cm="1">
        <f t="array" ref="O406">IFERROR(_xlfn.STDEV.S(IF((DiscreteStatsTable[GroupByKey]=DiscreteStatsTable[[#This Row],[GroupByKey]]),(DiscreteStatsTable[GroupByKey]=DiscreteStatsTable[[#This Row],[GroupByKey]])*DiscreteStatsTable[Average])),0)</f>
        <v>0</v>
      </c>
      <c r="P406" cm="1">
        <f t="array" ref="P406">MAX(IF((ProjectInfoTable[ProjectName]=DiscreteStatsTable[[#This Row],[ProjectName]]),(ProjectInfoTable[ProjectName]=DiscreteStatsTable[[#This Row],[ProjectName]])*ProjectInfoTable[ConfidenceInterval]))</f>
        <v>0.95</v>
      </c>
      <c r="Q406">
        <f>IF(AND(DiscreteStatsTable[[#This Row],[RepsWithStatObserved]]=1,Y406=0),200000000000000000000,IFERROR(_xlfn.T.INV.2T(1 -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6" cm="1">
        <f t="array" ref="R406">MIN(IF((DiscreteStatsTable[GroupByKey]=DiscreteStatsTable[[#This Row],[GroupByKey]]),(DiscreteStatsTable[GroupByKey]=DiscreteStatsTable[[#This Row],[GroupByKey]])*DiscreteStatsTable[Average]))</f>
        <v>0</v>
      </c>
      <c r="S406" cm="1">
        <f t="array" ref="S406">MAX(IF((DiscreteStatsTable[GroupByKey]=DiscreteStatsTable[[#This Row],[GroupByKey]]),(DiscreteStatsTable[GroupByKey]=DiscreteStatsTable[[#This Row],[GroupByKey]])*DiscreteStatsTable[Average]))</f>
        <v>0</v>
      </c>
      <c r="T406" cm="1">
        <f t="array" ref="T406">MIN(IF((DiscreteStatsTable[GroupByKey]=DiscreteStatsTable[[#This Row],[GroupByKey]]),(DiscreteStatsTable[GroupByKey]=DiscreteStatsTable[[#This Row],[GroupByKey]])*DiscreteStatsTable[Minimum]))</f>
        <v>0</v>
      </c>
      <c r="U406" cm="1">
        <f t="array" ref="U406">MAX(IF((DiscreteStatsTable[GroupByKey]=DiscreteStatsTable[[#This Row],[GroupByKey]]),(DiscreteStatsTable[GroupByKey]=DiscreteStatsTable[[#This Row],[GroupByKey]])*DiscreteStatsTable[Maximum]))</f>
        <v>0</v>
      </c>
      <c r="V406" cm="1">
        <f t="array" ref="V406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06">
        <f>IF((DiscreteStatsTable[[#This Row],[RepsRequested]]&gt;1),DiscreteStatsTable[[#This Row],[HalfWidth]],DiscreteStatsTable[[#This Row],[BatchMeansHalfWidth]])</f>
        <v>0</v>
      </c>
      <c r="X406" cm="1">
        <f t="array" ref="X406">COUNT(IF((DiscreteStatsTable[GroupByKey]=DiscreteStatsTable[[#This Row],[GroupByKey]]),(DiscreteStatsTable[GroupByKey]=DiscreteStatsTable[[#This Row],[GroupByKey]])*DiscreteStatsTable[Replication]))</f>
        <v>30</v>
      </c>
      <c r="Y406">
        <f>IF(DiscreteStatsTable[[#This Row],[RepsRequested]]=DiscreteStatsTable[[#This Row],[RepsWithStatObserved]],1,0)</f>
        <v>1</v>
      </c>
    </row>
    <row r="407" spans="1:25" x14ac:dyDescent="0.2">
      <c r="A407" t="s">
        <v>67</v>
      </c>
      <c r="B407" t="s">
        <v>70</v>
      </c>
      <c r="C407">
        <v>16</v>
      </c>
      <c r="D407" t="s">
        <v>91</v>
      </c>
      <c r="E407" t="s">
        <v>72</v>
      </c>
      <c r="F407" t="s">
        <v>73</v>
      </c>
      <c r="G407">
        <v>0</v>
      </c>
      <c r="H407">
        <v>2E+20</v>
      </c>
      <c r="I407">
        <v>0</v>
      </c>
      <c r="J407">
        <v>0</v>
      </c>
      <c r="K407">
        <v>205</v>
      </c>
      <c r="L407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07" cm="1">
        <f t="array" ref="M407">MAX(IF((ProjectInfoTable[ProjectName]=DiscreteStatsTable[[#This Row],[ProjectName]]),(ProjectInfoTable[ProjectName]=DiscreteStatsTable[[#This Row],[ProjectName]])*ProjectInfoTable[NumberOfReplications]))</f>
        <v>30</v>
      </c>
      <c r="N407" cm="1">
        <f t="array" ref="N407">IFERROR(AVERAGE(IF((DiscreteStatsTable[GroupByKey]=DiscreteStatsTable[[#This Row],[GroupByKey]]),(DiscreteStatsTable[GroupByKey]=DiscreteStatsTable[[#This Row],[GroupByKey]])*DiscreteStatsTable[Average])),0)</f>
        <v>0</v>
      </c>
      <c r="O407" cm="1">
        <f t="array" ref="O407">IFERROR(_xlfn.STDEV.S(IF((DiscreteStatsTable[GroupByKey]=DiscreteStatsTable[[#This Row],[GroupByKey]]),(DiscreteStatsTable[GroupByKey]=DiscreteStatsTable[[#This Row],[GroupByKey]])*DiscreteStatsTable[Average])),0)</f>
        <v>0</v>
      </c>
      <c r="P407" cm="1">
        <f t="array" ref="P407">MAX(IF((ProjectInfoTable[ProjectName]=DiscreteStatsTable[[#This Row],[ProjectName]]),(ProjectInfoTable[ProjectName]=DiscreteStatsTable[[#This Row],[ProjectName]])*ProjectInfoTable[ConfidenceInterval]))</f>
        <v>0.95</v>
      </c>
      <c r="Q407">
        <f>IF(AND(DiscreteStatsTable[[#This Row],[RepsWithStatObserved]]=1,Y407=0),200000000000000000000,IFERROR(_xlfn.T.INV.2T(1 -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7" cm="1">
        <f t="array" ref="R407">MIN(IF((DiscreteStatsTable[GroupByKey]=DiscreteStatsTable[[#This Row],[GroupByKey]]),(DiscreteStatsTable[GroupByKey]=DiscreteStatsTable[[#This Row],[GroupByKey]])*DiscreteStatsTable[Average]))</f>
        <v>0</v>
      </c>
      <c r="S407" cm="1">
        <f t="array" ref="S407">MAX(IF((DiscreteStatsTable[GroupByKey]=DiscreteStatsTable[[#This Row],[GroupByKey]]),(DiscreteStatsTable[GroupByKey]=DiscreteStatsTable[[#This Row],[GroupByKey]])*DiscreteStatsTable[Average]))</f>
        <v>0</v>
      </c>
      <c r="T407" cm="1">
        <f t="array" ref="T407">MIN(IF((DiscreteStatsTable[GroupByKey]=DiscreteStatsTable[[#This Row],[GroupByKey]]),(DiscreteStatsTable[GroupByKey]=DiscreteStatsTable[[#This Row],[GroupByKey]])*DiscreteStatsTable[Minimum]))</f>
        <v>0</v>
      </c>
      <c r="U407" cm="1">
        <f t="array" ref="U407">MAX(IF((DiscreteStatsTable[GroupByKey]=DiscreteStatsTable[[#This Row],[GroupByKey]]),(DiscreteStatsTable[GroupByKey]=DiscreteStatsTable[[#This Row],[GroupByKey]])*DiscreteStatsTable[Maximum]))</f>
        <v>0</v>
      </c>
      <c r="V407" cm="1">
        <f t="array" ref="V407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07">
        <f>IF((DiscreteStatsTable[[#This Row],[RepsRequested]]&gt;1),DiscreteStatsTable[[#This Row],[HalfWidth]],DiscreteStatsTable[[#This Row],[BatchMeansHalfWidth]])</f>
        <v>0</v>
      </c>
      <c r="X407" cm="1">
        <f t="array" ref="X407">COUNT(IF((DiscreteStatsTable[GroupByKey]=DiscreteStatsTable[[#This Row],[GroupByKey]]),(DiscreteStatsTable[GroupByKey]=DiscreteStatsTable[[#This Row],[GroupByKey]])*DiscreteStatsTable[Replication]))</f>
        <v>30</v>
      </c>
      <c r="Y407">
        <f>IF(DiscreteStatsTable[[#This Row],[RepsRequested]]=DiscreteStatsTable[[#This Row],[RepsWithStatObserved]],1,0)</f>
        <v>1</v>
      </c>
    </row>
    <row r="408" spans="1:25" x14ac:dyDescent="0.2">
      <c r="A408" t="s">
        <v>67</v>
      </c>
      <c r="B408" t="s">
        <v>70</v>
      </c>
      <c r="C408">
        <v>17</v>
      </c>
      <c r="D408" t="s">
        <v>91</v>
      </c>
      <c r="E408" t="s">
        <v>72</v>
      </c>
      <c r="F408" t="s">
        <v>73</v>
      </c>
      <c r="G408">
        <v>0</v>
      </c>
      <c r="H408">
        <v>2E+20</v>
      </c>
      <c r="I408">
        <v>0</v>
      </c>
      <c r="J408">
        <v>0</v>
      </c>
      <c r="K408">
        <v>206</v>
      </c>
      <c r="L408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08" cm="1">
        <f t="array" ref="M408">MAX(IF((ProjectInfoTable[ProjectName]=DiscreteStatsTable[[#This Row],[ProjectName]]),(ProjectInfoTable[ProjectName]=DiscreteStatsTable[[#This Row],[ProjectName]])*ProjectInfoTable[NumberOfReplications]))</f>
        <v>30</v>
      </c>
      <c r="N408" cm="1">
        <f t="array" ref="N408">IFERROR(AVERAGE(IF((DiscreteStatsTable[GroupByKey]=DiscreteStatsTable[[#This Row],[GroupByKey]]),(DiscreteStatsTable[GroupByKey]=DiscreteStatsTable[[#This Row],[GroupByKey]])*DiscreteStatsTable[Average])),0)</f>
        <v>0</v>
      </c>
      <c r="O408" cm="1">
        <f t="array" ref="O408">IFERROR(_xlfn.STDEV.S(IF((DiscreteStatsTable[GroupByKey]=DiscreteStatsTable[[#This Row],[GroupByKey]]),(DiscreteStatsTable[GroupByKey]=DiscreteStatsTable[[#This Row],[GroupByKey]])*DiscreteStatsTable[Average])),0)</f>
        <v>0</v>
      </c>
      <c r="P408" cm="1">
        <f t="array" ref="P408">MAX(IF((ProjectInfoTable[ProjectName]=DiscreteStatsTable[[#This Row],[ProjectName]]),(ProjectInfoTable[ProjectName]=DiscreteStatsTable[[#This Row],[ProjectName]])*ProjectInfoTable[ConfidenceInterval]))</f>
        <v>0.95</v>
      </c>
      <c r="Q408">
        <f>IF(AND(DiscreteStatsTable[[#This Row],[RepsWithStatObserved]]=1,Y408=0),200000000000000000000,IFERROR(_xlfn.T.INV.2T(1 -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8" cm="1">
        <f t="array" ref="R408">MIN(IF((DiscreteStatsTable[GroupByKey]=DiscreteStatsTable[[#This Row],[GroupByKey]]),(DiscreteStatsTable[GroupByKey]=DiscreteStatsTable[[#This Row],[GroupByKey]])*DiscreteStatsTable[Average]))</f>
        <v>0</v>
      </c>
      <c r="S408" cm="1">
        <f t="array" ref="S408">MAX(IF((DiscreteStatsTable[GroupByKey]=DiscreteStatsTable[[#This Row],[GroupByKey]]),(DiscreteStatsTable[GroupByKey]=DiscreteStatsTable[[#This Row],[GroupByKey]])*DiscreteStatsTable[Average]))</f>
        <v>0</v>
      </c>
      <c r="T408" cm="1">
        <f t="array" ref="T408">MIN(IF((DiscreteStatsTable[GroupByKey]=DiscreteStatsTable[[#This Row],[GroupByKey]]),(DiscreteStatsTable[GroupByKey]=DiscreteStatsTable[[#This Row],[GroupByKey]])*DiscreteStatsTable[Minimum]))</f>
        <v>0</v>
      </c>
      <c r="U408" cm="1">
        <f t="array" ref="U408">MAX(IF((DiscreteStatsTable[GroupByKey]=DiscreteStatsTable[[#This Row],[GroupByKey]]),(DiscreteStatsTable[GroupByKey]=DiscreteStatsTable[[#This Row],[GroupByKey]])*DiscreteStatsTable[Maximum]))</f>
        <v>0</v>
      </c>
      <c r="V408" cm="1">
        <f t="array" ref="V408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08">
        <f>IF((DiscreteStatsTable[[#This Row],[RepsRequested]]&gt;1),DiscreteStatsTable[[#This Row],[HalfWidth]],DiscreteStatsTable[[#This Row],[BatchMeansHalfWidth]])</f>
        <v>0</v>
      </c>
      <c r="X408" cm="1">
        <f t="array" ref="X408">COUNT(IF((DiscreteStatsTable[GroupByKey]=DiscreteStatsTable[[#This Row],[GroupByKey]]),(DiscreteStatsTable[GroupByKey]=DiscreteStatsTable[[#This Row],[GroupByKey]])*DiscreteStatsTable[Replication]))</f>
        <v>30</v>
      </c>
      <c r="Y408">
        <f>IF(DiscreteStatsTable[[#This Row],[RepsRequested]]=DiscreteStatsTable[[#This Row],[RepsWithStatObserved]],1,0)</f>
        <v>1</v>
      </c>
    </row>
    <row r="409" spans="1:25" x14ac:dyDescent="0.2">
      <c r="A409" t="s">
        <v>67</v>
      </c>
      <c r="B409" t="s">
        <v>70</v>
      </c>
      <c r="C409">
        <v>18</v>
      </c>
      <c r="D409" t="s">
        <v>91</v>
      </c>
      <c r="E409" t="s">
        <v>72</v>
      </c>
      <c r="F409" t="s">
        <v>73</v>
      </c>
      <c r="G409">
        <v>0</v>
      </c>
      <c r="H409">
        <v>2E+20</v>
      </c>
      <c r="I409">
        <v>0</v>
      </c>
      <c r="J409">
        <v>0</v>
      </c>
      <c r="K409">
        <v>213</v>
      </c>
      <c r="L409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09" cm="1">
        <f t="array" ref="M409">MAX(IF((ProjectInfoTable[ProjectName]=DiscreteStatsTable[[#This Row],[ProjectName]]),(ProjectInfoTable[ProjectName]=DiscreteStatsTable[[#This Row],[ProjectName]])*ProjectInfoTable[NumberOfReplications]))</f>
        <v>30</v>
      </c>
      <c r="N409" cm="1">
        <f t="array" ref="N409">IFERROR(AVERAGE(IF((DiscreteStatsTable[GroupByKey]=DiscreteStatsTable[[#This Row],[GroupByKey]]),(DiscreteStatsTable[GroupByKey]=DiscreteStatsTable[[#This Row],[GroupByKey]])*DiscreteStatsTable[Average])),0)</f>
        <v>0</v>
      </c>
      <c r="O409" cm="1">
        <f t="array" ref="O409">IFERROR(_xlfn.STDEV.S(IF((DiscreteStatsTable[GroupByKey]=DiscreteStatsTable[[#This Row],[GroupByKey]]),(DiscreteStatsTable[GroupByKey]=DiscreteStatsTable[[#This Row],[GroupByKey]])*DiscreteStatsTable[Average])),0)</f>
        <v>0</v>
      </c>
      <c r="P409" cm="1">
        <f t="array" ref="P409">MAX(IF((ProjectInfoTable[ProjectName]=DiscreteStatsTable[[#This Row],[ProjectName]]),(ProjectInfoTable[ProjectName]=DiscreteStatsTable[[#This Row],[ProjectName]])*ProjectInfoTable[ConfidenceInterval]))</f>
        <v>0.95</v>
      </c>
      <c r="Q409">
        <f>IF(AND(DiscreteStatsTable[[#This Row],[RepsWithStatObserved]]=1,Y409=0),200000000000000000000,IFERROR(_xlfn.T.INV.2T(1 -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09" cm="1">
        <f t="array" ref="R409">MIN(IF((DiscreteStatsTable[GroupByKey]=DiscreteStatsTable[[#This Row],[GroupByKey]]),(DiscreteStatsTable[GroupByKey]=DiscreteStatsTable[[#This Row],[GroupByKey]])*DiscreteStatsTable[Average]))</f>
        <v>0</v>
      </c>
      <c r="S409" cm="1">
        <f t="array" ref="S409">MAX(IF((DiscreteStatsTable[GroupByKey]=DiscreteStatsTable[[#This Row],[GroupByKey]]),(DiscreteStatsTable[GroupByKey]=DiscreteStatsTable[[#This Row],[GroupByKey]])*DiscreteStatsTable[Average]))</f>
        <v>0</v>
      </c>
      <c r="T409" cm="1">
        <f t="array" ref="T409">MIN(IF((DiscreteStatsTable[GroupByKey]=DiscreteStatsTable[[#This Row],[GroupByKey]]),(DiscreteStatsTable[GroupByKey]=DiscreteStatsTable[[#This Row],[GroupByKey]])*DiscreteStatsTable[Minimum]))</f>
        <v>0</v>
      </c>
      <c r="U409" cm="1">
        <f t="array" ref="U409">MAX(IF((DiscreteStatsTable[GroupByKey]=DiscreteStatsTable[[#This Row],[GroupByKey]]),(DiscreteStatsTable[GroupByKey]=DiscreteStatsTable[[#This Row],[GroupByKey]])*DiscreteStatsTable[Maximum]))</f>
        <v>0</v>
      </c>
      <c r="V409" cm="1">
        <f t="array" ref="V409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09">
        <f>IF((DiscreteStatsTable[[#This Row],[RepsRequested]]&gt;1),DiscreteStatsTable[[#This Row],[HalfWidth]],DiscreteStatsTable[[#This Row],[BatchMeansHalfWidth]])</f>
        <v>0</v>
      </c>
      <c r="X409" cm="1">
        <f t="array" ref="X409">COUNT(IF((DiscreteStatsTable[GroupByKey]=DiscreteStatsTable[[#This Row],[GroupByKey]]),(DiscreteStatsTable[GroupByKey]=DiscreteStatsTable[[#This Row],[GroupByKey]])*DiscreteStatsTable[Replication]))</f>
        <v>30</v>
      </c>
      <c r="Y409">
        <f>IF(DiscreteStatsTable[[#This Row],[RepsRequested]]=DiscreteStatsTable[[#This Row],[RepsWithStatObserved]],1,0)</f>
        <v>1</v>
      </c>
    </row>
    <row r="410" spans="1:25" x14ac:dyDescent="0.2">
      <c r="A410" t="s">
        <v>67</v>
      </c>
      <c r="B410" t="s">
        <v>70</v>
      </c>
      <c r="C410">
        <v>19</v>
      </c>
      <c r="D410" t="s">
        <v>91</v>
      </c>
      <c r="E410" t="s">
        <v>72</v>
      </c>
      <c r="F410" t="s">
        <v>73</v>
      </c>
      <c r="G410">
        <v>0</v>
      </c>
      <c r="H410">
        <v>2E+20</v>
      </c>
      <c r="I410">
        <v>0</v>
      </c>
      <c r="J410">
        <v>0</v>
      </c>
      <c r="K410">
        <v>188</v>
      </c>
      <c r="L410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10" cm="1">
        <f t="array" ref="M410">MAX(IF((ProjectInfoTable[ProjectName]=DiscreteStatsTable[[#This Row],[ProjectName]]),(ProjectInfoTable[ProjectName]=DiscreteStatsTable[[#This Row],[ProjectName]])*ProjectInfoTable[NumberOfReplications]))</f>
        <v>30</v>
      </c>
      <c r="N410" cm="1">
        <f t="array" ref="N410">IFERROR(AVERAGE(IF((DiscreteStatsTable[GroupByKey]=DiscreteStatsTable[[#This Row],[GroupByKey]]),(DiscreteStatsTable[GroupByKey]=DiscreteStatsTable[[#This Row],[GroupByKey]])*DiscreteStatsTable[Average])),0)</f>
        <v>0</v>
      </c>
      <c r="O410" cm="1">
        <f t="array" ref="O410">IFERROR(_xlfn.STDEV.S(IF((DiscreteStatsTable[GroupByKey]=DiscreteStatsTable[[#This Row],[GroupByKey]]),(DiscreteStatsTable[GroupByKey]=DiscreteStatsTable[[#This Row],[GroupByKey]])*DiscreteStatsTable[Average])),0)</f>
        <v>0</v>
      </c>
      <c r="P410" cm="1">
        <f t="array" ref="P410">MAX(IF((ProjectInfoTable[ProjectName]=DiscreteStatsTable[[#This Row],[ProjectName]]),(ProjectInfoTable[ProjectName]=DiscreteStatsTable[[#This Row],[ProjectName]])*ProjectInfoTable[ConfidenceInterval]))</f>
        <v>0.95</v>
      </c>
      <c r="Q410">
        <f>IF(AND(DiscreteStatsTable[[#This Row],[RepsWithStatObserved]]=1,Y410=0),200000000000000000000,IFERROR(_xlfn.T.INV.2T(1 -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0" cm="1">
        <f t="array" ref="R410">MIN(IF((DiscreteStatsTable[GroupByKey]=DiscreteStatsTable[[#This Row],[GroupByKey]]),(DiscreteStatsTable[GroupByKey]=DiscreteStatsTable[[#This Row],[GroupByKey]])*DiscreteStatsTable[Average]))</f>
        <v>0</v>
      </c>
      <c r="S410" cm="1">
        <f t="array" ref="S410">MAX(IF((DiscreteStatsTable[GroupByKey]=DiscreteStatsTable[[#This Row],[GroupByKey]]),(DiscreteStatsTable[GroupByKey]=DiscreteStatsTable[[#This Row],[GroupByKey]])*DiscreteStatsTable[Average]))</f>
        <v>0</v>
      </c>
      <c r="T410" cm="1">
        <f t="array" ref="T410">MIN(IF((DiscreteStatsTable[GroupByKey]=DiscreteStatsTable[[#This Row],[GroupByKey]]),(DiscreteStatsTable[GroupByKey]=DiscreteStatsTable[[#This Row],[GroupByKey]])*DiscreteStatsTable[Minimum]))</f>
        <v>0</v>
      </c>
      <c r="U410" cm="1">
        <f t="array" ref="U410">MAX(IF((DiscreteStatsTable[GroupByKey]=DiscreteStatsTable[[#This Row],[GroupByKey]]),(DiscreteStatsTable[GroupByKey]=DiscreteStatsTable[[#This Row],[GroupByKey]])*DiscreteStatsTable[Maximum]))</f>
        <v>0</v>
      </c>
      <c r="V410" cm="1">
        <f t="array" ref="V410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10">
        <f>IF((DiscreteStatsTable[[#This Row],[RepsRequested]]&gt;1),DiscreteStatsTable[[#This Row],[HalfWidth]],DiscreteStatsTable[[#This Row],[BatchMeansHalfWidth]])</f>
        <v>0</v>
      </c>
      <c r="X410" cm="1">
        <f t="array" ref="X410">COUNT(IF((DiscreteStatsTable[GroupByKey]=DiscreteStatsTable[[#This Row],[GroupByKey]]),(DiscreteStatsTable[GroupByKey]=DiscreteStatsTable[[#This Row],[GroupByKey]])*DiscreteStatsTable[Replication]))</f>
        <v>30</v>
      </c>
      <c r="Y410">
        <f>IF(DiscreteStatsTable[[#This Row],[RepsRequested]]=DiscreteStatsTable[[#This Row],[RepsWithStatObserved]],1,0)</f>
        <v>1</v>
      </c>
    </row>
    <row r="411" spans="1:25" x14ac:dyDescent="0.2">
      <c r="A411" t="s">
        <v>67</v>
      </c>
      <c r="B411" t="s">
        <v>70</v>
      </c>
      <c r="C411">
        <v>20</v>
      </c>
      <c r="D411" t="s">
        <v>91</v>
      </c>
      <c r="E411" t="s">
        <v>72</v>
      </c>
      <c r="F411" t="s">
        <v>73</v>
      </c>
      <c r="G411">
        <v>0</v>
      </c>
      <c r="H411">
        <v>2E+20</v>
      </c>
      <c r="I411">
        <v>0</v>
      </c>
      <c r="J411">
        <v>0</v>
      </c>
      <c r="K411">
        <v>203</v>
      </c>
      <c r="L411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11" cm="1">
        <f t="array" ref="M411">MAX(IF((ProjectInfoTable[ProjectName]=DiscreteStatsTable[[#This Row],[ProjectName]]),(ProjectInfoTable[ProjectName]=DiscreteStatsTable[[#This Row],[ProjectName]])*ProjectInfoTable[NumberOfReplications]))</f>
        <v>30</v>
      </c>
      <c r="N411" cm="1">
        <f t="array" ref="N411">IFERROR(AVERAGE(IF((DiscreteStatsTable[GroupByKey]=DiscreteStatsTable[[#This Row],[GroupByKey]]),(DiscreteStatsTable[GroupByKey]=DiscreteStatsTable[[#This Row],[GroupByKey]])*DiscreteStatsTable[Average])),0)</f>
        <v>0</v>
      </c>
      <c r="O411" cm="1">
        <f t="array" ref="O411">IFERROR(_xlfn.STDEV.S(IF((DiscreteStatsTable[GroupByKey]=DiscreteStatsTable[[#This Row],[GroupByKey]]),(DiscreteStatsTable[GroupByKey]=DiscreteStatsTable[[#This Row],[GroupByKey]])*DiscreteStatsTable[Average])),0)</f>
        <v>0</v>
      </c>
      <c r="P411" cm="1">
        <f t="array" ref="P411">MAX(IF((ProjectInfoTable[ProjectName]=DiscreteStatsTable[[#This Row],[ProjectName]]),(ProjectInfoTable[ProjectName]=DiscreteStatsTable[[#This Row],[ProjectName]])*ProjectInfoTable[ConfidenceInterval]))</f>
        <v>0.95</v>
      </c>
      <c r="Q411">
        <f>IF(AND(DiscreteStatsTable[[#This Row],[RepsWithStatObserved]]=1,Y411=0),200000000000000000000,IFERROR(_xlfn.T.INV.2T(1 -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1" cm="1">
        <f t="array" ref="R411">MIN(IF((DiscreteStatsTable[GroupByKey]=DiscreteStatsTable[[#This Row],[GroupByKey]]),(DiscreteStatsTable[GroupByKey]=DiscreteStatsTable[[#This Row],[GroupByKey]])*DiscreteStatsTable[Average]))</f>
        <v>0</v>
      </c>
      <c r="S411" cm="1">
        <f t="array" ref="S411">MAX(IF((DiscreteStatsTable[GroupByKey]=DiscreteStatsTable[[#This Row],[GroupByKey]]),(DiscreteStatsTable[GroupByKey]=DiscreteStatsTable[[#This Row],[GroupByKey]])*DiscreteStatsTable[Average]))</f>
        <v>0</v>
      </c>
      <c r="T411" cm="1">
        <f t="array" ref="T411">MIN(IF((DiscreteStatsTable[GroupByKey]=DiscreteStatsTable[[#This Row],[GroupByKey]]),(DiscreteStatsTable[GroupByKey]=DiscreteStatsTable[[#This Row],[GroupByKey]])*DiscreteStatsTable[Minimum]))</f>
        <v>0</v>
      </c>
      <c r="U411" cm="1">
        <f t="array" ref="U411">MAX(IF((DiscreteStatsTable[GroupByKey]=DiscreteStatsTable[[#This Row],[GroupByKey]]),(DiscreteStatsTable[GroupByKey]=DiscreteStatsTable[[#This Row],[GroupByKey]])*DiscreteStatsTable[Maximum]))</f>
        <v>0</v>
      </c>
      <c r="V411" cm="1">
        <f t="array" ref="V411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11">
        <f>IF((DiscreteStatsTable[[#This Row],[RepsRequested]]&gt;1),DiscreteStatsTable[[#This Row],[HalfWidth]],DiscreteStatsTable[[#This Row],[BatchMeansHalfWidth]])</f>
        <v>0</v>
      </c>
      <c r="X411" cm="1">
        <f t="array" ref="X411">COUNT(IF((DiscreteStatsTable[GroupByKey]=DiscreteStatsTable[[#This Row],[GroupByKey]]),(DiscreteStatsTable[GroupByKey]=DiscreteStatsTable[[#This Row],[GroupByKey]])*DiscreteStatsTable[Replication]))</f>
        <v>30</v>
      </c>
      <c r="Y411">
        <f>IF(DiscreteStatsTable[[#This Row],[RepsRequested]]=DiscreteStatsTable[[#This Row],[RepsWithStatObserved]],1,0)</f>
        <v>1</v>
      </c>
    </row>
    <row r="412" spans="1:25" x14ac:dyDescent="0.2">
      <c r="A412" t="s">
        <v>67</v>
      </c>
      <c r="B412" t="s">
        <v>70</v>
      </c>
      <c r="C412">
        <v>21</v>
      </c>
      <c r="D412" t="s">
        <v>91</v>
      </c>
      <c r="E412" t="s">
        <v>72</v>
      </c>
      <c r="F412" t="s">
        <v>73</v>
      </c>
      <c r="G412">
        <v>0</v>
      </c>
      <c r="H412">
        <v>2E+20</v>
      </c>
      <c r="I412">
        <v>0</v>
      </c>
      <c r="J412">
        <v>0</v>
      </c>
      <c r="K412">
        <v>199</v>
      </c>
      <c r="L412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12" cm="1">
        <f t="array" ref="M412">MAX(IF((ProjectInfoTable[ProjectName]=DiscreteStatsTable[[#This Row],[ProjectName]]),(ProjectInfoTable[ProjectName]=DiscreteStatsTable[[#This Row],[ProjectName]])*ProjectInfoTable[NumberOfReplications]))</f>
        <v>30</v>
      </c>
      <c r="N412" cm="1">
        <f t="array" ref="N412">IFERROR(AVERAGE(IF((DiscreteStatsTable[GroupByKey]=DiscreteStatsTable[[#This Row],[GroupByKey]]),(DiscreteStatsTable[GroupByKey]=DiscreteStatsTable[[#This Row],[GroupByKey]])*DiscreteStatsTable[Average])),0)</f>
        <v>0</v>
      </c>
      <c r="O412" cm="1">
        <f t="array" ref="O412">IFERROR(_xlfn.STDEV.S(IF((DiscreteStatsTable[GroupByKey]=DiscreteStatsTable[[#This Row],[GroupByKey]]),(DiscreteStatsTable[GroupByKey]=DiscreteStatsTable[[#This Row],[GroupByKey]])*DiscreteStatsTable[Average])),0)</f>
        <v>0</v>
      </c>
      <c r="P412" cm="1">
        <f t="array" ref="P412">MAX(IF((ProjectInfoTable[ProjectName]=DiscreteStatsTable[[#This Row],[ProjectName]]),(ProjectInfoTable[ProjectName]=DiscreteStatsTable[[#This Row],[ProjectName]])*ProjectInfoTable[ConfidenceInterval]))</f>
        <v>0.95</v>
      </c>
      <c r="Q412">
        <f>IF(AND(DiscreteStatsTable[[#This Row],[RepsWithStatObserved]]=1,Y412=0),200000000000000000000,IFERROR(_xlfn.T.INV.2T(1 -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2" cm="1">
        <f t="array" ref="R412">MIN(IF((DiscreteStatsTable[GroupByKey]=DiscreteStatsTable[[#This Row],[GroupByKey]]),(DiscreteStatsTable[GroupByKey]=DiscreteStatsTable[[#This Row],[GroupByKey]])*DiscreteStatsTable[Average]))</f>
        <v>0</v>
      </c>
      <c r="S412" cm="1">
        <f t="array" ref="S412">MAX(IF((DiscreteStatsTable[GroupByKey]=DiscreteStatsTable[[#This Row],[GroupByKey]]),(DiscreteStatsTable[GroupByKey]=DiscreteStatsTable[[#This Row],[GroupByKey]])*DiscreteStatsTable[Average]))</f>
        <v>0</v>
      </c>
      <c r="T412" cm="1">
        <f t="array" ref="T412">MIN(IF((DiscreteStatsTable[GroupByKey]=DiscreteStatsTable[[#This Row],[GroupByKey]]),(DiscreteStatsTable[GroupByKey]=DiscreteStatsTable[[#This Row],[GroupByKey]])*DiscreteStatsTable[Minimum]))</f>
        <v>0</v>
      </c>
      <c r="U412" cm="1">
        <f t="array" ref="U412">MAX(IF((DiscreteStatsTable[GroupByKey]=DiscreteStatsTable[[#This Row],[GroupByKey]]),(DiscreteStatsTable[GroupByKey]=DiscreteStatsTable[[#This Row],[GroupByKey]])*DiscreteStatsTable[Maximum]))</f>
        <v>0</v>
      </c>
      <c r="V412" cm="1">
        <f t="array" ref="V412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12">
        <f>IF((DiscreteStatsTable[[#This Row],[RepsRequested]]&gt;1),DiscreteStatsTable[[#This Row],[HalfWidth]],DiscreteStatsTable[[#This Row],[BatchMeansHalfWidth]])</f>
        <v>0</v>
      </c>
      <c r="X412" cm="1">
        <f t="array" ref="X412">COUNT(IF((DiscreteStatsTable[GroupByKey]=DiscreteStatsTable[[#This Row],[GroupByKey]]),(DiscreteStatsTable[GroupByKey]=DiscreteStatsTable[[#This Row],[GroupByKey]])*DiscreteStatsTable[Replication]))</f>
        <v>30</v>
      </c>
      <c r="Y412">
        <f>IF(DiscreteStatsTable[[#This Row],[RepsRequested]]=DiscreteStatsTable[[#This Row],[RepsWithStatObserved]],1,0)</f>
        <v>1</v>
      </c>
    </row>
    <row r="413" spans="1:25" x14ac:dyDescent="0.2">
      <c r="A413" t="s">
        <v>67</v>
      </c>
      <c r="B413" t="s">
        <v>70</v>
      </c>
      <c r="C413">
        <v>22</v>
      </c>
      <c r="D413" t="s">
        <v>91</v>
      </c>
      <c r="E413" t="s">
        <v>72</v>
      </c>
      <c r="F413" t="s">
        <v>73</v>
      </c>
      <c r="G413">
        <v>0</v>
      </c>
      <c r="H413">
        <v>2E+20</v>
      </c>
      <c r="I413">
        <v>0</v>
      </c>
      <c r="J413">
        <v>0</v>
      </c>
      <c r="K413">
        <v>213</v>
      </c>
      <c r="L413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13" cm="1">
        <f t="array" ref="M413">MAX(IF((ProjectInfoTable[ProjectName]=DiscreteStatsTable[[#This Row],[ProjectName]]),(ProjectInfoTable[ProjectName]=DiscreteStatsTable[[#This Row],[ProjectName]])*ProjectInfoTable[NumberOfReplications]))</f>
        <v>30</v>
      </c>
      <c r="N413" cm="1">
        <f t="array" ref="N413">IFERROR(AVERAGE(IF((DiscreteStatsTable[GroupByKey]=DiscreteStatsTable[[#This Row],[GroupByKey]]),(DiscreteStatsTable[GroupByKey]=DiscreteStatsTable[[#This Row],[GroupByKey]])*DiscreteStatsTable[Average])),0)</f>
        <v>0</v>
      </c>
      <c r="O413" cm="1">
        <f t="array" ref="O413">IFERROR(_xlfn.STDEV.S(IF((DiscreteStatsTable[GroupByKey]=DiscreteStatsTable[[#This Row],[GroupByKey]]),(DiscreteStatsTable[GroupByKey]=DiscreteStatsTable[[#This Row],[GroupByKey]])*DiscreteStatsTable[Average])),0)</f>
        <v>0</v>
      </c>
      <c r="P413" cm="1">
        <f t="array" ref="P413">MAX(IF((ProjectInfoTable[ProjectName]=DiscreteStatsTable[[#This Row],[ProjectName]]),(ProjectInfoTable[ProjectName]=DiscreteStatsTable[[#This Row],[ProjectName]])*ProjectInfoTable[ConfidenceInterval]))</f>
        <v>0.95</v>
      </c>
      <c r="Q413">
        <f>IF(AND(DiscreteStatsTable[[#This Row],[RepsWithStatObserved]]=1,Y413=0),200000000000000000000,IFERROR(_xlfn.T.INV.2T(1 -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3" cm="1">
        <f t="array" ref="R413">MIN(IF((DiscreteStatsTable[GroupByKey]=DiscreteStatsTable[[#This Row],[GroupByKey]]),(DiscreteStatsTable[GroupByKey]=DiscreteStatsTable[[#This Row],[GroupByKey]])*DiscreteStatsTable[Average]))</f>
        <v>0</v>
      </c>
      <c r="S413" cm="1">
        <f t="array" ref="S413">MAX(IF((DiscreteStatsTable[GroupByKey]=DiscreteStatsTable[[#This Row],[GroupByKey]]),(DiscreteStatsTable[GroupByKey]=DiscreteStatsTable[[#This Row],[GroupByKey]])*DiscreteStatsTable[Average]))</f>
        <v>0</v>
      </c>
      <c r="T413" cm="1">
        <f t="array" ref="T413">MIN(IF((DiscreteStatsTable[GroupByKey]=DiscreteStatsTable[[#This Row],[GroupByKey]]),(DiscreteStatsTable[GroupByKey]=DiscreteStatsTable[[#This Row],[GroupByKey]])*DiscreteStatsTable[Minimum]))</f>
        <v>0</v>
      </c>
      <c r="U413" cm="1">
        <f t="array" ref="U413">MAX(IF((DiscreteStatsTable[GroupByKey]=DiscreteStatsTable[[#This Row],[GroupByKey]]),(DiscreteStatsTable[GroupByKey]=DiscreteStatsTable[[#This Row],[GroupByKey]])*DiscreteStatsTable[Maximum]))</f>
        <v>0</v>
      </c>
      <c r="V413" cm="1">
        <f t="array" ref="V413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13">
        <f>IF((DiscreteStatsTable[[#This Row],[RepsRequested]]&gt;1),DiscreteStatsTable[[#This Row],[HalfWidth]],DiscreteStatsTable[[#This Row],[BatchMeansHalfWidth]])</f>
        <v>0</v>
      </c>
      <c r="X413" cm="1">
        <f t="array" ref="X413">COUNT(IF((DiscreteStatsTable[GroupByKey]=DiscreteStatsTable[[#This Row],[GroupByKey]]),(DiscreteStatsTable[GroupByKey]=DiscreteStatsTable[[#This Row],[GroupByKey]])*DiscreteStatsTable[Replication]))</f>
        <v>30</v>
      </c>
      <c r="Y413">
        <f>IF(DiscreteStatsTable[[#This Row],[RepsRequested]]=DiscreteStatsTable[[#This Row],[RepsWithStatObserved]],1,0)</f>
        <v>1</v>
      </c>
    </row>
    <row r="414" spans="1:25" x14ac:dyDescent="0.2">
      <c r="A414" t="s">
        <v>67</v>
      </c>
      <c r="B414" t="s">
        <v>70</v>
      </c>
      <c r="C414">
        <v>23</v>
      </c>
      <c r="D414" t="s">
        <v>91</v>
      </c>
      <c r="E414" t="s">
        <v>72</v>
      </c>
      <c r="F414" t="s">
        <v>73</v>
      </c>
      <c r="G414">
        <v>0</v>
      </c>
      <c r="H414">
        <v>2E+20</v>
      </c>
      <c r="I414">
        <v>0</v>
      </c>
      <c r="J414">
        <v>0</v>
      </c>
      <c r="K414">
        <v>218</v>
      </c>
      <c r="L414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14" cm="1">
        <f t="array" ref="M414">MAX(IF((ProjectInfoTable[ProjectName]=DiscreteStatsTable[[#This Row],[ProjectName]]),(ProjectInfoTable[ProjectName]=DiscreteStatsTable[[#This Row],[ProjectName]])*ProjectInfoTable[NumberOfReplications]))</f>
        <v>30</v>
      </c>
      <c r="N414" cm="1">
        <f t="array" ref="N414">IFERROR(AVERAGE(IF((DiscreteStatsTable[GroupByKey]=DiscreteStatsTable[[#This Row],[GroupByKey]]),(DiscreteStatsTable[GroupByKey]=DiscreteStatsTable[[#This Row],[GroupByKey]])*DiscreteStatsTable[Average])),0)</f>
        <v>0</v>
      </c>
      <c r="O414" cm="1">
        <f t="array" ref="O414">IFERROR(_xlfn.STDEV.S(IF((DiscreteStatsTable[GroupByKey]=DiscreteStatsTable[[#This Row],[GroupByKey]]),(DiscreteStatsTable[GroupByKey]=DiscreteStatsTable[[#This Row],[GroupByKey]])*DiscreteStatsTable[Average])),0)</f>
        <v>0</v>
      </c>
      <c r="P414" cm="1">
        <f t="array" ref="P414">MAX(IF((ProjectInfoTable[ProjectName]=DiscreteStatsTable[[#This Row],[ProjectName]]),(ProjectInfoTable[ProjectName]=DiscreteStatsTable[[#This Row],[ProjectName]])*ProjectInfoTable[ConfidenceInterval]))</f>
        <v>0.95</v>
      </c>
      <c r="Q414">
        <f>IF(AND(DiscreteStatsTable[[#This Row],[RepsWithStatObserved]]=1,Y414=0),200000000000000000000,IFERROR(_xlfn.T.INV.2T(1 -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4" cm="1">
        <f t="array" ref="R414">MIN(IF((DiscreteStatsTable[GroupByKey]=DiscreteStatsTable[[#This Row],[GroupByKey]]),(DiscreteStatsTable[GroupByKey]=DiscreteStatsTable[[#This Row],[GroupByKey]])*DiscreteStatsTable[Average]))</f>
        <v>0</v>
      </c>
      <c r="S414" cm="1">
        <f t="array" ref="S414">MAX(IF((DiscreteStatsTable[GroupByKey]=DiscreteStatsTable[[#This Row],[GroupByKey]]),(DiscreteStatsTable[GroupByKey]=DiscreteStatsTable[[#This Row],[GroupByKey]])*DiscreteStatsTable[Average]))</f>
        <v>0</v>
      </c>
      <c r="T414" cm="1">
        <f t="array" ref="T414">MIN(IF((DiscreteStatsTable[GroupByKey]=DiscreteStatsTable[[#This Row],[GroupByKey]]),(DiscreteStatsTable[GroupByKey]=DiscreteStatsTable[[#This Row],[GroupByKey]])*DiscreteStatsTable[Minimum]))</f>
        <v>0</v>
      </c>
      <c r="U414" cm="1">
        <f t="array" ref="U414">MAX(IF((DiscreteStatsTable[GroupByKey]=DiscreteStatsTable[[#This Row],[GroupByKey]]),(DiscreteStatsTable[GroupByKey]=DiscreteStatsTable[[#This Row],[GroupByKey]])*DiscreteStatsTable[Maximum]))</f>
        <v>0</v>
      </c>
      <c r="V414" cm="1">
        <f t="array" ref="V414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14">
        <f>IF((DiscreteStatsTable[[#This Row],[RepsRequested]]&gt;1),DiscreteStatsTable[[#This Row],[HalfWidth]],DiscreteStatsTable[[#This Row],[BatchMeansHalfWidth]])</f>
        <v>0</v>
      </c>
      <c r="X414" cm="1">
        <f t="array" ref="X414">COUNT(IF((DiscreteStatsTable[GroupByKey]=DiscreteStatsTable[[#This Row],[GroupByKey]]),(DiscreteStatsTable[GroupByKey]=DiscreteStatsTable[[#This Row],[GroupByKey]])*DiscreteStatsTable[Replication]))</f>
        <v>30</v>
      </c>
      <c r="Y414">
        <f>IF(DiscreteStatsTable[[#This Row],[RepsRequested]]=DiscreteStatsTable[[#This Row],[RepsWithStatObserved]],1,0)</f>
        <v>1</v>
      </c>
    </row>
    <row r="415" spans="1:25" x14ac:dyDescent="0.2">
      <c r="A415" t="s">
        <v>67</v>
      </c>
      <c r="B415" t="s">
        <v>70</v>
      </c>
      <c r="C415">
        <v>24</v>
      </c>
      <c r="D415" t="s">
        <v>91</v>
      </c>
      <c r="E415" t="s">
        <v>72</v>
      </c>
      <c r="F415" t="s">
        <v>73</v>
      </c>
      <c r="G415">
        <v>0</v>
      </c>
      <c r="H415">
        <v>2E+20</v>
      </c>
      <c r="I415">
        <v>0</v>
      </c>
      <c r="J415">
        <v>0</v>
      </c>
      <c r="K415">
        <v>210</v>
      </c>
      <c r="L415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15" cm="1">
        <f t="array" ref="M415">MAX(IF((ProjectInfoTable[ProjectName]=DiscreteStatsTable[[#This Row],[ProjectName]]),(ProjectInfoTable[ProjectName]=DiscreteStatsTable[[#This Row],[ProjectName]])*ProjectInfoTable[NumberOfReplications]))</f>
        <v>30</v>
      </c>
      <c r="N415" cm="1">
        <f t="array" ref="N415">IFERROR(AVERAGE(IF((DiscreteStatsTable[GroupByKey]=DiscreteStatsTable[[#This Row],[GroupByKey]]),(DiscreteStatsTable[GroupByKey]=DiscreteStatsTable[[#This Row],[GroupByKey]])*DiscreteStatsTable[Average])),0)</f>
        <v>0</v>
      </c>
      <c r="O415" cm="1">
        <f t="array" ref="O415">IFERROR(_xlfn.STDEV.S(IF((DiscreteStatsTable[GroupByKey]=DiscreteStatsTable[[#This Row],[GroupByKey]]),(DiscreteStatsTable[GroupByKey]=DiscreteStatsTable[[#This Row],[GroupByKey]])*DiscreteStatsTable[Average])),0)</f>
        <v>0</v>
      </c>
      <c r="P415" cm="1">
        <f t="array" ref="P415">MAX(IF((ProjectInfoTable[ProjectName]=DiscreteStatsTable[[#This Row],[ProjectName]]),(ProjectInfoTable[ProjectName]=DiscreteStatsTable[[#This Row],[ProjectName]])*ProjectInfoTable[ConfidenceInterval]))</f>
        <v>0.95</v>
      </c>
      <c r="Q415">
        <f>IF(AND(DiscreteStatsTable[[#This Row],[RepsWithStatObserved]]=1,Y415=0),200000000000000000000,IFERROR(_xlfn.T.INV.2T(1 -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5" cm="1">
        <f t="array" ref="R415">MIN(IF((DiscreteStatsTable[GroupByKey]=DiscreteStatsTable[[#This Row],[GroupByKey]]),(DiscreteStatsTable[GroupByKey]=DiscreteStatsTable[[#This Row],[GroupByKey]])*DiscreteStatsTable[Average]))</f>
        <v>0</v>
      </c>
      <c r="S415" cm="1">
        <f t="array" ref="S415">MAX(IF((DiscreteStatsTable[GroupByKey]=DiscreteStatsTable[[#This Row],[GroupByKey]]),(DiscreteStatsTable[GroupByKey]=DiscreteStatsTable[[#This Row],[GroupByKey]])*DiscreteStatsTable[Average]))</f>
        <v>0</v>
      </c>
      <c r="T415" cm="1">
        <f t="array" ref="T415">MIN(IF((DiscreteStatsTable[GroupByKey]=DiscreteStatsTable[[#This Row],[GroupByKey]]),(DiscreteStatsTable[GroupByKey]=DiscreteStatsTable[[#This Row],[GroupByKey]])*DiscreteStatsTable[Minimum]))</f>
        <v>0</v>
      </c>
      <c r="U415" cm="1">
        <f t="array" ref="U415">MAX(IF((DiscreteStatsTable[GroupByKey]=DiscreteStatsTable[[#This Row],[GroupByKey]]),(DiscreteStatsTable[GroupByKey]=DiscreteStatsTable[[#This Row],[GroupByKey]])*DiscreteStatsTable[Maximum]))</f>
        <v>0</v>
      </c>
      <c r="V415" cm="1">
        <f t="array" ref="V415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15">
        <f>IF((DiscreteStatsTable[[#This Row],[RepsRequested]]&gt;1),DiscreteStatsTable[[#This Row],[HalfWidth]],DiscreteStatsTable[[#This Row],[BatchMeansHalfWidth]])</f>
        <v>0</v>
      </c>
      <c r="X415" cm="1">
        <f t="array" ref="X415">COUNT(IF((DiscreteStatsTable[GroupByKey]=DiscreteStatsTable[[#This Row],[GroupByKey]]),(DiscreteStatsTable[GroupByKey]=DiscreteStatsTable[[#This Row],[GroupByKey]])*DiscreteStatsTable[Replication]))</f>
        <v>30</v>
      </c>
      <c r="Y415">
        <f>IF(DiscreteStatsTable[[#This Row],[RepsRequested]]=DiscreteStatsTable[[#This Row],[RepsWithStatObserved]],1,0)</f>
        <v>1</v>
      </c>
    </row>
    <row r="416" spans="1:25" x14ac:dyDescent="0.2">
      <c r="A416" t="s">
        <v>67</v>
      </c>
      <c r="B416" t="s">
        <v>70</v>
      </c>
      <c r="C416">
        <v>25</v>
      </c>
      <c r="D416" t="s">
        <v>91</v>
      </c>
      <c r="E416" t="s">
        <v>72</v>
      </c>
      <c r="F416" t="s">
        <v>73</v>
      </c>
      <c r="G416">
        <v>0</v>
      </c>
      <c r="H416">
        <v>2E+20</v>
      </c>
      <c r="I416">
        <v>0</v>
      </c>
      <c r="J416">
        <v>0</v>
      </c>
      <c r="K416">
        <v>204</v>
      </c>
      <c r="L416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16" cm="1">
        <f t="array" ref="M416">MAX(IF((ProjectInfoTable[ProjectName]=DiscreteStatsTable[[#This Row],[ProjectName]]),(ProjectInfoTable[ProjectName]=DiscreteStatsTable[[#This Row],[ProjectName]])*ProjectInfoTable[NumberOfReplications]))</f>
        <v>30</v>
      </c>
      <c r="N416" cm="1">
        <f t="array" ref="N416">IFERROR(AVERAGE(IF((DiscreteStatsTable[GroupByKey]=DiscreteStatsTable[[#This Row],[GroupByKey]]),(DiscreteStatsTable[GroupByKey]=DiscreteStatsTable[[#This Row],[GroupByKey]])*DiscreteStatsTable[Average])),0)</f>
        <v>0</v>
      </c>
      <c r="O416" cm="1">
        <f t="array" ref="O416">IFERROR(_xlfn.STDEV.S(IF((DiscreteStatsTable[GroupByKey]=DiscreteStatsTable[[#This Row],[GroupByKey]]),(DiscreteStatsTable[GroupByKey]=DiscreteStatsTable[[#This Row],[GroupByKey]])*DiscreteStatsTable[Average])),0)</f>
        <v>0</v>
      </c>
      <c r="P416" cm="1">
        <f t="array" ref="P416">MAX(IF((ProjectInfoTable[ProjectName]=DiscreteStatsTable[[#This Row],[ProjectName]]),(ProjectInfoTable[ProjectName]=DiscreteStatsTable[[#This Row],[ProjectName]])*ProjectInfoTable[ConfidenceInterval]))</f>
        <v>0.95</v>
      </c>
      <c r="Q416">
        <f>IF(AND(DiscreteStatsTable[[#This Row],[RepsWithStatObserved]]=1,Y416=0),200000000000000000000,IFERROR(_xlfn.T.INV.2T(1 -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6" cm="1">
        <f t="array" ref="R416">MIN(IF((DiscreteStatsTable[GroupByKey]=DiscreteStatsTable[[#This Row],[GroupByKey]]),(DiscreteStatsTable[GroupByKey]=DiscreteStatsTable[[#This Row],[GroupByKey]])*DiscreteStatsTable[Average]))</f>
        <v>0</v>
      </c>
      <c r="S416" cm="1">
        <f t="array" ref="S416">MAX(IF((DiscreteStatsTable[GroupByKey]=DiscreteStatsTable[[#This Row],[GroupByKey]]),(DiscreteStatsTable[GroupByKey]=DiscreteStatsTable[[#This Row],[GroupByKey]])*DiscreteStatsTable[Average]))</f>
        <v>0</v>
      </c>
      <c r="T416" cm="1">
        <f t="array" ref="T416">MIN(IF((DiscreteStatsTable[GroupByKey]=DiscreteStatsTable[[#This Row],[GroupByKey]]),(DiscreteStatsTable[GroupByKey]=DiscreteStatsTable[[#This Row],[GroupByKey]])*DiscreteStatsTable[Minimum]))</f>
        <v>0</v>
      </c>
      <c r="U416" cm="1">
        <f t="array" ref="U416">MAX(IF((DiscreteStatsTable[GroupByKey]=DiscreteStatsTable[[#This Row],[GroupByKey]]),(DiscreteStatsTable[GroupByKey]=DiscreteStatsTable[[#This Row],[GroupByKey]])*DiscreteStatsTable[Maximum]))</f>
        <v>0</v>
      </c>
      <c r="V416" cm="1">
        <f t="array" ref="V416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16">
        <f>IF((DiscreteStatsTable[[#This Row],[RepsRequested]]&gt;1),DiscreteStatsTable[[#This Row],[HalfWidth]],DiscreteStatsTable[[#This Row],[BatchMeansHalfWidth]])</f>
        <v>0</v>
      </c>
      <c r="X416" cm="1">
        <f t="array" ref="X416">COUNT(IF((DiscreteStatsTable[GroupByKey]=DiscreteStatsTable[[#This Row],[GroupByKey]]),(DiscreteStatsTable[GroupByKey]=DiscreteStatsTable[[#This Row],[GroupByKey]])*DiscreteStatsTable[Replication]))</f>
        <v>30</v>
      </c>
      <c r="Y416">
        <f>IF(DiscreteStatsTable[[#This Row],[RepsRequested]]=DiscreteStatsTable[[#This Row],[RepsWithStatObserved]],1,0)</f>
        <v>1</v>
      </c>
    </row>
    <row r="417" spans="1:25" x14ac:dyDescent="0.2">
      <c r="A417" t="s">
        <v>67</v>
      </c>
      <c r="B417" t="s">
        <v>70</v>
      </c>
      <c r="C417">
        <v>26</v>
      </c>
      <c r="D417" t="s">
        <v>91</v>
      </c>
      <c r="E417" t="s">
        <v>72</v>
      </c>
      <c r="F417" t="s">
        <v>73</v>
      </c>
      <c r="G417">
        <v>0</v>
      </c>
      <c r="H417">
        <v>2E+20</v>
      </c>
      <c r="I417">
        <v>0</v>
      </c>
      <c r="J417">
        <v>0</v>
      </c>
      <c r="K417">
        <v>177</v>
      </c>
      <c r="L417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17" cm="1">
        <f t="array" ref="M417">MAX(IF((ProjectInfoTable[ProjectName]=DiscreteStatsTable[[#This Row],[ProjectName]]),(ProjectInfoTable[ProjectName]=DiscreteStatsTable[[#This Row],[ProjectName]])*ProjectInfoTable[NumberOfReplications]))</f>
        <v>30</v>
      </c>
      <c r="N417" cm="1">
        <f t="array" ref="N417">IFERROR(AVERAGE(IF((DiscreteStatsTable[GroupByKey]=DiscreteStatsTable[[#This Row],[GroupByKey]]),(DiscreteStatsTable[GroupByKey]=DiscreteStatsTable[[#This Row],[GroupByKey]])*DiscreteStatsTable[Average])),0)</f>
        <v>0</v>
      </c>
      <c r="O417" cm="1">
        <f t="array" ref="O417">IFERROR(_xlfn.STDEV.S(IF((DiscreteStatsTable[GroupByKey]=DiscreteStatsTable[[#This Row],[GroupByKey]]),(DiscreteStatsTable[GroupByKey]=DiscreteStatsTable[[#This Row],[GroupByKey]])*DiscreteStatsTable[Average])),0)</f>
        <v>0</v>
      </c>
      <c r="P417" cm="1">
        <f t="array" ref="P417">MAX(IF((ProjectInfoTable[ProjectName]=DiscreteStatsTable[[#This Row],[ProjectName]]),(ProjectInfoTable[ProjectName]=DiscreteStatsTable[[#This Row],[ProjectName]])*ProjectInfoTable[ConfidenceInterval]))</f>
        <v>0.95</v>
      </c>
      <c r="Q417">
        <f>IF(AND(DiscreteStatsTable[[#This Row],[RepsWithStatObserved]]=1,Y417=0),200000000000000000000,IFERROR(_xlfn.T.INV.2T(1 -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7" cm="1">
        <f t="array" ref="R417">MIN(IF((DiscreteStatsTable[GroupByKey]=DiscreteStatsTable[[#This Row],[GroupByKey]]),(DiscreteStatsTable[GroupByKey]=DiscreteStatsTable[[#This Row],[GroupByKey]])*DiscreteStatsTable[Average]))</f>
        <v>0</v>
      </c>
      <c r="S417" cm="1">
        <f t="array" ref="S417">MAX(IF((DiscreteStatsTable[GroupByKey]=DiscreteStatsTable[[#This Row],[GroupByKey]]),(DiscreteStatsTable[GroupByKey]=DiscreteStatsTable[[#This Row],[GroupByKey]])*DiscreteStatsTable[Average]))</f>
        <v>0</v>
      </c>
      <c r="T417" cm="1">
        <f t="array" ref="T417">MIN(IF((DiscreteStatsTable[GroupByKey]=DiscreteStatsTable[[#This Row],[GroupByKey]]),(DiscreteStatsTable[GroupByKey]=DiscreteStatsTable[[#This Row],[GroupByKey]])*DiscreteStatsTable[Minimum]))</f>
        <v>0</v>
      </c>
      <c r="U417" cm="1">
        <f t="array" ref="U417">MAX(IF((DiscreteStatsTable[GroupByKey]=DiscreteStatsTable[[#This Row],[GroupByKey]]),(DiscreteStatsTable[GroupByKey]=DiscreteStatsTable[[#This Row],[GroupByKey]])*DiscreteStatsTable[Maximum]))</f>
        <v>0</v>
      </c>
      <c r="V417" cm="1">
        <f t="array" ref="V417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17">
        <f>IF((DiscreteStatsTable[[#This Row],[RepsRequested]]&gt;1),DiscreteStatsTable[[#This Row],[HalfWidth]],DiscreteStatsTable[[#This Row],[BatchMeansHalfWidth]])</f>
        <v>0</v>
      </c>
      <c r="X417" cm="1">
        <f t="array" ref="X417">COUNT(IF((DiscreteStatsTable[GroupByKey]=DiscreteStatsTable[[#This Row],[GroupByKey]]),(DiscreteStatsTable[GroupByKey]=DiscreteStatsTable[[#This Row],[GroupByKey]])*DiscreteStatsTable[Replication]))</f>
        <v>30</v>
      </c>
      <c r="Y417">
        <f>IF(DiscreteStatsTable[[#This Row],[RepsRequested]]=DiscreteStatsTable[[#This Row],[RepsWithStatObserved]],1,0)</f>
        <v>1</v>
      </c>
    </row>
    <row r="418" spans="1:25" x14ac:dyDescent="0.2">
      <c r="A418" t="s">
        <v>67</v>
      </c>
      <c r="B418" t="s">
        <v>70</v>
      </c>
      <c r="C418">
        <v>27</v>
      </c>
      <c r="D418" t="s">
        <v>91</v>
      </c>
      <c r="E418" t="s">
        <v>72</v>
      </c>
      <c r="F418" t="s">
        <v>73</v>
      </c>
      <c r="G418">
        <v>0</v>
      </c>
      <c r="H418">
        <v>2E+20</v>
      </c>
      <c r="I418">
        <v>0</v>
      </c>
      <c r="J418">
        <v>0</v>
      </c>
      <c r="K418">
        <v>203</v>
      </c>
      <c r="L418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18" cm="1">
        <f t="array" ref="M418">MAX(IF((ProjectInfoTable[ProjectName]=DiscreteStatsTable[[#This Row],[ProjectName]]),(ProjectInfoTable[ProjectName]=DiscreteStatsTable[[#This Row],[ProjectName]])*ProjectInfoTable[NumberOfReplications]))</f>
        <v>30</v>
      </c>
      <c r="N418" cm="1">
        <f t="array" ref="N418">IFERROR(AVERAGE(IF((DiscreteStatsTable[GroupByKey]=DiscreteStatsTable[[#This Row],[GroupByKey]]),(DiscreteStatsTable[GroupByKey]=DiscreteStatsTable[[#This Row],[GroupByKey]])*DiscreteStatsTable[Average])),0)</f>
        <v>0</v>
      </c>
      <c r="O418" cm="1">
        <f t="array" ref="O418">IFERROR(_xlfn.STDEV.S(IF((DiscreteStatsTable[GroupByKey]=DiscreteStatsTable[[#This Row],[GroupByKey]]),(DiscreteStatsTable[GroupByKey]=DiscreteStatsTable[[#This Row],[GroupByKey]])*DiscreteStatsTable[Average])),0)</f>
        <v>0</v>
      </c>
      <c r="P418" cm="1">
        <f t="array" ref="P418">MAX(IF((ProjectInfoTable[ProjectName]=DiscreteStatsTable[[#This Row],[ProjectName]]),(ProjectInfoTable[ProjectName]=DiscreteStatsTable[[#This Row],[ProjectName]])*ProjectInfoTable[ConfidenceInterval]))</f>
        <v>0.95</v>
      </c>
      <c r="Q418">
        <f>IF(AND(DiscreteStatsTable[[#This Row],[RepsWithStatObserved]]=1,Y418=0),200000000000000000000,IFERROR(_xlfn.T.INV.2T(1 -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8" cm="1">
        <f t="array" ref="R418">MIN(IF((DiscreteStatsTable[GroupByKey]=DiscreteStatsTable[[#This Row],[GroupByKey]]),(DiscreteStatsTable[GroupByKey]=DiscreteStatsTable[[#This Row],[GroupByKey]])*DiscreteStatsTable[Average]))</f>
        <v>0</v>
      </c>
      <c r="S418" cm="1">
        <f t="array" ref="S418">MAX(IF((DiscreteStatsTable[GroupByKey]=DiscreteStatsTable[[#This Row],[GroupByKey]]),(DiscreteStatsTable[GroupByKey]=DiscreteStatsTable[[#This Row],[GroupByKey]])*DiscreteStatsTable[Average]))</f>
        <v>0</v>
      </c>
      <c r="T418" cm="1">
        <f t="array" ref="T418">MIN(IF((DiscreteStatsTable[GroupByKey]=DiscreteStatsTable[[#This Row],[GroupByKey]]),(DiscreteStatsTable[GroupByKey]=DiscreteStatsTable[[#This Row],[GroupByKey]])*DiscreteStatsTable[Minimum]))</f>
        <v>0</v>
      </c>
      <c r="U418" cm="1">
        <f t="array" ref="U418">MAX(IF((DiscreteStatsTable[GroupByKey]=DiscreteStatsTable[[#This Row],[GroupByKey]]),(DiscreteStatsTable[GroupByKey]=DiscreteStatsTable[[#This Row],[GroupByKey]])*DiscreteStatsTable[Maximum]))</f>
        <v>0</v>
      </c>
      <c r="V418" cm="1">
        <f t="array" ref="V418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18">
        <f>IF((DiscreteStatsTable[[#This Row],[RepsRequested]]&gt;1),DiscreteStatsTable[[#This Row],[HalfWidth]],DiscreteStatsTable[[#This Row],[BatchMeansHalfWidth]])</f>
        <v>0</v>
      </c>
      <c r="X418" cm="1">
        <f t="array" ref="X418">COUNT(IF((DiscreteStatsTable[GroupByKey]=DiscreteStatsTable[[#This Row],[GroupByKey]]),(DiscreteStatsTable[GroupByKey]=DiscreteStatsTable[[#This Row],[GroupByKey]])*DiscreteStatsTable[Replication]))</f>
        <v>30</v>
      </c>
      <c r="Y418">
        <f>IF(DiscreteStatsTable[[#This Row],[RepsRequested]]=DiscreteStatsTable[[#This Row],[RepsWithStatObserved]],1,0)</f>
        <v>1</v>
      </c>
    </row>
    <row r="419" spans="1:25" x14ac:dyDescent="0.2">
      <c r="A419" t="s">
        <v>67</v>
      </c>
      <c r="B419" t="s">
        <v>70</v>
      </c>
      <c r="C419">
        <v>28</v>
      </c>
      <c r="D419" t="s">
        <v>91</v>
      </c>
      <c r="E419" t="s">
        <v>72</v>
      </c>
      <c r="F419" t="s">
        <v>73</v>
      </c>
      <c r="G419">
        <v>0</v>
      </c>
      <c r="H419">
        <v>2E+20</v>
      </c>
      <c r="I419">
        <v>0</v>
      </c>
      <c r="J419">
        <v>0</v>
      </c>
      <c r="K419">
        <v>193</v>
      </c>
      <c r="L419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19" cm="1">
        <f t="array" ref="M419">MAX(IF((ProjectInfoTable[ProjectName]=DiscreteStatsTable[[#This Row],[ProjectName]]),(ProjectInfoTable[ProjectName]=DiscreteStatsTable[[#This Row],[ProjectName]])*ProjectInfoTable[NumberOfReplications]))</f>
        <v>30</v>
      </c>
      <c r="N419" cm="1">
        <f t="array" ref="N419">IFERROR(AVERAGE(IF((DiscreteStatsTable[GroupByKey]=DiscreteStatsTable[[#This Row],[GroupByKey]]),(DiscreteStatsTable[GroupByKey]=DiscreteStatsTable[[#This Row],[GroupByKey]])*DiscreteStatsTable[Average])),0)</f>
        <v>0</v>
      </c>
      <c r="O419" cm="1">
        <f t="array" ref="O419">IFERROR(_xlfn.STDEV.S(IF((DiscreteStatsTable[GroupByKey]=DiscreteStatsTable[[#This Row],[GroupByKey]]),(DiscreteStatsTable[GroupByKey]=DiscreteStatsTable[[#This Row],[GroupByKey]])*DiscreteStatsTable[Average])),0)</f>
        <v>0</v>
      </c>
      <c r="P419" cm="1">
        <f t="array" ref="P419">MAX(IF((ProjectInfoTable[ProjectName]=DiscreteStatsTable[[#This Row],[ProjectName]]),(ProjectInfoTable[ProjectName]=DiscreteStatsTable[[#This Row],[ProjectName]])*ProjectInfoTable[ConfidenceInterval]))</f>
        <v>0.95</v>
      </c>
      <c r="Q419">
        <f>IF(AND(DiscreteStatsTable[[#This Row],[RepsWithStatObserved]]=1,Y419=0),200000000000000000000,IFERROR(_xlfn.T.INV.2T(1 -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9" cm="1">
        <f t="array" ref="R419">MIN(IF((DiscreteStatsTable[GroupByKey]=DiscreteStatsTable[[#This Row],[GroupByKey]]),(DiscreteStatsTable[GroupByKey]=DiscreteStatsTable[[#This Row],[GroupByKey]])*DiscreteStatsTable[Average]))</f>
        <v>0</v>
      </c>
      <c r="S419" cm="1">
        <f t="array" ref="S419">MAX(IF((DiscreteStatsTable[GroupByKey]=DiscreteStatsTable[[#This Row],[GroupByKey]]),(DiscreteStatsTable[GroupByKey]=DiscreteStatsTable[[#This Row],[GroupByKey]])*DiscreteStatsTable[Average]))</f>
        <v>0</v>
      </c>
      <c r="T419" cm="1">
        <f t="array" ref="T419">MIN(IF((DiscreteStatsTable[GroupByKey]=DiscreteStatsTable[[#This Row],[GroupByKey]]),(DiscreteStatsTable[GroupByKey]=DiscreteStatsTable[[#This Row],[GroupByKey]])*DiscreteStatsTable[Minimum]))</f>
        <v>0</v>
      </c>
      <c r="U419" cm="1">
        <f t="array" ref="U419">MAX(IF((DiscreteStatsTable[GroupByKey]=DiscreteStatsTable[[#This Row],[GroupByKey]]),(DiscreteStatsTable[GroupByKey]=DiscreteStatsTable[[#This Row],[GroupByKey]])*DiscreteStatsTable[Maximum]))</f>
        <v>0</v>
      </c>
      <c r="V419" cm="1">
        <f t="array" ref="V419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19">
        <f>IF((DiscreteStatsTable[[#This Row],[RepsRequested]]&gt;1),DiscreteStatsTable[[#This Row],[HalfWidth]],DiscreteStatsTable[[#This Row],[BatchMeansHalfWidth]])</f>
        <v>0</v>
      </c>
      <c r="X419" cm="1">
        <f t="array" ref="X419">COUNT(IF((DiscreteStatsTable[GroupByKey]=DiscreteStatsTable[[#This Row],[GroupByKey]]),(DiscreteStatsTable[GroupByKey]=DiscreteStatsTable[[#This Row],[GroupByKey]])*DiscreteStatsTable[Replication]))</f>
        <v>30</v>
      </c>
      <c r="Y419">
        <f>IF(DiscreteStatsTable[[#This Row],[RepsRequested]]=DiscreteStatsTable[[#This Row],[RepsWithStatObserved]],1,0)</f>
        <v>1</v>
      </c>
    </row>
    <row r="420" spans="1:25" x14ac:dyDescent="0.2">
      <c r="A420" t="s">
        <v>67</v>
      </c>
      <c r="B420" t="s">
        <v>70</v>
      </c>
      <c r="C420">
        <v>29</v>
      </c>
      <c r="D420" t="s">
        <v>91</v>
      </c>
      <c r="E420" t="s">
        <v>72</v>
      </c>
      <c r="F420" t="s">
        <v>73</v>
      </c>
      <c r="G420">
        <v>0</v>
      </c>
      <c r="H420">
        <v>2E+20</v>
      </c>
      <c r="I420">
        <v>0</v>
      </c>
      <c r="J420">
        <v>0</v>
      </c>
      <c r="K420">
        <v>206</v>
      </c>
      <c r="L420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20" cm="1">
        <f t="array" ref="M420">MAX(IF((ProjectInfoTable[ProjectName]=DiscreteStatsTable[[#This Row],[ProjectName]]),(ProjectInfoTable[ProjectName]=DiscreteStatsTable[[#This Row],[ProjectName]])*ProjectInfoTable[NumberOfReplications]))</f>
        <v>30</v>
      </c>
      <c r="N420" cm="1">
        <f t="array" ref="N420">IFERROR(AVERAGE(IF((DiscreteStatsTable[GroupByKey]=DiscreteStatsTable[[#This Row],[GroupByKey]]),(DiscreteStatsTable[GroupByKey]=DiscreteStatsTable[[#This Row],[GroupByKey]])*DiscreteStatsTable[Average])),0)</f>
        <v>0</v>
      </c>
      <c r="O420" cm="1">
        <f t="array" ref="O420">IFERROR(_xlfn.STDEV.S(IF((DiscreteStatsTable[GroupByKey]=DiscreteStatsTable[[#This Row],[GroupByKey]]),(DiscreteStatsTable[GroupByKey]=DiscreteStatsTable[[#This Row],[GroupByKey]])*DiscreteStatsTable[Average])),0)</f>
        <v>0</v>
      </c>
      <c r="P420" cm="1">
        <f t="array" ref="P420">MAX(IF((ProjectInfoTable[ProjectName]=DiscreteStatsTable[[#This Row],[ProjectName]]),(ProjectInfoTable[ProjectName]=DiscreteStatsTable[[#This Row],[ProjectName]])*ProjectInfoTable[ConfidenceInterval]))</f>
        <v>0.95</v>
      </c>
      <c r="Q420">
        <f>IF(AND(DiscreteStatsTable[[#This Row],[RepsWithStatObserved]]=1,Y420=0),200000000000000000000,IFERROR(_xlfn.T.INV.2T(1 -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0" cm="1">
        <f t="array" ref="R420">MIN(IF((DiscreteStatsTable[GroupByKey]=DiscreteStatsTable[[#This Row],[GroupByKey]]),(DiscreteStatsTable[GroupByKey]=DiscreteStatsTable[[#This Row],[GroupByKey]])*DiscreteStatsTable[Average]))</f>
        <v>0</v>
      </c>
      <c r="S420" cm="1">
        <f t="array" ref="S420">MAX(IF((DiscreteStatsTable[GroupByKey]=DiscreteStatsTable[[#This Row],[GroupByKey]]),(DiscreteStatsTable[GroupByKey]=DiscreteStatsTable[[#This Row],[GroupByKey]])*DiscreteStatsTable[Average]))</f>
        <v>0</v>
      </c>
      <c r="T420" cm="1">
        <f t="array" ref="T420">MIN(IF((DiscreteStatsTable[GroupByKey]=DiscreteStatsTable[[#This Row],[GroupByKey]]),(DiscreteStatsTable[GroupByKey]=DiscreteStatsTable[[#This Row],[GroupByKey]])*DiscreteStatsTable[Minimum]))</f>
        <v>0</v>
      </c>
      <c r="U420" cm="1">
        <f t="array" ref="U420">MAX(IF((DiscreteStatsTable[GroupByKey]=DiscreteStatsTable[[#This Row],[GroupByKey]]),(DiscreteStatsTable[GroupByKey]=DiscreteStatsTable[[#This Row],[GroupByKey]])*DiscreteStatsTable[Maximum]))</f>
        <v>0</v>
      </c>
      <c r="V420" cm="1">
        <f t="array" ref="V420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20">
        <f>IF((DiscreteStatsTable[[#This Row],[RepsRequested]]&gt;1),DiscreteStatsTable[[#This Row],[HalfWidth]],DiscreteStatsTable[[#This Row],[BatchMeansHalfWidth]])</f>
        <v>0</v>
      </c>
      <c r="X420" cm="1">
        <f t="array" ref="X420">COUNT(IF((DiscreteStatsTable[GroupByKey]=DiscreteStatsTable[[#This Row],[GroupByKey]]),(DiscreteStatsTable[GroupByKey]=DiscreteStatsTable[[#This Row],[GroupByKey]])*DiscreteStatsTable[Replication]))</f>
        <v>30</v>
      </c>
      <c r="Y420">
        <f>IF(DiscreteStatsTable[[#This Row],[RepsRequested]]=DiscreteStatsTable[[#This Row],[RepsWithStatObserved]],1,0)</f>
        <v>1</v>
      </c>
    </row>
    <row r="421" spans="1:25" x14ac:dyDescent="0.2">
      <c r="A421" t="s">
        <v>67</v>
      </c>
      <c r="B421" t="s">
        <v>70</v>
      </c>
      <c r="C421">
        <v>30</v>
      </c>
      <c r="D421" t="s">
        <v>91</v>
      </c>
      <c r="E421" t="s">
        <v>72</v>
      </c>
      <c r="F421" t="s">
        <v>73</v>
      </c>
      <c r="G421">
        <v>0</v>
      </c>
      <c r="H421">
        <v>2E+20</v>
      </c>
      <c r="I421">
        <v>0</v>
      </c>
      <c r="J421">
        <v>0</v>
      </c>
      <c r="K421">
        <v>196</v>
      </c>
      <c r="L421" t="str">
        <f>DiscreteStatsTable[[#This Row],[ProjectName]]&amp;DiscreteStatsTable[[#This Row],[Name]]&amp;DiscreteStatsTable[[#This Row],[Type]]&amp;DiscreteStatsTable[[#This Row],[Source]]</f>
        <v>Unnamed ProjectOutside_Table_Waiting_QueueWaiting TimeQueue</v>
      </c>
      <c r="M421" cm="1">
        <f t="array" ref="M421">MAX(IF((ProjectInfoTable[ProjectName]=DiscreteStatsTable[[#This Row],[ProjectName]]),(ProjectInfoTable[ProjectName]=DiscreteStatsTable[[#This Row],[ProjectName]])*ProjectInfoTable[NumberOfReplications]))</f>
        <v>30</v>
      </c>
      <c r="N421" cm="1">
        <f t="array" ref="N421">IFERROR(AVERAGE(IF((DiscreteStatsTable[GroupByKey]=DiscreteStatsTable[[#This Row],[GroupByKey]]),(DiscreteStatsTable[GroupByKey]=DiscreteStatsTable[[#This Row],[GroupByKey]])*DiscreteStatsTable[Average])),0)</f>
        <v>0</v>
      </c>
      <c r="O421" cm="1">
        <f t="array" ref="O421">IFERROR(_xlfn.STDEV.S(IF((DiscreteStatsTable[GroupByKey]=DiscreteStatsTable[[#This Row],[GroupByKey]]),(DiscreteStatsTable[GroupByKey]=DiscreteStatsTable[[#This Row],[GroupByKey]])*DiscreteStatsTable[Average])),0)</f>
        <v>0</v>
      </c>
      <c r="P421" cm="1">
        <f t="array" ref="P421">MAX(IF((ProjectInfoTable[ProjectName]=DiscreteStatsTable[[#This Row],[ProjectName]]),(ProjectInfoTable[ProjectName]=DiscreteStatsTable[[#This Row],[ProjectName]])*ProjectInfoTable[ConfidenceInterval]))</f>
        <v>0.95</v>
      </c>
      <c r="Q421">
        <f>IF(AND(DiscreteStatsTable[[#This Row],[RepsWithStatObserved]]=1,Y421=0),200000000000000000000,IFERROR(_xlfn.T.INV.2T(1 -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1" cm="1">
        <f t="array" ref="R421">MIN(IF((DiscreteStatsTable[GroupByKey]=DiscreteStatsTable[[#This Row],[GroupByKey]]),(DiscreteStatsTable[GroupByKey]=DiscreteStatsTable[[#This Row],[GroupByKey]])*DiscreteStatsTable[Average]))</f>
        <v>0</v>
      </c>
      <c r="S421" cm="1">
        <f t="array" ref="S421">MAX(IF((DiscreteStatsTable[GroupByKey]=DiscreteStatsTable[[#This Row],[GroupByKey]]),(DiscreteStatsTable[GroupByKey]=DiscreteStatsTable[[#This Row],[GroupByKey]])*DiscreteStatsTable[Average]))</f>
        <v>0</v>
      </c>
      <c r="T421" cm="1">
        <f t="array" ref="T421">MIN(IF((DiscreteStatsTable[GroupByKey]=DiscreteStatsTable[[#This Row],[GroupByKey]]),(DiscreteStatsTable[GroupByKey]=DiscreteStatsTable[[#This Row],[GroupByKey]])*DiscreteStatsTable[Minimum]))</f>
        <v>0</v>
      </c>
      <c r="U421" cm="1">
        <f t="array" ref="U421">MAX(IF((DiscreteStatsTable[GroupByKey]=DiscreteStatsTable[[#This Row],[GroupByKey]]),(DiscreteStatsTable[GroupByKey]=DiscreteStatsTable[[#This Row],[GroupByKey]])*DiscreteStatsTable[Maximum]))</f>
        <v>0</v>
      </c>
      <c r="V421" cm="1">
        <f t="array" ref="V421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21">
        <f>IF((DiscreteStatsTable[[#This Row],[RepsRequested]]&gt;1),DiscreteStatsTable[[#This Row],[HalfWidth]],DiscreteStatsTable[[#This Row],[BatchMeansHalfWidth]])</f>
        <v>0</v>
      </c>
      <c r="X421" cm="1">
        <f t="array" ref="X421">COUNT(IF((DiscreteStatsTable[GroupByKey]=DiscreteStatsTable[[#This Row],[GroupByKey]]),(DiscreteStatsTable[GroupByKey]=DiscreteStatsTable[[#This Row],[GroupByKey]])*DiscreteStatsTable[Replication]))</f>
        <v>30</v>
      </c>
      <c r="Y421">
        <f>IF(DiscreteStatsTable[[#This Row],[RepsRequested]]=DiscreteStatsTable[[#This Row],[RepsWithStatObserved]],1,0)</f>
        <v>1</v>
      </c>
    </row>
    <row r="422" spans="1:25" x14ac:dyDescent="0.2">
      <c r="A422" t="s">
        <v>67</v>
      </c>
      <c r="B422" t="s">
        <v>70</v>
      </c>
      <c r="C422">
        <v>1</v>
      </c>
      <c r="D422" t="s">
        <v>89</v>
      </c>
      <c r="E422" t="s">
        <v>84</v>
      </c>
      <c r="F422" t="s">
        <v>85</v>
      </c>
      <c r="G422">
        <v>0</v>
      </c>
      <c r="H422">
        <v>2E+20</v>
      </c>
      <c r="I422">
        <v>0</v>
      </c>
      <c r="J422">
        <v>0</v>
      </c>
      <c r="K422">
        <v>191</v>
      </c>
      <c r="L422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22" cm="1">
        <f t="array" ref="M422">MAX(IF((ProjectInfoTable[ProjectName]=DiscreteStatsTable[[#This Row],[ProjectName]]),(ProjectInfoTable[ProjectName]=DiscreteStatsTable[[#This Row],[ProjectName]])*ProjectInfoTable[NumberOfReplications]))</f>
        <v>30</v>
      </c>
      <c r="N422" cm="1">
        <f t="array" ref="N422">IFERROR(AVERAGE(IF((DiscreteStatsTable[GroupByKey]=DiscreteStatsTable[[#This Row],[GroupByKey]]),(DiscreteStatsTable[GroupByKey]=DiscreteStatsTable[[#This Row],[GroupByKey]])*DiscreteStatsTable[Average])),0)</f>
        <v>0</v>
      </c>
      <c r="O422" cm="1">
        <f t="array" ref="O422">IFERROR(_xlfn.STDEV.S(IF((DiscreteStatsTable[GroupByKey]=DiscreteStatsTable[[#This Row],[GroupByKey]]),(DiscreteStatsTable[GroupByKey]=DiscreteStatsTable[[#This Row],[GroupByKey]])*DiscreteStatsTable[Average])),0)</f>
        <v>0</v>
      </c>
      <c r="P422" cm="1">
        <f t="array" ref="P422">MAX(IF((ProjectInfoTable[ProjectName]=DiscreteStatsTable[[#This Row],[ProjectName]]),(ProjectInfoTable[ProjectName]=DiscreteStatsTable[[#This Row],[ProjectName]])*ProjectInfoTable[ConfidenceInterval]))</f>
        <v>0.95</v>
      </c>
      <c r="Q422">
        <f>IF(AND(DiscreteStatsTable[[#This Row],[RepsWithStatObserved]]=1,Y422=0),200000000000000000000,IFERROR(_xlfn.T.INV.2T(1 -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2" cm="1">
        <f t="array" ref="R422">MIN(IF((DiscreteStatsTable[GroupByKey]=DiscreteStatsTable[[#This Row],[GroupByKey]]),(DiscreteStatsTable[GroupByKey]=DiscreteStatsTable[[#This Row],[GroupByKey]])*DiscreteStatsTable[Average]))</f>
        <v>0</v>
      </c>
      <c r="S422" cm="1">
        <f t="array" ref="S422">MAX(IF((DiscreteStatsTable[GroupByKey]=DiscreteStatsTable[[#This Row],[GroupByKey]]),(DiscreteStatsTable[GroupByKey]=DiscreteStatsTable[[#This Row],[GroupByKey]])*DiscreteStatsTable[Average]))</f>
        <v>0</v>
      </c>
      <c r="T422" cm="1">
        <f t="array" ref="T422">MIN(IF((DiscreteStatsTable[GroupByKey]=DiscreteStatsTable[[#This Row],[GroupByKey]]),(DiscreteStatsTable[GroupByKey]=DiscreteStatsTable[[#This Row],[GroupByKey]])*DiscreteStatsTable[Minimum]))</f>
        <v>0</v>
      </c>
      <c r="U422" cm="1">
        <f t="array" ref="U422">MAX(IF((DiscreteStatsTable[GroupByKey]=DiscreteStatsTable[[#This Row],[GroupByKey]]),(DiscreteStatsTable[GroupByKey]=DiscreteStatsTable[[#This Row],[GroupByKey]])*DiscreteStatsTable[Maximum]))</f>
        <v>0</v>
      </c>
      <c r="V422" cm="1">
        <f t="array" ref="V422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22">
        <f>IF((DiscreteStatsTable[[#This Row],[RepsRequested]]&gt;1),DiscreteStatsTable[[#This Row],[HalfWidth]],DiscreteStatsTable[[#This Row],[BatchMeansHalfWidth]])</f>
        <v>0</v>
      </c>
      <c r="X422" cm="1">
        <f t="array" ref="X422">COUNT(IF((DiscreteStatsTable[GroupByKey]=DiscreteStatsTable[[#This Row],[GroupByKey]]),(DiscreteStatsTable[GroupByKey]=DiscreteStatsTable[[#This Row],[GroupByKey]])*DiscreteStatsTable[Replication]))</f>
        <v>30</v>
      </c>
      <c r="Y422">
        <f>IF(DiscreteStatsTable[[#This Row],[RepsRequested]]=DiscreteStatsTable[[#This Row],[RepsWithStatObserved]],1,0)</f>
        <v>1</v>
      </c>
    </row>
    <row r="423" spans="1:25" x14ac:dyDescent="0.2">
      <c r="A423" t="s">
        <v>67</v>
      </c>
      <c r="B423" t="s">
        <v>70</v>
      </c>
      <c r="C423">
        <v>2</v>
      </c>
      <c r="D423" t="s">
        <v>89</v>
      </c>
      <c r="E423" t="s">
        <v>84</v>
      </c>
      <c r="F423" t="s">
        <v>85</v>
      </c>
      <c r="G423">
        <v>0</v>
      </c>
      <c r="H423">
        <v>2E+20</v>
      </c>
      <c r="I423">
        <v>0</v>
      </c>
      <c r="J423">
        <v>0</v>
      </c>
      <c r="K423">
        <v>223</v>
      </c>
      <c r="L423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23" cm="1">
        <f t="array" ref="M423">MAX(IF((ProjectInfoTable[ProjectName]=DiscreteStatsTable[[#This Row],[ProjectName]]),(ProjectInfoTable[ProjectName]=DiscreteStatsTable[[#This Row],[ProjectName]])*ProjectInfoTable[NumberOfReplications]))</f>
        <v>30</v>
      </c>
      <c r="N423" cm="1">
        <f t="array" ref="N423">IFERROR(AVERAGE(IF((DiscreteStatsTable[GroupByKey]=DiscreteStatsTable[[#This Row],[GroupByKey]]),(DiscreteStatsTable[GroupByKey]=DiscreteStatsTable[[#This Row],[GroupByKey]])*DiscreteStatsTable[Average])),0)</f>
        <v>0</v>
      </c>
      <c r="O423" cm="1">
        <f t="array" ref="O423">IFERROR(_xlfn.STDEV.S(IF((DiscreteStatsTable[GroupByKey]=DiscreteStatsTable[[#This Row],[GroupByKey]]),(DiscreteStatsTable[GroupByKey]=DiscreteStatsTable[[#This Row],[GroupByKey]])*DiscreteStatsTable[Average])),0)</f>
        <v>0</v>
      </c>
      <c r="P423" cm="1">
        <f t="array" ref="P423">MAX(IF((ProjectInfoTable[ProjectName]=DiscreteStatsTable[[#This Row],[ProjectName]]),(ProjectInfoTable[ProjectName]=DiscreteStatsTable[[#This Row],[ProjectName]])*ProjectInfoTable[ConfidenceInterval]))</f>
        <v>0.95</v>
      </c>
      <c r="Q423">
        <f>IF(AND(DiscreteStatsTable[[#This Row],[RepsWithStatObserved]]=1,Y423=0),200000000000000000000,IFERROR(_xlfn.T.INV.2T(1 -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3" cm="1">
        <f t="array" ref="R423">MIN(IF((DiscreteStatsTable[GroupByKey]=DiscreteStatsTable[[#This Row],[GroupByKey]]),(DiscreteStatsTable[GroupByKey]=DiscreteStatsTable[[#This Row],[GroupByKey]])*DiscreteStatsTable[Average]))</f>
        <v>0</v>
      </c>
      <c r="S423" cm="1">
        <f t="array" ref="S423">MAX(IF((DiscreteStatsTable[GroupByKey]=DiscreteStatsTable[[#This Row],[GroupByKey]]),(DiscreteStatsTable[GroupByKey]=DiscreteStatsTable[[#This Row],[GroupByKey]])*DiscreteStatsTable[Average]))</f>
        <v>0</v>
      </c>
      <c r="T423" cm="1">
        <f t="array" ref="T423">MIN(IF((DiscreteStatsTable[GroupByKey]=DiscreteStatsTable[[#This Row],[GroupByKey]]),(DiscreteStatsTable[GroupByKey]=DiscreteStatsTable[[#This Row],[GroupByKey]])*DiscreteStatsTable[Minimum]))</f>
        <v>0</v>
      </c>
      <c r="U423" cm="1">
        <f t="array" ref="U423">MAX(IF((DiscreteStatsTable[GroupByKey]=DiscreteStatsTable[[#This Row],[GroupByKey]]),(DiscreteStatsTable[GroupByKey]=DiscreteStatsTable[[#This Row],[GroupByKey]])*DiscreteStatsTable[Maximum]))</f>
        <v>0</v>
      </c>
      <c r="V423" cm="1">
        <f t="array" ref="V423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23">
        <f>IF((DiscreteStatsTable[[#This Row],[RepsRequested]]&gt;1),DiscreteStatsTable[[#This Row],[HalfWidth]],DiscreteStatsTable[[#This Row],[BatchMeansHalfWidth]])</f>
        <v>0</v>
      </c>
      <c r="X423" cm="1">
        <f t="array" ref="X423">COUNT(IF((DiscreteStatsTable[GroupByKey]=DiscreteStatsTable[[#This Row],[GroupByKey]]),(DiscreteStatsTable[GroupByKey]=DiscreteStatsTable[[#This Row],[GroupByKey]])*DiscreteStatsTable[Replication]))</f>
        <v>30</v>
      </c>
      <c r="Y423">
        <f>IF(DiscreteStatsTable[[#This Row],[RepsRequested]]=DiscreteStatsTable[[#This Row],[RepsWithStatObserved]],1,0)</f>
        <v>1</v>
      </c>
    </row>
    <row r="424" spans="1:25" x14ac:dyDescent="0.2">
      <c r="A424" t="s">
        <v>67</v>
      </c>
      <c r="B424" t="s">
        <v>70</v>
      </c>
      <c r="C424">
        <v>3</v>
      </c>
      <c r="D424" t="s">
        <v>89</v>
      </c>
      <c r="E424" t="s">
        <v>84</v>
      </c>
      <c r="F424" t="s">
        <v>85</v>
      </c>
      <c r="G424">
        <v>0</v>
      </c>
      <c r="H424">
        <v>2E+20</v>
      </c>
      <c r="I424">
        <v>0</v>
      </c>
      <c r="J424">
        <v>0</v>
      </c>
      <c r="K424">
        <v>187</v>
      </c>
      <c r="L424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24" cm="1">
        <f t="array" ref="M424">MAX(IF((ProjectInfoTable[ProjectName]=DiscreteStatsTable[[#This Row],[ProjectName]]),(ProjectInfoTable[ProjectName]=DiscreteStatsTable[[#This Row],[ProjectName]])*ProjectInfoTable[NumberOfReplications]))</f>
        <v>30</v>
      </c>
      <c r="N424" cm="1">
        <f t="array" ref="N424">IFERROR(AVERAGE(IF((DiscreteStatsTable[GroupByKey]=DiscreteStatsTable[[#This Row],[GroupByKey]]),(DiscreteStatsTable[GroupByKey]=DiscreteStatsTable[[#This Row],[GroupByKey]])*DiscreteStatsTable[Average])),0)</f>
        <v>0</v>
      </c>
      <c r="O424" cm="1">
        <f t="array" ref="O424">IFERROR(_xlfn.STDEV.S(IF((DiscreteStatsTable[GroupByKey]=DiscreteStatsTable[[#This Row],[GroupByKey]]),(DiscreteStatsTable[GroupByKey]=DiscreteStatsTable[[#This Row],[GroupByKey]])*DiscreteStatsTable[Average])),0)</f>
        <v>0</v>
      </c>
      <c r="P424" cm="1">
        <f t="array" ref="P424">MAX(IF((ProjectInfoTable[ProjectName]=DiscreteStatsTable[[#This Row],[ProjectName]]),(ProjectInfoTable[ProjectName]=DiscreteStatsTable[[#This Row],[ProjectName]])*ProjectInfoTable[ConfidenceInterval]))</f>
        <v>0.95</v>
      </c>
      <c r="Q424">
        <f>IF(AND(DiscreteStatsTable[[#This Row],[RepsWithStatObserved]]=1,Y424=0),200000000000000000000,IFERROR(_xlfn.T.INV.2T(1 -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4" cm="1">
        <f t="array" ref="R424">MIN(IF((DiscreteStatsTable[GroupByKey]=DiscreteStatsTable[[#This Row],[GroupByKey]]),(DiscreteStatsTable[GroupByKey]=DiscreteStatsTable[[#This Row],[GroupByKey]])*DiscreteStatsTable[Average]))</f>
        <v>0</v>
      </c>
      <c r="S424" cm="1">
        <f t="array" ref="S424">MAX(IF((DiscreteStatsTable[GroupByKey]=DiscreteStatsTable[[#This Row],[GroupByKey]]),(DiscreteStatsTable[GroupByKey]=DiscreteStatsTable[[#This Row],[GroupByKey]])*DiscreteStatsTable[Average]))</f>
        <v>0</v>
      </c>
      <c r="T424" cm="1">
        <f t="array" ref="T424">MIN(IF((DiscreteStatsTable[GroupByKey]=DiscreteStatsTable[[#This Row],[GroupByKey]]),(DiscreteStatsTable[GroupByKey]=DiscreteStatsTable[[#This Row],[GroupByKey]])*DiscreteStatsTable[Minimum]))</f>
        <v>0</v>
      </c>
      <c r="U424" cm="1">
        <f t="array" ref="U424">MAX(IF((DiscreteStatsTable[GroupByKey]=DiscreteStatsTable[[#This Row],[GroupByKey]]),(DiscreteStatsTable[GroupByKey]=DiscreteStatsTable[[#This Row],[GroupByKey]])*DiscreteStatsTable[Maximum]))</f>
        <v>0</v>
      </c>
      <c r="V424" cm="1">
        <f t="array" ref="V424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24">
        <f>IF((DiscreteStatsTable[[#This Row],[RepsRequested]]&gt;1),DiscreteStatsTable[[#This Row],[HalfWidth]],DiscreteStatsTable[[#This Row],[BatchMeansHalfWidth]])</f>
        <v>0</v>
      </c>
      <c r="X424" cm="1">
        <f t="array" ref="X424">COUNT(IF((DiscreteStatsTable[GroupByKey]=DiscreteStatsTable[[#This Row],[GroupByKey]]),(DiscreteStatsTable[GroupByKey]=DiscreteStatsTable[[#This Row],[GroupByKey]])*DiscreteStatsTable[Replication]))</f>
        <v>30</v>
      </c>
      <c r="Y424">
        <f>IF(DiscreteStatsTable[[#This Row],[RepsRequested]]=DiscreteStatsTable[[#This Row],[RepsWithStatObserved]],1,0)</f>
        <v>1</v>
      </c>
    </row>
    <row r="425" spans="1:25" x14ac:dyDescent="0.2">
      <c r="A425" t="s">
        <v>67</v>
      </c>
      <c r="B425" t="s">
        <v>70</v>
      </c>
      <c r="C425">
        <v>4</v>
      </c>
      <c r="D425" t="s">
        <v>89</v>
      </c>
      <c r="E425" t="s">
        <v>84</v>
      </c>
      <c r="F425" t="s">
        <v>85</v>
      </c>
      <c r="G425">
        <v>0</v>
      </c>
      <c r="H425">
        <v>2E+20</v>
      </c>
      <c r="I425">
        <v>0</v>
      </c>
      <c r="J425">
        <v>0</v>
      </c>
      <c r="K425">
        <v>199</v>
      </c>
      <c r="L425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25" cm="1">
        <f t="array" ref="M425">MAX(IF((ProjectInfoTable[ProjectName]=DiscreteStatsTable[[#This Row],[ProjectName]]),(ProjectInfoTable[ProjectName]=DiscreteStatsTable[[#This Row],[ProjectName]])*ProjectInfoTable[NumberOfReplications]))</f>
        <v>30</v>
      </c>
      <c r="N425" cm="1">
        <f t="array" ref="N425">IFERROR(AVERAGE(IF((DiscreteStatsTable[GroupByKey]=DiscreteStatsTable[[#This Row],[GroupByKey]]),(DiscreteStatsTable[GroupByKey]=DiscreteStatsTable[[#This Row],[GroupByKey]])*DiscreteStatsTable[Average])),0)</f>
        <v>0</v>
      </c>
      <c r="O425" cm="1">
        <f t="array" ref="O425">IFERROR(_xlfn.STDEV.S(IF((DiscreteStatsTable[GroupByKey]=DiscreteStatsTable[[#This Row],[GroupByKey]]),(DiscreteStatsTable[GroupByKey]=DiscreteStatsTable[[#This Row],[GroupByKey]])*DiscreteStatsTable[Average])),0)</f>
        <v>0</v>
      </c>
      <c r="P425" cm="1">
        <f t="array" ref="P425">MAX(IF((ProjectInfoTable[ProjectName]=DiscreteStatsTable[[#This Row],[ProjectName]]),(ProjectInfoTable[ProjectName]=DiscreteStatsTable[[#This Row],[ProjectName]])*ProjectInfoTable[ConfidenceInterval]))</f>
        <v>0.95</v>
      </c>
      <c r="Q425">
        <f>IF(AND(DiscreteStatsTable[[#This Row],[RepsWithStatObserved]]=1,Y425=0),200000000000000000000,IFERROR(_xlfn.T.INV.2T(1 -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5" cm="1">
        <f t="array" ref="R425">MIN(IF((DiscreteStatsTable[GroupByKey]=DiscreteStatsTable[[#This Row],[GroupByKey]]),(DiscreteStatsTable[GroupByKey]=DiscreteStatsTable[[#This Row],[GroupByKey]])*DiscreteStatsTable[Average]))</f>
        <v>0</v>
      </c>
      <c r="S425" cm="1">
        <f t="array" ref="S425">MAX(IF((DiscreteStatsTable[GroupByKey]=DiscreteStatsTable[[#This Row],[GroupByKey]]),(DiscreteStatsTable[GroupByKey]=DiscreteStatsTable[[#This Row],[GroupByKey]])*DiscreteStatsTable[Average]))</f>
        <v>0</v>
      </c>
      <c r="T425" cm="1">
        <f t="array" ref="T425">MIN(IF((DiscreteStatsTable[GroupByKey]=DiscreteStatsTable[[#This Row],[GroupByKey]]),(DiscreteStatsTable[GroupByKey]=DiscreteStatsTable[[#This Row],[GroupByKey]])*DiscreteStatsTable[Minimum]))</f>
        <v>0</v>
      </c>
      <c r="U425" cm="1">
        <f t="array" ref="U425">MAX(IF((DiscreteStatsTable[GroupByKey]=DiscreteStatsTable[[#This Row],[GroupByKey]]),(DiscreteStatsTable[GroupByKey]=DiscreteStatsTable[[#This Row],[GroupByKey]])*DiscreteStatsTable[Maximum]))</f>
        <v>0</v>
      </c>
      <c r="V425" cm="1">
        <f t="array" ref="V425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25">
        <f>IF((DiscreteStatsTable[[#This Row],[RepsRequested]]&gt;1),DiscreteStatsTable[[#This Row],[HalfWidth]],DiscreteStatsTable[[#This Row],[BatchMeansHalfWidth]])</f>
        <v>0</v>
      </c>
      <c r="X425" cm="1">
        <f t="array" ref="X425">COUNT(IF((DiscreteStatsTable[GroupByKey]=DiscreteStatsTable[[#This Row],[GroupByKey]]),(DiscreteStatsTable[GroupByKey]=DiscreteStatsTable[[#This Row],[GroupByKey]])*DiscreteStatsTable[Replication]))</f>
        <v>30</v>
      </c>
      <c r="Y425">
        <f>IF(DiscreteStatsTable[[#This Row],[RepsRequested]]=DiscreteStatsTable[[#This Row],[RepsWithStatObserved]],1,0)</f>
        <v>1</v>
      </c>
    </row>
    <row r="426" spans="1:25" x14ac:dyDescent="0.2">
      <c r="A426" t="s">
        <v>67</v>
      </c>
      <c r="B426" t="s">
        <v>70</v>
      </c>
      <c r="C426">
        <v>5</v>
      </c>
      <c r="D426" t="s">
        <v>89</v>
      </c>
      <c r="E426" t="s">
        <v>84</v>
      </c>
      <c r="F426" t="s">
        <v>85</v>
      </c>
      <c r="G426">
        <v>0</v>
      </c>
      <c r="H426">
        <v>2E+20</v>
      </c>
      <c r="I426">
        <v>0</v>
      </c>
      <c r="J426">
        <v>0</v>
      </c>
      <c r="K426">
        <v>198</v>
      </c>
      <c r="L426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26" cm="1">
        <f t="array" ref="M426">MAX(IF((ProjectInfoTable[ProjectName]=DiscreteStatsTable[[#This Row],[ProjectName]]),(ProjectInfoTable[ProjectName]=DiscreteStatsTable[[#This Row],[ProjectName]])*ProjectInfoTable[NumberOfReplications]))</f>
        <v>30</v>
      </c>
      <c r="N426" cm="1">
        <f t="array" ref="N426">IFERROR(AVERAGE(IF((DiscreteStatsTable[GroupByKey]=DiscreteStatsTable[[#This Row],[GroupByKey]]),(DiscreteStatsTable[GroupByKey]=DiscreteStatsTable[[#This Row],[GroupByKey]])*DiscreteStatsTable[Average])),0)</f>
        <v>0</v>
      </c>
      <c r="O426" cm="1">
        <f t="array" ref="O426">IFERROR(_xlfn.STDEV.S(IF((DiscreteStatsTable[GroupByKey]=DiscreteStatsTable[[#This Row],[GroupByKey]]),(DiscreteStatsTable[GroupByKey]=DiscreteStatsTable[[#This Row],[GroupByKey]])*DiscreteStatsTable[Average])),0)</f>
        <v>0</v>
      </c>
      <c r="P426" cm="1">
        <f t="array" ref="P426">MAX(IF((ProjectInfoTable[ProjectName]=DiscreteStatsTable[[#This Row],[ProjectName]]),(ProjectInfoTable[ProjectName]=DiscreteStatsTable[[#This Row],[ProjectName]])*ProjectInfoTable[ConfidenceInterval]))</f>
        <v>0.95</v>
      </c>
      <c r="Q426">
        <f>IF(AND(DiscreteStatsTable[[#This Row],[RepsWithStatObserved]]=1,Y426=0),200000000000000000000,IFERROR(_xlfn.T.INV.2T(1 -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6" cm="1">
        <f t="array" ref="R426">MIN(IF((DiscreteStatsTable[GroupByKey]=DiscreteStatsTable[[#This Row],[GroupByKey]]),(DiscreteStatsTable[GroupByKey]=DiscreteStatsTable[[#This Row],[GroupByKey]])*DiscreteStatsTable[Average]))</f>
        <v>0</v>
      </c>
      <c r="S426" cm="1">
        <f t="array" ref="S426">MAX(IF((DiscreteStatsTable[GroupByKey]=DiscreteStatsTable[[#This Row],[GroupByKey]]),(DiscreteStatsTable[GroupByKey]=DiscreteStatsTable[[#This Row],[GroupByKey]])*DiscreteStatsTable[Average]))</f>
        <v>0</v>
      </c>
      <c r="T426" cm="1">
        <f t="array" ref="T426">MIN(IF((DiscreteStatsTable[GroupByKey]=DiscreteStatsTable[[#This Row],[GroupByKey]]),(DiscreteStatsTable[GroupByKey]=DiscreteStatsTable[[#This Row],[GroupByKey]])*DiscreteStatsTable[Minimum]))</f>
        <v>0</v>
      </c>
      <c r="U426" cm="1">
        <f t="array" ref="U426">MAX(IF((DiscreteStatsTable[GroupByKey]=DiscreteStatsTable[[#This Row],[GroupByKey]]),(DiscreteStatsTable[GroupByKey]=DiscreteStatsTable[[#This Row],[GroupByKey]])*DiscreteStatsTable[Maximum]))</f>
        <v>0</v>
      </c>
      <c r="V426" cm="1">
        <f t="array" ref="V426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26">
        <f>IF((DiscreteStatsTable[[#This Row],[RepsRequested]]&gt;1),DiscreteStatsTable[[#This Row],[HalfWidth]],DiscreteStatsTable[[#This Row],[BatchMeansHalfWidth]])</f>
        <v>0</v>
      </c>
      <c r="X426" cm="1">
        <f t="array" ref="X426">COUNT(IF((DiscreteStatsTable[GroupByKey]=DiscreteStatsTable[[#This Row],[GroupByKey]]),(DiscreteStatsTable[GroupByKey]=DiscreteStatsTable[[#This Row],[GroupByKey]])*DiscreteStatsTable[Replication]))</f>
        <v>30</v>
      </c>
      <c r="Y426">
        <f>IF(DiscreteStatsTable[[#This Row],[RepsRequested]]=DiscreteStatsTable[[#This Row],[RepsWithStatObserved]],1,0)</f>
        <v>1</v>
      </c>
    </row>
    <row r="427" spans="1:25" x14ac:dyDescent="0.2">
      <c r="A427" t="s">
        <v>67</v>
      </c>
      <c r="B427" t="s">
        <v>70</v>
      </c>
      <c r="C427">
        <v>6</v>
      </c>
      <c r="D427" t="s">
        <v>89</v>
      </c>
      <c r="E427" t="s">
        <v>84</v>
      </c>
      <c r="F427" t="s">
        <v>85</v>
      </c>
      <c r="G427">
        <v>0</v>
      </c>
      <c r="H427">
        <v>2E+20</v>
      </c>
      <c r="I427">
        <v>0</v>
      </c>
      <c r="J427">
        <v>0</v>
      </c>
      <c r="K427">
        <v>225</v>
      </c>
      <c r="L427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27" cm="1">
        <f t="array" ref="M427">MAX(IF((ProjectInfoTable[ProjectName]=DiscreteStatsTable[[#This Row],[ProjectName]]),(ProjectInfoTable[ProjectName]=DiscreteStatsTable[[#This Row],[ProjectName]])*ProjectInfoTable[NumberOfReplications]))</f>
        <v>30</v>
      </c>
      <c r="N427" cm="1">
        <f t="array" ref="N427">IFERROR(AVERAGE(IF((DiscreteStatsTable[GroupByKey]=DiscreteStatsTable[[#This Row],[GroupByKey]]),(DiscreteStatsTable[GroupByKey]=DiscreteStatsTable[[#This Row],[GroupByKey]])*DiscreteStatsTable[Average])),0)</f>
        <v>0</v>
      </c>
      <c r="O427" cm="1">
        <f t="array" ref="O427">IFERROR(_xlfn.STDEV.S(IF((DiscreteStatsTable[GroupByKey]=DiscreteStatsTable[[#This Row],[GroupByKey]]),(DiscreteStatsTable[GroupByKey]=DiscreteStatsTable[[#This Row],[GroupByKey]])*DiscreteStatsTable[Average])),0)</f>
        <v>0</v>
      </c>
      <c r="P427" cm="1">
        <f t="array" ref="P427">MAX(IF((ProjectInfoTable[ProjectName]=DiscreteStatsTable[[#This Row],[ProjectName]]),(ProjectInfoTable[ProjectName]=DiscreteStatsTable[[#This Row],[ProjectName]])*ProjectInfoTable[ConfidenceInterval]))</f>
        <v>0.95</v>
      </c>
      <c r="Q427">
        <f>IF(AND(DiscreteStatsTable[[#This Row],[RepsWithStatObserved]]=1,Y427=0),200000000000000000000,IFERROR(_xlfn.T.INV.2T(1 -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7" cm="1">
        <f t="array" ref="R427">MIN(IF((DiscreteStatsTable[GroupByKey]=DiscreteStatsTable[[#This Row],[GroupByKey]]),(DiscreteStatsTable[GroupByKey]=DiscreteStatsTable[[#This Row],[GroupByKey]])*DiscreteStatsTable[Average]))</f>
        <v>0</v>
      </c>
      <c r="S427" cm="1">
        <f t="array" ref="S427">MAX(IF((DiscreteStatsTable[GroupByKey]=DiscreteStatsTable[[#This Row],[GroupByKey]]),(DiscreteStatsTable[GroupByKey]=DiscreteStatsTable[[#This Row],[GroupByKey]])*DiscreteStatsTable[Average]))</f>
        <v>0</v>
      </c>
      <c r="T427" cm="1">
        <f t="array" ref="T427">MIN(IF((DiscreteStatsTable[GroupByKey]=DiscreteStatsTable[[#This Row],[GroupByKey]]),(DiscreteStatsTable[GroupByKey]=DiscreteStatsTable[[#This Row],[GroupByKey]])*DiscreteStatsTable[Minimum]))</f>
        <v>0</v>
      </c>
      <c r="U427" cm="1">
        <f t="array" ref="U427">MAX(IF((DiscreteStatsTable[GroupByKey]=DiscreteStatsTable[[#This Row],[GroupByKey]]),(DiscreteStatsTable[GroupByKey]=DiscreteStatsTable[[#This Row],[GroupByKey]])*DiscreteStatsTable[Maximum]))</f>
        <v>0</v>
      </c>
      <c r="V427" cm="1">
        <f t="array" ref="V427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27">
        <f>IF((DiscreteStatsTable[[#This Row],[RepsRequested]]&gt;1),DiscreteStatsTable[[#This Row],[HalfWidth]],DiscreteStatsTable[[#This Row],[BatchMeansHalfWidth]])</f>
        <v>0</v>
      </c>
      <c r="X427" cm="1">
        <f t="array" ref="X427">COUNT(IF((DiscreteStatsTable[GroupByKey]=DiscreteStatsTable[[#This Row],[GroupByKey]]),(DiscreteStatsTable[GroupByKey]=DiscreteStatsTable[[#This Row],[GroupByKey]])*DiscreteStatsTable[Replication]))</f>
        <v>30</v>
      </c>
      <c r="Y427">
        <f>IF(DiscreteStatsTable[[#This Row],[RepsRequested]]=DiscreteStatsTable[[#This Row],[RepsWithStatObserved]],1,0)</f>
        <v>1</v>
      </c>
    </row>
    <row r="428" spans="1:25" x14ac:dyDescent="0.2">
      <c r="A428" t="s">
        <v>67</v>
      </c>
      <c r="B428" t="s">
        <v>70</v>
      </c>
      <c r="C428">
        <v>7</v>
      </c>
      <c r="D428" t="s">
        <v>89</v>
      </c>
      <c r="E428" t="s">
        <v>84</v>
      </c>
      <c r="F428" t="s">
        <v>85</v>
      </c>
      <c r="G428">
        <v>0</v>
      </c>
      <c r="H428">
        <v>2E+20</v>
      </c>
      <c r="I428">
        <v>0</v>
      </c>
      <c r="J428">
        <v>0</v>
      </c>
      <c r="K428">
        <v>195</v>
      </c>
      <c r="L428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28" cm="1">
        <f t="array" ref="M428">MAX(IF((ProjectInfoTable[ProjectName]=DiscreteStatsTable[[#This Row],[ProjectName]]),(ProjectInfoTable[ProjectName]=DiscreteStatsTable[[#This Row],[ProjectName]])*ProjectInfoTable[NumberOfReplications]))</f>
        <v>30</v>
      </c>
      <c r="N428" cm="1">
        <f t="array" ref="N428">IFERROR(AVERAGE(IF((DiscreteStatsTable[GroupByKey]=DiscreteStatsTable[[#This Row],[GroupByKey]]),(DiscreteStatsTable[GroupByKey]=DiscreteStatsTable[[#This Row],[GroupByKey]])*DiscreteStatsTable[Average])),0)</f>
        <v>0</v>
      </c>
      <c r="O428" cm="1">
        <f t="array" ref="O428">IFERROR(_xlfn.STDEV.S(IF((DiscreteStatsTable[GroupByKey]=DiscreteStatsTable[[#This Row],[GroupByKey]]),(DiscreteStatsTable[GroupByKey]=DiscreteStatsTable[[#This Row],[GroupByKey]])*DiscreteStatsTable[Average])),0)</f>
        <v>0</v>
      </c>
      <c r="P428" cm="1">
        <f t="array" ref="P428">MAX(IF((ProjectInfoTable[ProjectName]=DiscreteStatsTable[[#This Row],[ProjectName]]),(ProjectInfoTable[ProjectName]=DiscreteStatsTable[[#This Row],[ProjectName]])*ProjectInfoTable[ConfidenceInterval]))</f>
        <v>0.95</v>
      </c>
      <c r="Q428">
        <f>IF(AND(DiscreteStatsTable[[#This Row],[RepsWithStatObserved]]=1,Y428=0),200000000000000000000,IFERROR(_xlfn.T.INV.2T(1 -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8" cm="1">
        <f t="array" ref="R428">MIN(IF((DiscreteStatsTable[GroupByKey]=DiscreteStatsTable[[#This Row],[GroupByKey]]),(DiscreteStatsTable[GroupByKey]=DiscreteStatsTable[[#This Row],[GroupByKey]])*DiscreteStatsTable[Average]))</f>
        <v>0</v>
      </c>
      <c r="S428" cm="1">
        <f t="array" ref="S428">MAX(IF((DiscreteStatsTable[GroupByKey]=DiscreteStatsTable[[#This Row],[GroupByKey]]),(DiscreteStatsTable[GroupByKey]=DiscreteStatsTable[[#This Row],[GroupByKey]])*DiscreteStatsTable[Average]))</f>
        <v>0</v>
      </c>
      <c r="T428" cm="1">
        <f t="array" ref="T428">MIN(IF((DiscreteStatsTable[GroupByKey]=DiscreteStatsTable[[#This Row],[GroupByKey]]),(DiscreteStatsTable[GroupByKey]=DiscreteStatsTable[[#This Row],[GroupByKey]])*DiscreteStatsTable[Minimum]))</f>
        <v>0</v>
      </c>
      <c r="U428" cm="1">
        <f t="array" ref="U428">MAX(IF((DiscreteStatsTable[GroupByKey]=DiscreteStatsTable[[#This Row],[GroupByKey]]),(DiscreteStatsTable[GroupByKey]=DiscreteStatsTable[[#This Row],[GroupByKey]])*DiscreteStatsTable[Maximum]))</f>
        <v>0</v>
      </c>
      <c r="V428" cm="1">
        <f t="array" ref="V428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28">
        <f>IF((DiscreteStatsTable[[#This Row],[RepsRequested]]&gt;1),DiscreteStatsTable[[#This Row],[HalfWidth]],DiscreteStatsTable[[#This Row],[BatchMeansHalfWidth]])</f>
        <v>0</v>
      </c>
      <c r="X428" cm="1">
        <f t="array" ref="X428">COUNT(IF((DiscreteStatsTable[GroupByKey]=DiscreteStatsTable[[#This Row],[GroupByKey]]),(DiscreteStatsTable[GroupByKey]=DiscreteStatsTable[[#This Row],[GroupByKey]])*DiscreteStatsTable[Replication]))</f>
        <v>30</v>
      </c>
      <c r="Y428">
        <f>IF(DiscreteStatsTable[[#This Row],[RepsRequested]]=DiscreteStatsTable[[#This Row],[RepsWithStatObserved]],1,0)</f>
        <v>1</v>
      </c>
    </row>
    <row r="429" spans="1:25" x14ac:dyDescent="0.2">
      <c r="A429" t="s">
        <v>67</v>
      </c>
      <c r="B429" t="s">
        <v>70</v>
      </c>
      <c r="C429">
        <v>8</v>
      </c>
      <c r="D429" t="s">
        <v>89</v>
      </c>
      <c r="E429" t="s">
        <v>84</v>
      </c>
      <c r="F429" t="s">
        <v>85</v>
      </c>
      <c r="G429">
        <v>0</v>
      </c>
      <c r="H429">
        <v>2E+20</v>
      </c>
      <c r="I429">
        <v>0</v>
      </c>
      <c r="J429">
        <v>0</v>
      </c>
      <c r="K429">
        <v>210</v>
      </c>
      <c r="L429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29" cm="1">
        <f t="array" ref="M429">MAX(IF((ProjectInfoTable[ProjectName]=DiscreteStatsTable[[#This Row],[ProjectName]]),(ProjectInfoTable[ProjectName]=DiscreteStatsTable[[#This Row],[ProjectName]])*ProjectInfoTable[NumberOfReplications]))</f>
        <v>30</v>
      </c>
      <c r="N429" cm="1">
        <f t="array" ref="N429">IFERROR(AVERAGE(IF((DiscreteStatsTable[GroupByKey]=DiscreteStatsTable[[#This Row],[GroupByKey]]),(DiscreteStatsTable[GroupByKey]=DiscreteStatsTable[[#This Row],[GroupByKey]])*DiscreteStatsTable[Average])),0)</f>
        <v>0</v>
      </c>
      <c r="O429" cm="1">
        <f t="array" ref="O429">IFERROR(_xlfn.STDEV.S(IF((DiscreteStatsTable[GroupByKey]=DiscreteStatsTable[[#This Row],[GroupByKey]]),(DiscreteStatsTable[GroupByKey]=DiscreteStatsTable[[#This Row],[GroupByKey]])*DiscreteStatsTable[Average])),0)</f>
        <v>0</v>
      </c>
      <c r="P429" cm="1">
        <f t="array" ref="P429">MAX(IF((ProjectInfoTable[ProjectName]=DiscreteStatsTable[[#This Row],[ProjectName]]),(ProjectInfoTable[ProjectName]=DiscreteStatsTable[[#This Row],[ProjectName]])*ProjectInfoTable[ConfidenceInterval]))</f>
        <v>0.95</v>
      </c>
      <c r="Q429">
        <f>IF(AND(DiscreteStatsTable[[#This Row],[RepsWithStatObserved]]=1,Y429=0),200000000000000000000,IFERROR(_xlfn.T.INV.2T(1 -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29" cm="1">
        <f t="array" ref="R429">MIN(IF((DiscreteStatsTable[GroupByKey]=DiscreteStatsTable[[#This Row],[GroupByKey]]),(DiscreteStatsTable[GroupByKey]=DiscreteStatsTable[[#This Row],[GroupByKey]])*DiscreteStatsTable[Average]))</f>
        <v>0</v>
      </c>
      <c r="S429" cm="1">
        <f t="array" ref="S429">MAX(IF((DiscreteStatsTable[GroupByKey]=DiscreteStatsTable[[#This Row],[GroupByKey]]),(DiscreteStatsTable[GroupByKey]=DiscreteStatsTable[[#This Row],[GroupByKey]])*DiscreteStatsTable[Average]))</f>
        <v>0</v>
      </c>
      <c r="T429" cm="1">
        <f t="array" ref="T429">MIN(IF((DiscreteStatsTable[GroupByKey]=DiscreteStatsTable[[#This Row],[GroupByKey]]),(DiscreteStatsTable[GroupByKey]=DiscreteStatsTable[[#This Row],[GroupByKey]])*DiscreteStatsTable[Minimum]))</f>
        <v>0</v>
      </c>
      <c r="U429" cm="1">
        <f t="array" ref="U429">MAX(IF((DiscreteStatsTable[GroupByKey]=DiscreteStatsTable[[#This Row],[GroupByKey]]),(DiscreteStatsTable[GroupByKey]=DiscreteStatsTable[[#This Row],[GroupByKey]])*DiscreteStatsTable[Maximum]))</f>
        <v>0</v>
      </c>
      <c r="V429" cm="1">
        <f t="array" ref="V429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29">
        <f>IF((DiscreteStatsTable[[#This Row],[RepsRequested]]&gt;1),DiscreteStatsTable[[#This Row],[HalfWidth]],DiscreteStatsTable[[#This Row],[BatchMeansHalfWidth]])</f>
        <v>0</v>
      </c>
      <c r="X429" cm="1">
        <f t="array" ref="X429">COUNT(IF((DiscreteStatsTable[GroupByKey]=DiscreteStatsTable[[#This Row],[GroupByKey]]),(DiscreteStatsTable[GroupByKey]=DiscreteStatsTable[[#This Row],[GroupByKey]])*DiscreteStatsTable[Replication]))</f>
        <v>30</v>
      </c>
      <c r="Y429">
        <f>IF(DiscreteStatsTable[[#This Row],[RepsRequested]]=DiscreteStatsTable[[#This Row],[RepsWithStatObserved]],1,0)</f>
        <v>1</v>
      </c>
    </row>
    <row r="430" spans="1:25" x14ac:dyDescent="0.2">
      <c r="A430" t="s">
        <v>67</v>
      </c>
      <c r="B430" t="s">
        <v>70</v>
      </c>
      <c r="C430">
        <v>9</v>
      </c>
      <c r="D430" t="s">
        <v>89</v>
      </c>
      <c r="E430" t="s">
        <v>84</v>
      </c>
      <c r="F430" t="s">
        <v>85</v>
      </c>
      <c r="G430">
        <v>0</v>
      </c>
      <c r="H430">
        <v>2E+20</v>
      </c>
      <c r="I430">
        <v>0</v>
      </c>
      <c r="J430">
        <v>0</v>
      </c>
      <c r="K430">
        <v>216</v>
      </c>
      <c r="L430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30" cm="1">
        <f t="array" ref="M430">MAX(IF((ProjectInfoTable[ProjectName]=DiscreteStatsTable[[#This Row],[ProjectName]]),(ProjectInfoTable[ProjectName]=DiscreteStatsTable[[#This Row],[ProjectName]])*ProjectInfoTable[NumberOfReplications]))</f>
        <v>30</v>
      </c>
      <c r="N430" cm="1">
        <f t="array" ref="N430">IFERROR(AVERAGE(IF((DiscreteStatsTable[GroupByKey]=DiscreteStatsTable[[#This Row],[GroupByKey]]),(DiscreteStatsTable[GroupByKey]=DiscreteStatsTable[[#This Row],[GroupByKey]])*DiscreteStatsTable[Average])),0)</f>
        <v>0</v>
      </c>
      <c r="O430" cm="1">
        <f t="array" ref="O430">IFERROR(_xlfn.STDEV.S(IF((DiscreteStatsTable[GroupByKey]=DiscreteStatsTable[[#This Row],[GroupByKey]]),(DiscreteStatsTable[GroupByKey]=DiscreteStatsTable[[#This Row],[GroupByKey]])*DiscreteStatsTable[Average])),0)</f>
        <v>0</v>
      </c>
      <c r="P430" cm="1">
        <f t="array" ref="P430">MAX(IF((ProjectInfoTable[ProjectName]=DiscreteStatsTable[[#This Row],[ProjectName]]),(ProjectInfoTable[ProjectName]=DiscreteStatsTable[[#This Row],[ProjectName]])*ProjectInfoTable[ConfidenceInterval]))</f>
        <v>0.95</v>
      </c>
      <c r="Q430">
        <f>IF(AND(DiscreteStatsTable[[#This Row],[RepsWithStatObserved]]=1,Y430=0),200000000000000000000,IFERROR(_xlfn.T.INV.2T(1 -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0" cm="1">
        <f t="array" ref="R430">MIN(IF((DiscreteStatsTable[GroupByKey]=DiscreteStatsTable[[#This Row],[GroupByKey]]),(DiscreteStatsTable[GroupByKey]=DiscreteStatsTable[[#This Row],[GroupByKey]])*DiscreteStatsTable[Average]))</f>
        <v>0</v>
      </c>
      <c r="S430" cm="1">
        <f t="array" ref="S430">MAX(IF((DiscreteStatsTable[GroupByKey]=DiscreteStatsTable[[#This Row],[GroupByKey]]),(DiscreteStatsTable[GroupByKey]=DiscreteStatsTable[[#This Row],[GroupByKey]])*DiscreteStatsTable[Average]))</f>
        <v>0</v>
      </c>
      <c r="T430" cm="1">
        <f t="array" ref="T430">MIN(IF((DiscreteStatsTable[GroupByKey]=DiscreteStatsTable[[#This Row],[GroupByKey]]),(DiscreteStatsTable[GroupByKey]=DiscreteStatsTable[[#This Row],[GroupByKey]])*DiscreteStatsTable[Minimum]))</f>
        <v>0</v>
      </c>
      <c r="U430" cm="1">
        <f t="array" ref="U430">MAX(IF((DiscreteStatsTable[GroupByKey]=DiscreteStatsTable[[#This Row],[GroupByKey]]),(DiscreteStatsTable[GroupByKey]=DiscreteStatsTable[[#This Row],[GroupByKey]])*DiscreteStatsTable[Maximum]))</f>
        <v>0</v>
      </c>
      <c r="V430" cm="1">
        <f t="array" ref="V430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30">
        <f>IF((DiscreteStatsTable[[#This Row],[RepsRequested]]&gt;1),DiscreteStatsTable[[#This Row],[HalfWidth]],DiscreteStatsTable[[#This Row],[BatchMeansHalfWidth]])</f>
        <v>0</v>
      </c>
      <c r="X430" cm="1">
        <f t="array" ref="X430">COUNT(IF((DiscreteStatsTable[GroupByKey]=DiscreteStatsTable[[#This Row],[GroupByKey]]),(DiscreteStatsTable[GroupByKey]=DiscreteStatsTable[[#This Row],[GroupByKey]])*DiscreteStatsTable[Replication]))</f>
        <v>30</v>
      </c>
      <c r="Y430">
        <f>IF(DiscreteStatsTable[[#This Row],[RepsRequested]]=DiscreteStatsTable[[#This Row],[RepsWithStatObserved]],1,0)</f>
        <v>1</v>
      </c>
    </row>
    <row r="431" spans="1:25" x14ac:dyDescent="0.2">
      <c r="A431" t="s">
        <v>67</v>
      </c>
      <c r="B431" t="s">
        <v>70</v>
      </c>
      <c r="C431">
        <v>10</v>
      </c>
      <c r="D431" t="s">
        <v>89</v>
      </c>
      <c r="E431" t="s">
        <v>84</v>
      </c>
      <c r="F431" t="s">
        <v>85</v>
      </c>
      <c r="G431">
        <v>0</v>
      </c>
      <c r="H431">
        <v>2E+20</v>
      </c>
      <c r="I431">
        <v>0</v>
      </c>
      <c r="J431">
        <v>0</v>
      </c>
      <c r="K431">
        <v>210</v>
      </c>
      <c r="L431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31" cm="1">
        <f t="array" ref="M431">MAX(IF((ProjectInfoTable[ProjectName]=DiscreteStatsTable[[#This Row],[ProjectName]]),(ProjectInfoTable[ProjectName]=DiscreteStatsTable[[#This Row],[ProjectName]])*ProjectInfoTable[NumberOfReplications]))</f>
        <v>30</v>
      </c>
      <c r="N431" cm="1">
        <f t="array" ref="N431">IFERROR(AVERAGE(IF((DiscreteStatsTable[GroupByKey]=DiscreteStatsTable[[#This Row],[GroupByKey]]),(DiscreteStatsTable[GroupByKey]=DiscreteStatsTable[[#This Row],[GroupByKey]])*DiscreteStatsTable[Average])),0)</f>
        <v>0</v>
      </c>
      <c r="O431" cm="1">
        <f t="array" ref="O431">IFERROR(_xlfn.STDEV.S(IF((DiscreteStatsTable[GroupByKey]=DiscreteStatsTable[[#This Row],[GroupByKey]]),(DiscreteStatsTable[GroupByKey]=DiscreteStatsTable[[#This Row],[GroupByKey]])*DiscreteStatsTable[Average])),0)</f>
        <v>0</v>
      </c>
      <c r="P431" cm="1">
        <f t="array" ref="P431">MAX(IF((ProjectInfoTable[ProjectName]=DiscreteStatsTable[[#This Row],[ProjectName]]),(ProjectInfoTable[ProjectName]=DiscreteStatsTable[[#This Row],[ProjectName]])*ProjectInfoTable[ConfidenceInterval]))</f>
        <v>0.95</v>
      </c>
      <c r="Q431">
        <f>IF(AND(DiscreteStatsTable[[#This Row],[RepsWithStatObserved]]=1,Y431=0),200000000000000000000,IFERROR(_xlfn.T.INV.2T(1 -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1" cm="1">
        <f t="array" ref="R431">MIN(IF((DiscreteStatsTable[GroupByKey]=DiscreteStatsTable[[#This Row],[GroupByKey]]),(DiscreteStatsTable[GroupByKey]=DiscreteStatsTable[[#This Row],[GroupByKey]])*DiscreteStatsTable[Average]))</f>
        <v>0</v>
      </c>
      <c r="S431" cm="1">
        <f t="array" ref="S431">MAX(IF((DiscreteStatsTable[GroupByKey]=DiscreteStatsTable[[#This Row],[GroupByKey]]),(DiscreteStatsTable[GroupByKey]=DiscreteStatsTable[[#This Row],[GroupByKey]])*DiscreteStatsTable[Average]))</f>
        <v>0</v>
      </c>
      <c r="T431" cm="1">
        <f t="array" ref="T431">MIN(IF((DiscreteStatsTable[GroupByKey]=DiscreteStatsTable[[#This Row],[GroupByKey]]),(DiscreteStatsTable[GroupByKey]=DiscreteStatsTable[[#This Row],[GroupByKey]])*DiscreteStatsTable[Minimum]))</f>
        <v>0</v>
      </c>
      <c r="U431" cm="1">
        <f t="array" ref="U431">MAX(IF((DiscreteStatsTable[GroupByKey]=DiscreteStatsTable[[#This Row],[GroupByKey]]),(DiscreteStatsTable[GroupByKey]=DiscreteStatsTable[[#This Row],[GroupByKey]])*DiscreteStatsTable[Maximum]))</f>
        <v>0</v>
      </c>
      <c r="V431" cm="1">
        <f t="array" ref="V431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31">
        <f>IF((DiscreteStatsTable[[#This Row],[RepsRequested]]&gt;1),DiscreteStatsTable[[#This Row],[HalfWidth]],DiscreteStatsTable[[#This Row],[BatchMeansHalfWidth]])</f>
        <v>0</v>
      </c>
      <c r="X431" cm="1">
        <f t="array" ref="X431">COUNT(IF((DiscreteStatsTable[GroupByKey]=DiscreteStatsTable[[#This Row],[GroupByKey]]),(DiscreteStatsTable[GroupByKey]=DiscreteStatsTable[[#This Row],[GroupByKey]])*DiscreteStatsTable[Replication]))</f>
        <v>30</v>
      </c>
      <c r="Y431">
        <f>IF(DiscreteStatsTable[[#This Row],[RepsRequested]]=DiscreteStatsTable[[#This Row],[RepsWithStatObserved]],1,0)</f>
        <v>1</v>
      </c>
    </row>
    <row r="432" spans="1:25" x14ac:dyDescent="0.2">
      <c r="A432" t="s">
        <v>67</v>
      </c>
      <c r="B432" t="s">
        <v>70</v>
      </c>
      <c r="C432">
        <v>11</v>
      </c>
      <c r="D432" t="s">
        <v>89</v>
      </c>
      <c r="E432" t="s">
        <v>84</v>
      </c>
      <c r="F432" t="s">
        <v>85</v>
      </c>
      <c r="G432">
        <v>0</v>
      </c>
      <c r="H432">
        <v>2E+20</v>
      </c>
      <c r="I432">
        <v>0</v>
      </c>
      <c r="J432">
        <v>0</v>
      </c>
      <c r="K432">
        <v>222</v>
      </c>
      <c r="L432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32" cm="1">
        <f t="array" ref="M432">MAX(IF((ProjectInfoTable[ProjectName]=DiscreteStatsTable[[#This Row],[ProjectName]]),(ProjectInfoTable[ProjectName]=DiscreteStatsTable[[#This Row],[ProjectName]])*ProjectInfoTable[NumberOfReplications]))</f>
        <v>30</v>
      </c>
      <c r="N432" cm="1">
        <f t="array" ref="N432">IFERROR(AVERAGE(IF((DiscreteStatsTable[GroupByKey]=DiscreteStatsTable[[#This Row],[GroupByKey]]),(DiscreteStatsTable[GroupByKey]=DiscreteStatsTable[[#This Row],[GroupByKey]])*DiscreteStatsTable[Average])),0)</f>
        <v>0</v>
      </c>
      <c r="O432" cm="1">
        <f t="array" ref="O432">IFERROR(_xlfn.STDEV.S(IF((DiscreteStatsTable[GroupByKey]=DiscreteStatsTable[[#This Row],[GroupByKey]]),(DiscreteStatsTable[GroupByKey]=DiscreteStatsTable[[#This Row],[GroupByKey]])*DiscreteStatsTable[Average])),0)</f>
        <v>0</v>
      </c>
      <c r="P432" cm="1">
        <f t="array" ref="P432">MAX(IF((ProjectInfoTable[ProjectName]=DiscreteStatsTable[[#This Row],[ProjectName]]),(ProjectInfoTable[ProjectName]=DiscreteStatsTable[[#This Row],[ProjectName]])*ProjectInfoTable[ConfidenceInterval]))</f>
        <v>0.95</v>
      </c>
      <c r="Q432">
        <f>IF(AND(DiscreteStatsTable[[#This Row],[RepsWithStatObserved]]=1,Y432=0),200000000000000000000,IFERROR(_xlfn.T.INV.2T(1 -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2" cm="1">
        <f t="array" ref="R432">MIN(IF((DiscreteStatsTable[GroupByKey]=DiscreteStatsTable[[#This Row],[GroupByKey]]),(DiscreteStatsTable[GroupByKey]=DiscreteStatsTable[[#This Row],[GroupByKey]])*DiscreteStatsTable[Average]))</f>
        <v>0</v>
      </c>
      <c r="S432" cm="1">
        <f t="array" ref="S432">MAX(IF((DiscreteStatsTable[GroupByKey]=DiscreteStatsTable[[#This Row],[GroupByKey]]),(DiscreteStatsTable[GroupByKey]=DiscreteStatsTable[[#This Row],[GroupByKey]])*DiscreteStatsTable[Average]))</f>
        <v>0</v>
      </c>
      <c r="T432" cm="1">
        <f t="array" ref="T432">MIN(IF((DiscreteStatsTable[GroupByKey]=DiscreteStatsTable[[#This Row],[GroupByKey]]),(DiscreteStatsTable[GroupByKey]=DiscreteStatsTable[[#This Row],[GroupByKey]])*DiscreteStatsTable[Minimum]))</f>
        <v>0</v>
      </c>
      <c r="U432" cm="1">
        <f t="array" ref="U432">MAX(IF((DiscreteStatsTable[GroupByKey]=DiscreteStatsTable[[#This Row],[GroupByKey]]),(DiscreteStatsTable[GroupByKey]=DiscreteStatsTable[[#This Row],[GroupByKey]])*DiscreteStatsTable[Maximum]))</f>
        <v>0</v>
      </c>
      <c r="V432" cm="1">
        <f t="array" ref="V432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32">
        <f>IF((DiscreteStatsTable[[#This Row],[RepsRequested]]&gt;1),DiscreteStatsTable[[#This Row],[HalfWidth]],DiscreteStatsTable[[#This Row],[BatchMeansHalfWidth]])</f>
        <v>0</v>
      </c>
      <c r="X432" cm="1">
        <f t="array" ref="X432">COUNT(IF((DiscreteStatsTable[GroupByKey]=DiscreteStatsTable[[#This Row],[GroupByKey]]),(DiscreteStatsTable[GroupByKey]=DiscreteStatsTable[[#This Row],[GroupByKey]])*DiscreteStatsTable[Replication]))</f>
        <v>30</v>
      </c>
      <c r="Y432">
        <f>IF(DiscreteStatsTable[[#This Row],[RepsRequested]]=DiscreteStatsTable[[#This Row],[RepsWithStatObserved]],1,0)</f>
        <v>1</v>
      </c>
    </row>
    <row r="433" spans="1:25" x14ac:dyDescent="0.2">
      <c r="A433" t="s">
        <v>67</v>
      </c>
      <c r="B433" t="s">
        <v>70</v>
      </c>
      <c r="C433">
        <v>12</v>
      </c>
      <c r="D433" t="s">
        <v>89</v>
      </c>
      <c r="E433" t="s">
        <v>84</v>
      </c>
      <c r="F433" t="s">
        <v>85</v>
      </c>
      <c r="G433">
        <v>0</v>
      </c>
      <c r="H433">
        <v>2E+20</v>
      </c>
      <c r="I433">
        <v>0</v>
      </c>
      <c r="J433">
        <v>0</v>
      </c>
      <c r="K433">
        <v>231</v>
      </c>
      <c r="L433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33" cm="1">
        <f t="array" ref="M433">MAX(IF((ProjectInfoTable[ProjectName]=DiscreteStatsTable[[#This Row],[ProjectName]]),(ProjectInfoTable[ProjectName]=DiscreteStatsTable[[#This Row],[ProjectName]])*ProjectInfoTable[NumberOfReplications]))</f>
        <v>30</v>
      </c>
      <c r="N433" cm="1">
        <f t="array" ref="N433">IFERROR(AVERAGE(IF((DiscreteStatsTable[GroupByKey]=DiscreteStatsTable[[#This Row],[GroupByKey]]),(DiscreteStatsTable[GroupByKey]=DiscreteStatsTable[[#This Row],[GroupByKey]])*DiscreteStatsTable[Average])),0)</f>
        <v>0</v>
      </c>
      <c r="O433" cm="1">
        <f t="array" ref="O433">IFERROR(_xlfn.STDEV.S(IF((DiscreteStatsTable[GroupByKey]=DiscreteStatsTable[[#This Row],[GroupByKey]]),(DiscreteStatsTable[GroupByKey]=DiscreteStatsTable[[#This Row],[GroupByKey]])*DiscreteStatsTable[Average])),0)</f>
        <v>0</v>
      </c>
      <c r="P433" cm="1">
        <f t="array" ref="P433">MAX(IF((ProjectInfoTable[ProjectName]=DiscreteStatsTable[[#This Row],[ProjectName]]),(ProjectInfoTable[ProjectName]=DiscreteStatsTable[[#This Row],[ProjectName]])*ProjectInfoTable[ConfidenceInterval]))</f>
        <v>0.95</v>
      </c>
      <c r="Q433">
        <f>IF(AND(DiscreteStatsTable[[#This Row],[RepsWithStatObserved]]=1,Y433=0),200000000000000000000,IFERROR(_xlfn.T.INV.2T(1 -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3" cm="1">
        <f t="array" ref="R433">MIN(IF((DiscreteStatsTable[GroupByKey]=DiscreteStatsTable[[#This Row],[GroupByKey]]),(DiscreteStatsTable[GroupByKey]=DiscreteStatsTable[[#This Row],[GroupByKey]])*DiscreteStatsTable[Average]))</f>
        <v>0</v>
      </c>
      <c r="S433" cm="1">
        <f t="array" ref="S433">MAX(IF((DiscreteStatsTable[GroupByKey]=DiscreteStatsTable[[#This Row],[GroupByKey]]),(DiscreteStatsTable[GroupByKey]=DiscreteStatsTable[[#This Row],[GroupByKey]])*DiscreteStatsTable[Average]))</f>
        <v>0</v>
      </c>
      <c r="T433" cm="1">
        <f t="array" ref="T433">MIN(IF((DiscreteStatsTable[GroupByKey]=DiscreteStatsTable[[#This Row],[GroupByKey]]),(DiscreteStatsTable[GroupByKey]=DiscreteStatsTable[[#This Row],[GroupByKey]])*DiscreteStatsTable[Minimum]))</f>
        <v>0</v>
      </c>
      <c r="U433" cm="1">
        <f t="array" ref="U433">MAX(IF((DiscreteStatsTable[GroupByKey]=DiscreteStatsTable[[#This Row],[GroupByKey]]),(DiscreteStatsTable[GroupByKey]=DiscreteStatsTable[[#This Row],[GroupByKey]])*DiscreteStatsTable[Maximum]))</f>
        <v>0</v>
      </c>
      <c r="V433" cm="1">
        <f t="array" ref="V433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33">
        <f>IF((DiscreteStatsTable[[#This Row],[RepsRequested]]&gt;1),DiscreteStatsTable[[#This Row],[HalfWidth]],DiscreteStatsTable[[#This Row],[BatchMeansHalfWidth]])</f>
        <v>0</v>
      </c>
      <c r="X433" cm="1">
        <f t="array" ref="X433">COUNT(IF((DiscreteStatsTable[GroupByKey]=DiscreteStatsTable[[#This Row],[GroupByKey]]),(DiscreteStatsTable[GroupByKey]=DiscreteStatsTable[[#This Row],[GroupByKey]])*DiscreteStatsTable[Replication]))</f>
        <v>30</v>
      </c>
      <c r="Y433">
        <f>IF(DiscreteStatsTable[[#This Row],[RepsRequested]]=DiscreteStatsTable[[#This Row],[RepsWithStatObserved]],1,0)</f>
        <v>1</v>
      </c>
    </row>
    <row r="434" spans="1:25" x14ac:dyDescent="0.2">
      <c r="A434" t="s">
        <v>67</v>
      </c>
      <c r="B434" t="s">
        <v>70</v>
      </c>
      <c r="C434">
        <v>13</v>
      </c>
      <c r="D434" t="s">
        <v>89</v>
      </c>
      <c r="E434" t="s">
        <v>84</v>
      </c>
      <c r="F434" t="s">
        <v>85</v>
      </c>
      <c r="G434">
        <v>0</v>
      </c>
      <c r="H434">
        <v>2E+20</v>
      </c>
      <c r="I434">
        <v>0</v>
      </c>
      <c r="J434">
        <v>0</v>
      </c>
      <c r="K434">
        <v>208</v>
      </c>
      <c r="L434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34" cm="1">
        <f t="array" ref="M434">MAX(IF((ProjectInfoTable[ProjectName]=DiscreteStatsTable[[#This Row],[ProjectName]]),(ProjectInfoTable[ProjectName]=DiscreteStatsTable[[#This Row],[ProjectName]])*ProjectInfoTable[NumberOfReplications]))</f>
        <v>30</v>
      </c>
      <c r="N434" cm="1">
        <f t="array" ref="N434">IFERROR(AVERAGE(IF((DiscreteStatsTable[GroupByKey]=DiscreteStatsTable[[#This Row],[GroupByKey]]),(DiscreteStatsTable[GroupByKey]=DiscreteStatsTable[[#This Row],[GroupByKey]])*DiscreteStatsTable[Average])),0)</f>
        <v>0</v>
      </c>
      <c r="O434" cm="1">
        <f t="array" ref="O434">IFERROR(_xlfn.STDEV.S(IF((DiscreteStatsTable[GroupByKey]=DiscreteStatsTable[[#This Row],[GroupByKey]]),(DiscreteStatsTable[GroupByKey]=DiscreteStatsTable[[#This Row],[GroupByKey]])*DiscreteStatsTable[Average])),0)</f>
        <v>0</v>
      </c>
      <c r="P434" cm="1">
        <f t="array" ref="P434">MAX(IF((ProjectInfoTable[ProjectName]=DiscreteStatsTable[[#This Row],[ProjectName]]),(ProjectInfoTable[ProjectName]=DiscreteStatsTable[[#This Row],[ProjectName]])*ProjectInfoTable[ConfidenceInterval]))</f>
        <v>0.95</v>
      </c>
      <c r="Q434">
        <f>IF(AND(DiscreteStatsTable[[#This Row],[RepsWithStatObserved]]=1,Y434=0),200000000000000000000,IFERROR(_xlfn.T.INV.2T(1 -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4" cm="1">
        <f t="array" ref="R434">MIN(IF((DiscreteStatsTable[GroupByKey]=DiscreteStatsTable[[#This Row],[GroupByKey]]),(DiscreteStatsTable[GroupByKey]=DiscreteStatsTable[[#This Row],[GroupByKey]])*DiscreteStatsTable[Average]))</f>
        <v>0</v>
      </c>
      <c r="S434" cm="1">
        <f t="array" ref="S434">MAX(IF((DiscreteStatsTable[GroupByKey]=DiscreteStatsTable[[#This Row],[GroupByKey]]),(DiscreteStatsTable[GroupByKey]=DiscreteStatsTable[[#This Row],[GroupByKey]])*DiscreteStatsTable[Average]))</f>
        <v>0</v>
      </c>
      <c r="T434" cm="1">
        <f t="array" ref="T434">MIN(IF((DiscreteStatsTable[GroupByKey]=DiscreteStatsTable[[#This Row],[GroupByKey]]),(DiscreteStatsTable[GroupByKey]=DiscreteStatsTable[[#This Row],[GroupByKey]])*DiscreteStatsTable[Minimum]))</f>
        <v>0</v>
      </c>
      <c r="U434" cm="1">
        <f t="array" ref="U434">MAX(IF((DiscreteStatsTable[GroupByKey]=DiscreteStatsTable[[#This Row],[GroupByKey]]),(DiscreteStatsTable[GroupByKey]=DiscreteStatsTable[[#This Row],[GroupByKey]])*DiscreteStatsTable[Maximum]))</f>
        <v>0</v>
      </c>
      <c r="V434" cm="1">
        <f t="array" ref="V434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34">
        <f>IF((DiscreteStatsTable[[#This Row],[RepsRequested]]&gt;1),DiscreteStatsTable[[#This Row],[HalfWidth]],DiscreteStatsTable[[#This Row],[BatchMeansHalfWidth]])</f>
        <v>0</v>
      </c>
      <c r="X434" cm="1">
        <f t="array" ref="X434">COUNT(IF((DiscreteStatsTable[GroupByKey]=DiscreteStatsTable[[#This Row],[GroupByKey]]),(DiscreteStatsTable[GroupByKey]=DiscreteStatsTable[[#This Row],[GroupByKey]])*DiscreteStatsTable[Replication]))</f>
        <v>30</v>
      </c>
      <c r="Y434">
        <f>IF(DiscreteStatsTable[[#This Row],[RepsRequested]]=DiscreteStatsTable[[#This Row],[RepsWithStatObserved]],1,0)</f>
        <v>1</v>
      </c>
    </row>
    <row r="435" spans="1:25" x14ac:dyDescent="0.2">
      <c r="A435" t="s">
        <v>67</v>
      </c>
      <c r="B435" t="s">
        <v>70</v>
      </c>
      <c r="C435">
        <v>14</v>
      </c>
      <c r="D435" t="s">
        <v>89</v>
      </c>
      <c r="E435" t="s">
        <v>84</v>
      </c>
      <c r="F435" t="s">
        <v>85</v>
      </c>
      <c r="G435">
        <v>0</v>
      </c>
      <c r="H435">
        <v>2E+20</v>
      </c>
      <c r="I435">
        <v>0</v>
      </c>
      <c r="J435">
        <v>0</v>
      </c>
      <c r="K435">
        <v>202</v>
      </c>
      <c r="L435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35" cm="1">
        <f t="array" ref="M435">MAX(IF((ProjectInfoTable[ProjectName]=DiscreteStatsTable[[#This Row],[ProjectName]]),(ProjectInfoTable[ProjectName]=DiscreteStatsTable[[#This Row],[ProjectName]])*ProjectInfoTable[NumberOfReplications]))</f>
        <v>30</v>
      </c>
      <c r="N435" cm="1">
        <f t="array" ref="N435">IFERROR(AVERAGE(IF((DiscreteStatsTable[GroupByKey]=DiscreteStatsTable[[#This Row],[GroupByKey]]),(DiscreteStatsTable[GroupByKey]=DiscreteStatsTable[[#This Row],[GroupByKey]])*DiscreteStatsTable[Average])),0)</f>
        <v>0</v>
      </c>
      <c r="O435" cm="1">
        <f t="array" ref="O435">IFERROR(_xlfn.STDEV.S(IF((DiscreteStatsTable[GroupByKey]=DiscreteStatsTable[[#This Row],[GroupByKey]]),(DiscreteStatsTable[GroupByKey]=DiscreteStatsTable[[#This Row],[GroupByKey]])*DiscreteStatsTable[Average])),0)</f>
        <v>0</v>
      </c>
      <c r="P435" cm="1">
        <f t="array" ref="P435">MAX(IF((ProjectInfoTable[ProjectName]=DiscreteStatsTable[[#This Row],[ProjectName]]),(ProjectInfoTable[ProjectName]=DiscreteStatsTable[[#This Row],[ProjectName]])*ProjectInfoTable[ConfidenceInterval]))</f>
        <v>0.95</v>
      </c>
      <c r="Q435">
        <f>IF(AND(DiscreteStatsTable[[#This Row],[RepsWithStatObserved]]=1,Y435=0),200000000000000000000,IFERROR(_xlfn.T.INV.2T(1 -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5" cm="1">
        <f t="array" ref="R435">MIN(IF((DiscreteStatsTable[GroupByKey]=DiscreteStatsTable[[#This Row],[GroupByKey]]),(DiscreteStatsTable[GroupByKey]=DiscreteStatsTable[[#This Row],[GroupByKey]])*DiscreteStatsTable[Average]))</f>
        <v>0</v>
      </c>
      <c r="S435" cm="1">
        <f t="array" ref="S435">MAX(IF((DiscreteStatsTable[GroupByKey]=DiscreteStatsTable[[#This Row],[GroupByKey]]),(DiscreteStatsTable[GroupByKey]=DiscreteStatsTable[[#This Row],[GroupByKey]])*DiscreteStatsTable[Average]))</f>
        <v>0</v>
      </c>
      <c r="T435" cm="1">
        <f t="array" ref="T435">MIN(IF((DiscreteStatsTable[GroupByKey]=DiscreteStatsTable[[#This Row],[GroupByKey]]),(DiscreteStatsTable[GroupByKey]=DiscreteStatsTable[[#This Row],[GroupByKey]])*DiscreteStatsTable[Minimum]))</f>
        <v>0</v>
      </c>
      <c r="U435" cm="1">
        <f t="array" ref="U435">MAX(IF((DiscreteStatsTable[GroupByKey]=DiscreteStatsTable[[#This Row],[GroupByKey]]),(DiscreteStatsTable[GroupByKey]=DiscreteStatsTable[[#This Row],[GroupByKey]])*DiscreteStatsTable[Maximum]))</f>
        <v>0</v>
      </c>
      <c r="V435" cm="1">
        <f t="array" ref="V435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35">
        <f>IF((DiscreteStatsTable[[#This Row],[RepsRequested]]&gt;1),DiscreteStatsTable[[#This Row],[HalfWidth]],DiscreteStatsTable[[#This Row],[BatchMeansHalfWidth]])</f>
        <v>0</v>
      </c>
      <c r="X435" cm="1">
        <f t="array" ref="X435">COUNT(IF((DiscreteStatsTable[GroupByKey]=DiscreteStatsTable[[#This Row],[GroupByKey]]),(DiscreteStatsTable[GroupByKey]=DiscreteStatsTable[[#This Row],[GroupByKey]])*DiscreteStatsTable[Replication]))</f>
        <v>30</v>
      </c>
      <c r="Y435">
        <f>IF(DiscreteStatsTable[[#This Row],[RepsRequested]]=DiscreteStatsTable[[#This Row],[RepsWithStatObserved]],1,0)</f>
        <v>1</v>
      </c>
    </row>
    <row r="436" spans="1:25" x14ac:dyDescent="0.2">
      <c r="A436" t="s">
        <v>67</v>
      </c>
      <c r="B436" t="s">
        <v>70</v>
      </c>
      <c r="C436">
        <v>15</v>
      </c>
      <c r="D436" t="s">
        <v>89</v>
      </c>
      <c r="E436" t="s">
        <v>84</v>
      </c>
      <c r="F436" t="s">
        <v>85</v>
      </c>
      <c r="G436">
        <v>0</v>
      </c>
      <c r="H436">
        <v>2E+20</v>
      </c>
      <c r="I436">
        <v>0</v>
      </c>
      <c r="J436">
        <v>0</v>
      </c>
      <c r="K436">
        <v>194</v>
      </c>
      <c r="L436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36" cm="1">
        <f t="array" ref="M436">MAX(IF((ProjectInfoTable[ProjectName]=DiscreteStatsTable[[#This Row],[ProjectName]]),(ProjectInfoTable[ProjectName]=DiscreteStatsTable[[#This Row],[ProjectName]])*ProjectInfoTable[NumberOfReplications]))</f>
        <v>30</v>
      </c>
      <c r="N436" cm="1">
        <f t="array" ref="N436">IFERROR(AVERAGE(IF((DiscreteStatsTable[GroupByKey]=DiscreteStatsTable[[#This Row],[GroupByKey]]),(DiscreteStatsTable[GroupByKey]=DiscreteStatsTable[[#This Row],[GroupByKey]])*DiscreteStatsTable[Average])),0)</f>
        <v>0</v>
      </c>
      <c r="O436" cm="1">
        <f t="array" ref="O436">IFERROR(_xlfn.STDEV.S(IF((DiscreteStatsTable[GroupByKey]=DiscreteStatsTable[[#This Row],[GroupByKey]]),(DiscreteStatsTable[GroupByKey]=DiscreteStatsTable[[#This Row],[GroupByKey]])*DiscreteStatsTable[Average])),0)</f>
        <v>0</v>
      </c>
      <c r="P436" cm="1">
        <f t="array" ref="P436">MAX(IF((ProjectInfoTable[ProjectName]=DiscreteStatsTable[[#This Row],[ProjectName]]),(ProjectInfoTable[ProjectName]=DiscreteStatsTable[[#This Row],[ProjectName]])*ProjectInfoTable[ConfidenceInterval]))</f>
        <v>0.95</v>
      </c>
      <c r="Q436">
        <f>IF(AND(DiscreteStatsTable[[#This Row],[RepsWithStatObserved]]=1,Y436=0),200000000000000000000,IFERROR(_xlfn.T.INV.2T(1 -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6" cm="1">
        <f t="array" ref="R436">MIN(IF((DiscreteStatsTable[GroupByKey]=DiscreteStatsTable[[#This Row],[GroupByKey]]),(DiscreteStatsTable[GroupByKey]=DiscreteStatsTable[[#This Row],[GroupByKey]])*DiscreteStatsTable[Average]))</f>
        <v>0</v>
      </c>
      <c r="S436" cm="1">
        <f t="array" ref="S436">MAX(IF((DiscreteStatsTable[GroupByKey]=DiscreteStatsTable[[#This Row],[GroupByKey]]),(DiscreteStatsTable[GroupByKey]=DiscreteStatsTable[[#This Row],[GroupByKey]])*DiscreteStatsTable[Average]))</f>
        <v>0</v>
      </c>
      <c r="T436" cm="1">
        <f t="array" ref="T436">MIN(IF((DiscreteStatsTable[GroupByKey]=DiscreteStatsTable[[#This Row],[GroupByKey]]),(DiscreteStatsTable[GroupByKey]=DiscreteStatsTable[[#This Row],[GroupByKey]])*DiscreteStatsTable[Minimum]))</f>
        <v>0</v>
      </c>
      <c r="U436" cm="1">
        <f t="array" ref="U436">MAX(IF((DiscreteStatsTable[GroupByKey]=DiscreteStatsTable[[#This Row],[GroupByKey]]),(DiscreteStatsTable[GroupByKey]=DiscreteStatsTable[[#This Row],[GroupByKey]])*DiscreteStatsTable[Maximum]))</f>
        <v>0</v>
      </c>
      <c r="V436" cm="1">
        <f t="array" ref="V436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36">
        <f>IF((DiscreteStatsTable[[#This Row],[RepsRequested]]&gt;1),DiscreteStatsTable[[#This Row],[HalfWidth]],DiscreteStatsTable[[#This Row],[BatchMeansHalfWidth]])</f>
        <v>0</v>
      </c>
      <c r="X436" cm="1">
        <f t="array" ref="X436">COUNT(IF((DiscreteStatsTable[GroupByKey]=DiscreteStatsTable[[#This Row],[GroupByKey]]),(DiscreteStatsTable[GroupByKey]=DiscreteStatsTable[[#This Row],[GroupByKey]])*DiscreteStatsTable[Replication]))</f>
        <v>30</v>
      </c>
      <c r="Y436">
        <f>IF(DiscreteStatsTable[[#This Row],[RepsRequested]]=DiscreteStatsTable[[#This Row],[RepsWithStatObserved]],1,0)</f>
        <v>1</v>
      </c>
    </row>
    <row r="437" spans="1:25" x14ac:dyDescent="0.2">
      <c r="A437" t="s">
        <v>67</v>
      </c>
      <c r="B437" t="s">
        <v>70</v>
      </c>
      <c r="C437">
        <v>16</v>
      </c>
      <c r="D437" t="s">
        <v>89</v>
      </c>
      <c r="E437" t="s">
        <v>84</v>
      </c>
      <c r="F437" t="s">
        <v>85</v>
      </c>
      <c r="G437">
        <v>0</v>
      </c>
      <c r="H437">
        <v>2E+20</v>
      </c>
      <c r="I437">
        <v>0</v>
      </c>
      <c r="J437">
        <v>0</v>
      </c>
      <c r="K437">
        <v>205</v>
      </c>
      <c r="L437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37" cm="1">
        <f t="array" ref="M437">MAX(IF((ProjectInfoTable[ProjectName]=DiscreteStatsTable[[#This Row],[ProjectName]]),(ProjectInfoTable[ProjectName]=DiscreteStatsTable[[#This Row],[ProjectName]])*ProjectInfoTable[NumberOfReplications]))</f>
        <v>30</v>
      </c>
      <c r="N437" cm="1">
        <f t="array" ref="N437">IFERROR(AVERAGE(IF((DiscreteStatsTable[GroupByKey]=DiscreteStatsTable[[#This Row],[GroupByKey]]),(DiscreteStatsTable[GroupByKey]=DiscreteStatsTable[[#This Row],[GroupByKey]])*DiscreteStatsTable[Average])),0)</f>
        <v>0</v>
      </c>
      <c r="O437" cm="1">
        <f t="array" ref="O437">IFERROR(_xlfn.STDEV.S(IF((DiscreteStatsTable[GroupByKey]=DiscreteStatsTable[[#This Row],[GroupByKey]]),(DiscreteStatsTable[GroupByKey]=DiscreteStatsTable[[#This Row],[GroupByKey]])*DiscreteStatsTable[Average])),0)</f>
        <v>0</v>
      </c>
      <c r="P437" cm="1">
        <f t="array" ref="P437">MAX(IF((ProjectInfoTable[ProjectName]=DiscreteStatsTable[[#This Row],[ProjectName]]),(ProjectInfoTable[ProjectName]=DiscreteStatsTable[[#This Row],[ProjectName]])*ProjectInfoTable[ConfidenceInterval]))</f>
        <v>0.95</v>
      </c>
      <c r="Q437">
        <f>IF(AND(DiscreteStatsTable[[#This Row],[RepsWithStatObserved]]=1,Y437=0),200000000000000000000,IFERROR(_xlfn.T.INV.2T(1 -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7" cm="1">
        <f t="array" ref="R437">MIN(IF((DiscreteStatsTable[GroupByKey]=DiscreteStatsTable[[#This Row],[GroupByKey]]),(DiscreteStatsTable[GroupByKey]=DiscreteStatsTable[[#This Row],[GroupByKey]])*DiscreteStatsTable[Average]))</f>
        <v>0</v>
      </c>
      <c r="S437" cm="1">
        <f t="array" ref="S437">MAX(IF((DiscreteStatsTable[GroupByKey]=DiscreteStatsTable[[#This Row],[GroupByKey]]),(DiscreteStatsTable[GroupByKey]=DiscreteStatsTable[[#This Row],[GroupByKey]])*DiscreteStatsTable[Average]))</f>
        <v>0</v>
      </c>
      <c r="T437" cm="1">
        <f t="array" ref="T437">MIN(IF((DiscreteStatsTable[GroupByKey]=DiscreteStatsTable[[#This Row],[GroupByKey]]),(DiscreteStatsTable[GroupByKey]=DiscreteStatsTable[[#This Row],[GroupByKey]])*DiscreteStatsTable[Minimum]))</f>
        <v>0</v>
      </c>
      <c r="U437" cm="1">
        <f t="array" ref="U437">MAX(IF((DiscreteStatsTable[GroupByKey]=DiscreteStatsTable[[#This Row],[GroupByKey]]),(DiscreteStatsTable[GroupByKey]=DiscreteStatsTable[[#This Row],[GroupByKey]])*DiscreteStatsTable[Maximum]))</f>
        <v>0</v>
      </c>
      <c r="V437" cm="1">
        <f t="array" ref="V437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37">
        <f>IF((DiscreteStatsTable[[#This Row],[RepsRequested]]&gt;1),DiscreteStatsTable[[#This Row],[HalfWidth]],DiscreteStatsTable[[#This Row],[BatchMeansHalfWidth]])</f>
        <v>0</v>
      </c>
      <c r="X437" cm="1">
        <f t="array" ref="X437">COUNT(IF((DiscreteStatsTable[GroupByKey]=DiscreteStatsTable[[#This Row],[GroupByKey]]),(DiscreteStatsTable[GroupByKey]=DiscreteStatsTable[[#This Row],[GroupByKey]])*DiscreteStatsTable[Replication]))</f>
        <v>30</v>
      </c>
      <c r="Y437">
        <f>IF(DiscreteStatsTable[[#This Row],[RepsRequested]]=DiscreteStatsTable[[#This Row],[RepsWithStatObserved]],1,0)</f>
        <v>1</v>
      </c>
    </row>
    <row r="438" spans="1:25" x14ac:dyDescent="0.2">
      <c r="A438" t="s">
        <v>67</v>
      </c>
      <c r="B438" t="s">
        <v>70</v>
      </c>
      <c r="C438">
        <v>17</v>
      </c>
      <c r="D438" t="s">
        <v>89</v>
      </c>
      <c r="E438" t="s">
        <v>84</v>
      </c>
      <c r="F438" t="s">
        <v>85</v>
      </c>
      <c r="G438">
        <v>0</v>
      </c>
      <c r="H438">
        <v>2E+20</v>
      </c>
      <c r="I438">
        <v>0</v>
      </c>
      <c r="J438">
        <v>0</v>
      </c>
      <c r="K438">
        <v>206</v>
      </c>
      <c r="L438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38" cm="1">
        <f t="array" ref="M438">MAX(IF((ProjectInfoTable[ProjectName]=DiscreteStatsTable[[#This Row],[ProjectName]]),(ProjectInfoTable[ProjectName]=DiscreteStatsTable[[#This Row],[ProjectName]])*ProjectInfoTable[NumberOfReplications]))</f>
        <v>30</v>
      </c>
      <c r="N438" cm="1">
        <f t="array" ref="N438">IFERROR(AVERAGE(IF((DiscreteStatsTable[GroupByKey]=DiscreteStatsTable[[#This Row],[GroupByKey]]),(DiscreteStatsTable[GroupByKey]=DiscreteStatsTable[[#This Row],[GroupByKey]])*DiscreteStatsTable[Average])),0)</f>
        <v>0</v>
      </c>
      <c r="O438" cm="1">
        <f t="array" ref="O438">IFERROR(_xlfn.STDEV.S(IF((DiscreteStatsTable[GroupByKey]=DiscreteStatsTable[[#This Row],[GroupByKey]]),(DiscreteStatsTable[GroupByKey]=DiscreteStatsTable[[#This Row],[GroupByKey]])*DiscreteStatsTable[Average])),0)</f>
        <v>0</v>
      </c>
      <c r="P438" cm="1">
        <f t="array" ref="P438">MAX(IF((ProjectInfoTable[ProjectName]=DiscreteStatsTable[[#This Row],[ProjectName]]),(ProjectInfoTable[ProjectName]=DiscreteStatsTable[[#This Row],[ProjectName]])*ProjectInfoTable[ConfidenceInterval]))</f>
        <v>0.95</v>
      </c>
      <c r="Q438">
        <f>IF(AND(DiscreteStatsTable[[#This Row],[RepsWithStatObserved]]=1,Y438=0),200000000000000000000,IFERROR(_xlfn.T.INV.2T(1 -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8" cm="1">
        <f t="array" ref="R438">MIN(IF((DiscreteStatsTable[GroupByKey]=DiscreteStatsTable[[#This Row],[GroupByKey]]),(DiscreteStatsTable[GroupByKey]=DiscreteStatsTable[[#This Row],[GroupByKey]])*DiscreteStatsTable[Average]))</f>
        <v>0</v>
      </c>
      <c r="S438" cm="1">
        <f t="array" ref="S438">MAX(IF((DiscreteStatsTable[GroupByKey]=DiscreteStatsTable[[#This Row],[GroupByKey]]),(DiscreteStatsTable[GroupByKey]=DiscreteStatsTable[[#This Row],[GroupByKey]])*DiscreteStatsTable[Average]))</f>
        <v>0</v>
      </c>
      <c r="T438" cm="1">
        <f t="array" ref="T438">MIN(IF((DiscreteStatsTable[GroupByKey]=DiscreteStatsTable[[#This Row],[GroupByKey]]),(DiscreteStatsTable[GroupByKey]=DiscreteStatsTable[[#This Row],[GroupByKey]])*DiscreteStatsTable[Minimum]))</f>
        <v>0</v>
      </c>
      <c r="U438" cm="1">
        <f t="array" ref="U438">MAX(IF((DiscreteStatsTable[GroupByKey]=DiscreteStatsTable[[#This Row],[GroupByKey]]),(DiscreteStatsTable[GroupByKey]=DiscreteStatsTable[[#This Row],[GroupByKey]])*DiscreteStatsTable[Maximum]))</f>
        <v>0</v>
      </c>
      <c r="V438" cm="1">
        <f t="array" ref="V438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38">
        <f>IF((DiscreteStatsTable[[#This Row],[RepsRequested]]&gt;1),DiscreteStatsTable[[#This Row],[HalfWidth]],DiscreteStatsTable[[#This Row],[BatchMeansHalfWidth]])</f>
        <v>0</v>
      </c>
      <c r="X438" cm="1">
        <f t="array" ref="X438">COUNT(IF((DiscreteStatsTable[GroupByKey]=DiscreteStatsTable[[#This Row],[GroupByKey]]),(DiscreteStatsTable[GroupByKey]=DiscreteStatsTable[[#This Row],[GroupByKey]])*DiscreteStatsTable[Replication]))</f>
        <v>30</v>
      </c>
      <c r="Y438">
        <f>IF(DiscreteStatsTable[[#This Row],[RepsRequested]]=DiscreteStatsTable[[#This Row],[RepsWithStatObserved]],1,0)</f>
        <v>1</v>
      </c>
    </row>
    <row r="439" spans="1:25" x14ac:dyDescent="0.2">
      <c r="A439" t="s">
        <v>67</v>
      </c>
      <c r="B439" t="s">
        <v>70</v>
      </c>
      <c r="C439">
        <v>18</v>
      </c>
      <c r="D439" t="s">
        <v>89</v>
      </c>
      <c r="E439" t="s">
        <v>84</v>
      </c>
      <c r="F439" t="s">
        <v>85</v>
      </c>
      <c r="G439">
        <v>0</v>
      </c>
      <c r="H439">
        <v>2E+20</v>
      </c>
      <c r="I439">
        <v>0</v>
      </c>
      <c r="J439">
        <v>0</v>
      </c>
      <c r="K439">
        <v>213</v>
      </c>
      <c r="L439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39" cm="1">
        <f t="array" ref="M439">MAX(IF((ProjectInfoTable[ProjectName]=DiscreteStatsTable[[#This Row],[ProjectName]]),(ProjectInfoTable[ProjectName]=DiscreteStatsTable[[#This Row],[ProjectName]])*ProjectInfoTable[NumberOfReplications]))</f>
        <v>30</v>
      </c>
      <c r="N439" cm="1">
        <f t="array" ref="N439">IFERROR(AVERAGE(IF((DiscreteStatsTable[GroupByKey]=DiscreteStatsTable[[#This Row],[GroupByKey]]),(DiscreteStatsTable[GroupByKey]=DiscreteStatsTable[[#This Row],[GroupByKey]])*DiscreteStatsTable[Average])),0)</f>
        <v>0</v>
      </c>
      <c r="O439" cm="1">
        <f t="array" ref="O439">IFERROR(_xlfn.STDEV.S(IF((DiscreteStatsTable[GroupByKey]=DiscreteStatsTable[[#This Row],[GroupByKey]]),(DiscreteStatsTable[GroupByKey]=DiscreteStatsTable[[#This Row],[GroupByKey]])*DiscreteStatsTable[Average])),0)</f>
        <v>0</v>
      </c>
      <c r="P439" cm="1">
        <f t="array" ref="P439">MAX(IF((ProjectInfoTable[ProjectName]=DiscreteStatsTable[[#This Row],[ProjectName]]),(ProjectInfoTable[ProjectName]=DiscreteStatsTable[[#This Row],[ProjectName]])*ProjectInfoTable[ConfidenceInterval]))</f>
        <v>0.95</v>
      </c>
      <c r="Q439">
        <f>IF(AND(DiscreteStatsTable[[#This Row],[RepsWithStatObserved]]=1,Y439=0),200000000000000000000,IFERROR(_xlfn.T.INV.2T(1 -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39" cm="1">
        <f t="array" ref="R439">MIN(IF((DiscreteStatsTable[GroupByKey]=DiscreteStatsTable[[#This Row],[GroupByKey]]),(DiscreteStatsTable[GroupByKey]=DiscreteStatsTable[[#This Row],[GroupByKey]])*DiscreteStatsTable[Average]))</f>
        <v>0</v>
      </c>
      <c r="S439" cm="1">
        <f t="array" ref="S439">MAX(IF((DiscreteStatsTable[GroupByKey]=DiscreteStatsTable[[#This Row],[GroupByKey]]),(DiscreteStatsTable[GroupByKey]=DiscreteStatsTable[[#This Row],[GroupByKey]])*DiscreteStatsTable[Average]))</f>
        <v>0</v>
      </c>
      <c r="T439" cm="1">
        <f t="array" ref="T439">MIN(IF((DiscreteStatsTable[GroupByKey]=DiscreteStatsTable[[#This Row],[GroupByKey]]),(DiscreteStatsTable[GroupByKey]=DiscreteStatsTable[[#This Row],[GroupByKey]])*DiscreteStatsTable[Minimum]))</f>
        <v>0</v>
      </c>
      <c r="U439" cm="1">
        <f t="array" ref="U439">MAX(IF((DiscreteStatsTable[GroupByKey]=DiscreteStatsTable[[#This Row],[GroupByKey]]),(DiscreteStatsTable[GroupByKey]=DiscreteStatsTable[[#This Row],[GroupByKey]])*DiscreteStatsTable[Maximum]))</f>
        <v>0</v>
      </c>
      <c r="V439" cm="1">
        <f t="array" ref="V439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39">
        <f>IF((DiscreteStatsTable[[#This Row],[RepsRequested]]&gt;1),DiscreteStatsTable[[#This Row],[HalfWidth]],DiscreteStatsTable[[#This Row],[BatchMeansHalfWidth]])</f>
        <v>0</v>
      </c>
      <c r="X439" cm="1">
        <f t="array" ref="X439">COUNT(IF((DiscreteStatsTable[GroupByKey]=DiscreteStatsTable[[#This Row],[GroupByKey]]),(DiscreteStatsTable[GroupByKey]=DiscreteStatsTable[[#This Row],[GroupByKey]])*DiscreteStatsTable[Replication]))</f>
        <v>30</v>
      </c>
      <c r="Y439">
        <f>IF(DiscreteStatsTable[[#This Row],[RepsRequested]]=DiscreteStatsTable[[#This Row],[RepsWithStatObserved]],1,0)</f>
        <v>1</v>
      </c>
    </row>
    <row r="440" spans="1:25" x14ac:dyDescent="0.2">
      <c r="A440" t="s">
        <v>67</v>
      </c>
      <c r="B440" t="s">
        <v>70</v>
      </c>
      <c r="C440">
        <v>19</v>
      </c>
      <c r="D440" t="s">
        <v>89</v>
      </c>
      <c r="E440" t="s">
        <v>84</v>
      </c>
      <c r="F440" t="s">
        <v>85</v>
      </c>
      <c r="G440">
        <v>0</v>
      </c>
      <c r="H440">
        <v>2E+20</v>
      </c>
      <c r="I440">
        <v>0</v>
      </c>
      <c r="J440">
        <v>0</v>
      </c>
      <c r="K440">
        <v>188</v>
      </c>
      <c r="L440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40" cm="1">
        <f t="array" ref="M440">MAX(IF((ProjectInfoTable[ProjectName]=DiscreteStatsTable[[#This Row],[ProjectName]]),(ProjectInfoTable[ProjectName]=DiscreteStatsTable[[#This Row],[ProjectName]])*ProjectInfoTable[NumberOfReplications]))</f>
        <v>30</v>
      </c>
      <c r="N440" cm="1">
        <f t="array" ref="N440">IFERROR(AVERAGE(IF((DiscreteStatsTable[GroupByKey]=DiscreteStatsTable[[#This Row],[GroupByKey]]),(DiscreteStatsTable[GroupByKey]=DiscreteStatsTable[[#This Row],[GroupByKey]])*DiscreteStatsTable[Average])),0)</f>
        <v>0</v>
      </c>
      <c r="O440" cm="1">
        <f t="array" ref="O440">IFERROR(_xlfn.STDEV.S(IF((DiscreteStatsTable[GroupByKey]=DiscreteStatsTable[[#This Row],[GroupByKey]]),(DiscreteStatsTable[GroupByKey]=DiscreteStatsTable[[#This Row],[GroupByKey]])*DiscreteStatsTable[Average])),0)</f>
        <v>0</v>
      </c>
      <c r="P440" cm="1">
        <f t="array" ref="P440">MAX(IF((ProjectInfoTable[ProjectName]=DiscreteStatsTable[[#This Row],[ProjectName]]),(ProjectInfoTable[ProjectName]=DiscreteStatsTable[[#This Row],[ProjectName]])*ProjectInfoTable[ConfidenceInterval]))</f>
        <v>0.95</v>
      </c>
      <c r="Q440">
        <f>IF(AND(DiscreteStatsTable[[#This Row],[RepsWithStatObserved]]=1,Y440=0),200000000000000000000,IFERROR(_xlfn.T.INV.2T(1 -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0" cm="1">
        <f t="array" ref="R440">MIN(IF((DiscreteStatsTable[GroupByKey]=DiscreteStatsTable[[#This Row],[GroupByKey]]),(DiscreteStatsTable[GroupByKey]=DiscreteStatsTable[[#This Row],[GroupByKey]])*DiscreteStatsTable[Average]))</f>
        <v>0</v>
      </c>
      <c r="S440" cm="1">
        <f t="array" ref="S440">MAX(IF((DiscreteStatsTable[GroupByKey]=DiscreteStatsTable[[#This Row],[GroupByKey]]),(DiscreteStatsTable[GroupByKey]=DiscreteStatsTable[[#This Row],[GroupByKey]])*DiscreteStatsTable[Average]))</f>
        <v>0</v>
      </c>
      <c r="T440" cm="1">
        <f t="array" ref="T440">MIN(IF((DiscreteStatsTable[GroupByKey]=DiscreteStatsTable[[#This Row],[GroupByKey]]),(DiscreteStatsTable[GroupByKey]=DiscreteStatsTable[[#This Row],[GroupByKey]])*DiscreteStatsTable[Minimum]))</f>
        <v>0</v>
      </c>
      <c r="U440" cm="1">
        <f t="array" ref="U440">MAX(IF((DiscreteStatsTable[GroupByKey]=DiscreteStatsTable[[#This Row],[GroupByKey]]),(DiscreteStatsTable[GroupByKey]=DiscreteStatsTable[[#This Row],[GroupByKey]])*DiscreteStatsTable[Maximum]))</f>
        <v>0</v>
      </c>
      <c r="V440" cm="1">
        <f t="array" ref="V440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40">
        <f>IF((DiscreteStatsTable[[#This Row],[RepsRequested]]&gt;1),DiscreteStatsTable[[#This Row],[HalfWidth]],DiscreteStatsTable[[#This Row],[BatchMeansHalfWidth]])</f>
        <v>0</v>
      </c>
      <c r="X440" cm="1">
        <f t="array" ref="X440">COUNT(IF((DiscreteStatsTable[GroupByKey]=DiscreteStatsTable[[#This Row],[GroupByKey]]),(DiscreteStatsTable[GroupByKey]=DiscreteStatsTable[[#This Row],[GroupByKey]])*DiscreteStatsTable[Replication]))</f>
        <v>30</v>
      </c>
      <c r="Y440">
        <f>IF(DiscreteStatsTable[[#This Row],[RepsRequested]]=DiscreteStatsTable[[#This Row],[RepsWithStatObserved]],1,0)</f>
        <v>1</v>
      </c>
    </row>
    <row r="441" spans="1:25" x14ac:dyDescent="0.2">
      <c r="A441" t="s">
        <v>67</v>
      </c>
      <c r="B441" t="s">
        <v>70</v>
      </c>
      <c r="C441">
        <v>20</v>
      </c>
      <c r="D441" t="s">
        <v>89</v>
      </c>
      <c r="E441" t="s">
        <v>84</v>
      </c>
      <c r="F441" t="s">
        <v>85</v>
      </c>
      <c r="G441">
        <v>0</v>
      </c>
      <c r="H441">
        <v>2E+20</v>
      </c>
      <c r="I441">
        <v>0</v>
      </c>
      <c r="J441">
        <v>0</v>
      </c>
      <c r="K441">
        <v>203</v>
      </c>
      <c r="L441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41" cm="1">
        <f t="array" ref="M441">MAX(IF((ProjectInfoTable[ProjectName]=DiscreteStatsTable[[#This Row],[ProjectName]]),(ProjectInfoTable[ProjectName]=DiscreteStatsTable[[#This Row],[ProjectName]])*ProjectInfoTable[NumberOfReplications]))</f>
        <v>30</v>
      </c>
      <c r="N441" cm="1">
        <f t="array" ref="N441">IFERROR(AVERAGE(IF((DiscreteStatsTable[GroupByKey]=DiscreteStatsTable[[#This Row],[GroupByKey]]),(DiscreteStatsTable[GroupByKey]=DiscreteStatsTable[[#This Row],[GroupByKey]])*DiscreteStatsTable[Average])),0)</f>
        <v>0</v>
      </c>
      <c r="O441" cm="1">
        <f t="array" ref="O441">IFERROR(_xlfn.STDEV.S(IF((DiscreteStatsTable[GroupByKey]=DiscreteStatsTable[[#This Row],[GroupByKey]]),(DiscreteStatsTable[GroupByKey]=DiscreteStatsTable[[#This Row],[GroupByKey]])*DiscreteStatsTable[Average])),0)</f>
        <v>0</v>
      </c>
      <c r="P441" cm="1">
        <f t="array" ref="P441">MAX(IF((ProjectInfoTable[ProjectName]=DiscreteStatsTable[[#This Row],[ProjectName]]),(ProjectInfoTable[ProjectName]=DiscreteStatsTable[[#This Row],[ProjectName]])*ProjectInfoTable[ConfidenceInterval]))</f>
        <v>0.95</v>
      </c>
      <c r="Q441">
        <f>IF(AND(DiscreteStatsTable[[#This Row],[RepsWithStatObserved]]=1,Y441=0),200000000000000000000,IFERROR(_xlfn.T.INV.2T(1 -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1" cm="1">
        <f t="array" ref="R441">MIN(IF((DiscreteStatsTable[GroupByKey]=DiscreteStatsTable[[#This Row],[GroupByKey]]),(DiscreteStatsTable[GroupByKey]=DiscreteStatsTable[[#This Row],[GroupByKey]])*DiscreteStatsTable[Average]))</f>
        <v>0</v>
      </c>
      <c r="S441" cm="1">
        <f t="array" ref="S441">MAX(IF((DiscreteStatsTable[GroupByKey]=DiscreteStatsTable[[#This Row],[GroupByKey]]),(DiscreteStatsTable[GroupByKey]=DiscreteStatsTable[[#This Row],[GroupByKey]])*DiscreteStatsTable[Average]))</f>
        <v>0</v>
      </c>
      <c r="T441" cm="1">
        <f t="array" ref="T441">MIN(IF((DiscreteStatsTable[GroupByKey]=DiscreteStatsTable[[#This Row],[GroupByKey]]),(DiscreteStatsTable[GroupByKey]=DiscreteStatsTable[[#This Row],[GroupByKey]])*DiscreteStatsTable[Minimum]))</f>
        <v>0</v>
      </c>
      <c r="U441" cm="1">
        <f t="array" ref="U441">MAX(IF((DiscreteStatsTable[GroupByKey]=DiscreteStatsTable[[#This Row],[GroupByKey]]),(DiscreteStatsTable[GroupByKey]=DiscreteStatsTable[[#This Row],[GroupByKey]])*DiscreteStatsTable[Maximum]))</f>
        <v>0</v>
      </c>
      <c r="V441" cm="1">
        <f t="array" ref="V441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41">
        <f>IF((DiscreteStatsTable[[#This Row],[RepsRequested]]&gt;1),DiscreteStatsTable[[#This Row],[HalfWidth]],DiscreteStatsTable[[#This Row],[BatchMeansHalfWidth]])</f>
        <v>0</v>
      </c>
      <c r="X441" cm="1">
        <f t="array" ref="X441">COUNT(IF((DiscreteStatsTable[GroupByKey]=DiscreteStatsTable[[#This Row],[GroupByKey]]),(DiscreteStatsTable[GroupByKey]=DiscreteStatsTable[[#This Row],[GroupByKey]])*DiscreteStatsTable[Replication]))</f>
        <v>30</v>
      </c>
      <c r="Y441">
        <f>IF(DiscreteStatsTable[[#This Row],[RepsRequested]]=DiscreteStatsTable[[#This Row],[RepsWithStatObserved]],1,0)</f>
        <v>1</v>
      </c>
    </row>
    <row r="442" spans="1:25" x14ac:dyDescent="0.2">
      <c r="A442" t="s">
        <v>67</v>
      </c>
      <c r="B442" t="s">
        <v>70</v>
      </c>
      <c r="C442">
        <v>21</v>
      </c>
      <c r="D442" t="s">
        <v>89</v>
      </c>
      <c r="E442" t="s">
        <v>84</v>
      </c>
      <c r="F442" t="s">
        <v>85</v>
      </c>
      <c r="G442">
        <v>0</v>
      </c>
      <c r="H442">
        <v>2E+20</v>
      </c>
      <c r="I442">
        <v>0</v>
      </c>
      <c r="J442">
        <v>0</v>
      </c>
      <c r="K442">
        <v>199</v>
      </c>
      <c r="L442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42" cm="1">
        <f t="array" ref="M442">MAX(IF((ProjectInfoTable[ProjectName]=DiscreteStatsTable[[#This Row],[ProjectName]]),(ProjectInfoTable[ProjectName]=DiscreteStatsTable[[#This Row],[ProjectName]])*ProjectInfoTable[NumberOfReplications]))</f>
        <v>30</v>
      </c>
      <c r="N442" cm="1">
        <f t="array" ref="N442">IFERROR(AVERAGE(IF((DiscreteStatsTable[GroupByKey]=DiscreteStatsTable[[#This Row],[GroupByKey]]),(DiscreteStatsTable[GroupByKey]=DiscreteStatsTable[[#This Row],[GroupByKey]])*DiscreteStatsTable[Average])),0)</f>
        <v>0</v>
      </c>
      <c r="O442" cm="1">
        <f t="array" ref="O442">IFERROR(_xlfn.STDEV.S(IF((DiscreteStatsTable[GroupByKey]=DiscreteStatsTable[[#This Row],[GroupByKey]]),(DiscreteStatsTable[GroupByKey]=DiscreteStatsTable[[#This Row],[GroupByKey]])*DiscreteStatsTable[Average])),0)</f>
        <v>0</v>
      </c>
      <c r="P442" cm="1">
        <f t="array" ref="P442">MAX(IF((ProjectInfoTable[ProjectName]=DiscreteStatsTable[[#This Row],[ProjectName]]),(ProjectInfoTable[ProjectName]=DiscreteStatsTable[[#This Row],[ProjectName]])*ProjectInfoTable[ConfidenceInterval]))</f>
        <v>0.95</v>
      </c>
      <c r="Q442">
        <f>IF(AND(DiscreteStatsTable[[#This Row],[RepsWithStatObserved]]=1,Y442=0),200000000000000000000,IFERROR(_xlfn.T.INV.2T(1 -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2" cm="1">
        <f t="array" ref="R442">MIN(IF((DiscreteStatsTable[GroupByKey]=DiscreteStatsTable[[#This Row],[GroupByKey]]),(DiscreteStatsTable[GroupByKey]=DiscreteStatsTable[[#This Row],[GroupByKey]])*DiscreteStatsTable[Average]))</f>
        <v>0</v>
      </c>
      <c r="S442" cm="1">
        <f t="array" ref="S442">MAX(IF((DiscreteStatsTable[GroupByKey]=DiscreteStatsTable[[#This Row],[GroupByKey]]),(DiscreteStatsTable[GroupByKey]=DiscreteStatsTable[[#This Row],[GroupByKey]])*DiscreteStatsTable[Average]))</f>
        <v>0</v>
      </c>
      <c r="T442" cm="1">
        <f t="array" ref="T442">MIN(IF((DiscreteStatsTable[GroupByKey]=DiscreteStatsTable[[#This Row],[GroupByKey]]),(DiscreteStatsTable[GroupByKey]=DiscreteStatsTable[[#This Row],[GroupByKey]])*DiscreteStatsTable[Minimum]))</f>
        <v>0</v>
      </c>
      <c r="U442" cm="1">
        <f t="array" ref="U442">MAX(IF((DiscreteStatsTable[GroupByKey]=DiscreteStatsTable[[#This Row],[GroupByKey]]),(DiscreteStatsTable[GroupByKey]=DiscreteStatsTable[[#This Row],[GroupByKey]])*DiscreteStatsTable[Maximum]))</f>
        <v>0</v>
      </c>
      <c r="V442" cm="1">
        <f t="array" ref="V442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42">
        <f>IF((DiscreteStatsTable[[#This Row],[RepsRequested]]&gt;1),DiscreteStatsTable[[#This Row],[HalfWidth]],DiscreteStatsTable[[#This Row],[BatchMeansHalfWidth]])</f>
        <v>0</v>
      </c>
      <c r="X442" cm="1">
        <f t="array" ref="X442">COUNT(IF((DiscreteStatsTable[GroupByKey]=DiscreteStatsTable[[#This Row],[GroupByKey]]),(DiscreteStatsTable[GroupByKey]=DiscreteStatsTable[[#This Row],[GroupByKey]])*DiscreteStatsTable[Replication]))</f>
        <v>30</v>
      </c>
      <c r="Y442">
        <f>IF(DiscreteStatsTable[[#This Row],[RepsRequested]]=DiscreteStatsTable[[#This Row],[RepsWithStatObserved]],1,0)</f>
        <v>1</v>
      </c>
    </row>
    <row r="443" spans="1:25" x14ac:dyDescent="0.2">
      <c r="A443" t="s">
        <v>67</v>
      </c>
      <c r="B443" t="s">
        <v>70</v>
      </c>
      <c r="C443">
        <v>22</v>
      </c>
      <c r="D443" t="s">
        <v>89</v>
      </c>
      <c r="E443" t="s">
        <v>84</v>
      </c>
      <c r="F443" t="s">
        <v>85</v>
      </c>
      <c r="G443">
        <v>0</v>
      </c>
      <c r="H443">
        <v>2E+20</v>
      </c>
      <c r="I443">
        <v>0</v>
      </c>
      <c r="J443">
        <v>0</v>
      </c>
      <c r="K443">
        <v>213</v>
      </c>
      <c r="L443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43" cm="1">
        <f t="array" ref="M443">MAX(IF((ProjectInfoTable[ProjectName]=DiscreteStatsTable[[#This Row],[ProjectName]]),(ProjectInfoTable[ProjectName]=DiscreteStatsTable[[#This Row],[ProjectName]])*ProjectInfoTable[NumberOfReplications]))</f>
        <v>30</v>
      </c>
      <c r="N443" cm="1">
        <f t="array" ref="N443">IFERROR(AVERAGE(IF((DiscreteStatsTable[GroupByKey]=DiscreteStatsTable[[#This Row],[GroupByKey]]),(DiscreteStatsTable[GroupByKey]=DiscreteStatsTable[[#This Row],[GroupByKey]])*DiscreteStatsTable[Average])),0)</f>
        <v>0</v>
      </c>
      <c r="O443" cm="1">
        <f t="array" ref="O443">IFERROR(_xlfn.STDEV.S(IF((DiscreteStatsTable[GroupByKey]=DiscreteStatsTable[[#This Row],[GroupByKey]]),(DiscreteStatsTable[GroupByKey]=DiscreteStatsTable[[#This Row],[GroupByKey]])*DiscreteStatsTable[Average])),0)</f>
        <v>0</v>
      </c>
      <c r="P443" cm="1">
        <f t="array" ref="P443">MAX(IF((ProjectInfoTable[ProjectName]=DiscreteStatsTable[[#This Row],[ProjectName]]),(ProjectInfoTable[ProjectName]=DiscreteStatsTable[[#This Row],[ProjectName]])*ProjectInfoTable[ConfidenceInterval]))</f>
        <v>0.95</v>
      </c>
      <c r="Q443">
        <f>IF(AND(DiscreteStatsTable[[#This Row],[RepsWithStatObserved]]=1,Y443=0),200000000000000000000,IFERROR(_xlfn.T.INV.2T(1 -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3" cm="1">
        <f t="array" ref="R443">MIN(IF((DiscreteStatsTable[GroupByKey]=DiscreteStatsTable[[#This Row],[GroupByKey]]),(DiscreteStatsTable[GroupByKey]=DiscreteStatsTable[[#This Row],[GroupByKey]])*DiscreteStatsTable[Average]))</f>
        <v>0</v>
      </c>
      <c r="S443" cm="1">
        <f t="array" ref="S443">MAX(IF((DiscreteStatsTable[GroupByKey]=DiscreteStatsTable[[#This Row],[GroupByKey]]),(DiscreteStatsTable[GroupByKey]=DiscreteStatsTable[[#This Row],[GroupByKey]])*DiscreteStatsTable[Average]))</f>
        <v>0</v>
      </c>
      <c r="T443" cm="1">
        <f t="array" ref="T443">MIN(IF((DiscreteStatsTable[GroupByKey]=DiscreteStatsTable[[#This Row],[GroupByKey]]),(DiscreteStatsTable[GroupByKey]=DiscreteStatsTable[[#This Row],[GroupByKey]])*DiscreteStatsTable[Minimum]))</f>
        <v>0</v>
      </c>
      <c r="U443" cm="1">
        <f t="array" ref="U443">MAX(IF((DiscreteStatsTable[GroupByKey]=DiscreteStatsTable[[#This Row],[GroupByKey]]),(DiscreteStatsTable[GroupByKey]=DiscreteStatsTable[[#This Row],[GroupByKey]])*DiscreteStatsTable[Maximum]))</f>
        <v>0</v>
      </c>
      <c r="V443" cm="1">
        <f t="array" ref="V443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43">
        <f>IF((DiscreteStatsTable[[#This Row],[RepsRequested]]&gt;1),DiscreteStatsTable[[#This Row],[HalfWidth]],DiscreteStatsTable[[#This Row],[BatchMeansHalfWidth]])</f>
        <v>0</v>
      </c>
      <c r="X443" cm="1">
        <f t="array" ref="X443">COUNT(IF((DiscreteStatsTable[GroupByKey]=DiscreteStatsTable[[#This Row],[GroupByKey]]),(DiscreteStatsTable[GroupByKey]=DiscreteStatsTable[[#This Row],[GroupByKey]])*DiscreteStatsTable[Replication]))</f>
        <v>30</v>
      </c>
      <c r="Y443">
        <f>IF(DiscreteStatsTable[[#This Row],[RepsRequested]]=DiscreteStatsTable[[#This Row],[RepsWithStatObserved]],1,0)</f>
        <v>1</v>
      </c>
    </row>
    <row r="444" spans="1:25" x14ac:dyDescent="0.2">
      <c r="A444" t="s">
        <v>67</v>
      </c>
      <c r="B444" t="s">
        <v>70</v>
      </c>
      <c r="C444">
        <v>23</v>
      </c>
      <c r="D444" t="s">
        <v>89</v>
      </c>
      <c r="E444" t="s">
        <v>84</v>
      </c>
      <c r="F444" t="s">
        <v>85</v>
      </c>
      <c r="G444">
        <v>0</v>
      </c>
      <c r="H444">
        <v>2E+20</v>
      </c>
      <c r="I444">
        <v>0</v>
      </c>
      <c r="J444">
        <v>0</v>
      </c>
      <c r="K444">
        <v>218</v>
      </c>
      <c r="L444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44" cm="1">
        <f t="array" ref="M444">MAX(IF((ProjectInfoTable[ProjectName]=DiscreteStatsTable[[#This Row],[ProjectName]]),(ProjectInfoTable[ProjectName]=DiscreteStatsTable[[#This Row],[ProjectName]])*ProjectInfoTable[NumberOfReplications]))</f>
        <v>30</v>
      </c>
      <c r="N444" cm="1">
        <f t="array" ref="N444">IFERROR(AVERAGE(IF((DiscreteStatsTable[GroupByKey]=DiscreteStatsTable[[#This Row],[GroupByKey]]),(DiscreteStatsTable[GroupByKey]=DiscreteStatsTable[[#This Row],[GroupByKey]])*DiscreteStatsTable[Average])),0)</f>
        <v>0</v>
      </c>
      <c r="O444" cm="1">
        <f t="array" ref="O444">IFERROR(_xlfn.STDEV.S(IF((DiscreteStatsTable[GroupByKey]=DiscreteStatsTable[[#This Row],[GroupByKey]]),(DiscreteStatsTable[GroupByKey]=DiscreteStatsTable[[#This Row],[GroupByKey]])*DiscreteStatsTable[Average])),0)</f>
        <v>0</v>
      </c>
      <c r="P444" cm="1">
        <f t="array" ref="P444">MAX(IF((ProjectInfoTable[ProjectName]=DiscreteStatsTable[[#This Row],[ProjectName]]),(ProjectInfoTable[ProjectName]=DiscreteStatsTable[[#This Row],[ProjectName]])*ProjectInfoTable[ConfidenceInterval]))</f>
        <v>0.95</v>
      </c>
      <c r="Q444">
        <f>IF(AND(DiscreteStatsTable[[#This Row],[RepsWithStatObserved]]=1,Y444=0),200000000000000000000,IFERROR(_xlfn.T.INV.2T(1 -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4" cm="1">
        <f t="array" ref="R444">MIN(IF((DiscreteStatsTable[GroupByKey]=DiscreteStatsTable[[#This Row],[GroupByKey]]),(DiscreteStatsTable[GroupByKey]=DiscreteStatsTable[[#This Row],[GroupByKey]])*DiscreteStatsTable[Average]))</f>
        <v>0</v>
      </c>
      <c r="S444" cm="1">
        <f t="array" ref="S444">MAX(IF((DiscreteStatsTable[GroupByKey]=DiscreteStatsTable[[#This Row],[GroupByKey]]),(DiscreteStatsTable[GroupByKey]=DiscreteStatsTable[[#This Row],[GroupByKey]])*DiscreteStatsTable[Average]))</f>
        <v>0</v>
      </c>
      <c r="T444" cm="1">
        <f t="array" ref="T444">MIN(IF((DiscreteStatsTable[GroupByKey]=DiscreteStatsTable[[#This Row],[GroupByKey]]),(DiscreteStatsTable[GroupByKey]=DiscreteStatsTable[[#This Row],[GroupByKey]])*DiscreteStatsTable[Minimum]))</f>
        <v>0</v>
      </c>
      <c r="U444" cm="1">
        <f t="array" ref="U444">MAX(IF((DiscreteStatsTable[GroupByKey]=DiscreteStatsTable[[#This Row],[GroupByKey]]),(DiscreteStatsTable[GroupByKey]=DiscreteStatsTable[[#This Row],[GroupByKey]])*DiscreteStatsTable[Maximum]))</f>
        <v>0</v>
      </c>
      <c r="V444" cm="1">
        <f t="array" ref="V444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44">
        <f>IF((DiscreteStatsTable[[#This Row],[RepsRequested]]&gt;1),DiscreteStatsTable[[#This Row],[HalfWidth]],DiscreteStatsTable[[#This Row],[BatchMeansHalfWidth]])</f>
        <v>0</v>
      </c>
      <c r="X444" cm="1">
        <f t="array" ref="X444">COUNT(IF((DiscreteStatsTable[GroupByKey]=DiscreteStatsTable[[#This Row],[GroupByKey]]),(DiscreteStatsTable[GroupByKey]=DiscreteStatsTable[[#This Row],[GroupByKey]])*DiscreteStatsTable[Replication]))</f>
        <v>30</v>
      </c>
      <c r="Y444">
        <f>IF(DiscreteStatsTable[[#This Row],[RepsRequested]]=DiscreteStatsTable[[#This Row],[RepsWithStatObserved]],1,0)</f>
        <v>1</v>
      </c>
    </row>
    <row r="445" spans="1:25" x14ac:dyDescent="0.2">
      <c r="A445" t="s">
        <v>67</v>
      </c>
      <c r="B445" t="s">
        <v>70</v>
      </c>
      <c r="C445">
        <v>24</v>
      </c>
      <c r="D445" t="s">
        <v>89</v>
      </c>
      <c r="E445" t="s">
        <v>84</v>
      </c>
      <c r="F445" t="s">
        <v>85</v>
      </c>
      <c r="G445">
        <v>0</v>
      </c>
      <c r="H445">
        <v>2E+20</v>
      </c>
      <c r="I445">
        <v>0</v>
      </c>
      <c r="J445">
        <v>0</v>
      </c>
      <c r="K445">
        <v>210</v>
      </c>
      <c r="L445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45" cm="1">
        <f t="array" ref="M445">MAX(IF((ProjectInfoTable[ProjectName]=DiscreteStatsTable[[#This Row],[ProjectName]]),(ProjectInfoTable[ProjectName]=DiscreteStatsTable[[#This Row],[ProjectName]])*ProjectInfoTable[NumberOfReplications]))</f>
        <v>30</v>
      </c>
      <c r="N445" cm="1">
        <f t="array" ref="N445">IFERROR(AVERAGE(IF((DiscreteStatsTable[GroupByKey]=DiscreteStatsTable[[#This Row],[GroupByKey]]),(DiscreteStatsTable[GroupByKey]=DiscreteStatsTable[[#This Row],[GroupByKey]])*DiscreteStatsTable[Average])),0)</f>
        <v>0</v>
      </c>
      <c r="O445" cm="1">
        <f t="array" ref="O445">IFERROR(_xlfn.STDEV.S(IF((DiscreteStatsTable[GroupByKey]=DiscreteStatsTable[[#This Row],[GroupByKey]]),(DiscreteStatsTable[GroupByKey]=DiscreteStatsTable[[#This Row],[GroupByKey]])*DiscreteStatsTable[Average])),0)</f>
        <v>0</v>
      </c>
      <c r="P445" cm="1">
        <f t="array" ref="P445">MAX(IF((ProjectInfoTable[ProjectName]=DiscreteStatsTable[[#This Row],[ProjectName]]),(ProjectInfoTable[ProjectName]=DiscreteStatsTable[[#This Row],[ProjectName]])*ProjectInfoTable[ConfidenceInterval]))</f>
        <v>0.95</v>
      </c>
      <c r="Q445">
        <f>IF(AND(DiscreteStatsTable[[#This Row],[RepsWithStatObserved]]=1,Y445=0),200000000000000000000,IFERROR(_xlfn.T.INV.2T(1 -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5" cm="1">
        <f t="array" ref="R445">MIN(IF((DiscreteStatsTable[GroupByKey]=DiscreteStatsTable[[#This Row],[GroupByKey]]),(DiscreteStatsTable[GroupByKey]=DiscreteStatsTable[[#This Row],[GroupByKey]])*DiscreteStatsTable[Average]))</f>
        <v>0</v>
      </c>
      <c r="S445" cm="1">
        <f t="array" ref="S445">MAX(IF((DiscreteStatsTable[GroupByKey]=DiscreteStatsTable[[#This Row],[GroupByKey]]),(DiscreteStatsTable[GroupByKey]=DiscreteStatsTable[[#This Row],[GroupByKey]])*DiscreteStatsTable[Average]))</f>
        <v>0</v>
      </c>
      <c r="T445" cm="1">
        <f t="array" ref="T445">MIN(IF((DiscreteStatsTable[GroupByKey]=DiscreteStatsTable[[#This Row],[GroupByKey]]),(DiscreteStatsTable[GroupByKey]=DiscreteStatsTable[[#This Row],[GroupByKey]])*DiscreteStatsTable[Minimum]))</f>
        <v>0</v>
      </c>
      <c r="U445" cm="1">
        <f t="array" ref="U445">MAX(IF((DiscreteStatsTable[GroupByKey]=DiscreteStatsTable[[#This Row],[GroupByKey]]),(DiscreteStatsTable[GroupByKey]=DiscreteStatsTable[[#This Row],[GroupByKey]])*DiscreteStatsTable[Maximum]))</f>
        <v>0</v>
      </c>
      <c r="V445" cm="1">
        <f t="array" ref="V445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45">
        <f>IF((DiscreteStatsTable[[#This Row],[RepsRequested]]&gt;1),DiscreteStatsTable[[#This Row],[HalfWidth]],DiscreteStatsTable[[#This Row],[BatchMeansHalfWidth]])</f>
        <v>0</v>
      </c>
      <c r="X445" cm="1">
        <f t="array" ref="X445">COUNT(IF((DiscreteStatsTable[GroupByKey]=DiscreteStatsTable[[#This Row],[GroupByKey]]),(DiscreteStatsTable[GroupByKey]=DiscreteStatsTable[[#This Row],[GroupByKey]])*DiscreteStatsTable[Replication]))</f>
        <v>30</v>
      </c>
      <c r="Y445">
        <f>IF(DiscreteStatsTable[[#This Row],[RepsRequested]]=DiscreteStatsTable[[#This Row],[RepsWithStatObserved]],1,0)</f>
        <v>1</v>
      </c>
    </row>
    <row r="446" spans="1:25" x14ac:dyDescent="0.2">
      <c r="A446" t="s">
        <v>67</v>
      </c>
      <c r="B446" t="s">
        <v>70</v>
      </c>
      <c r="C446">
        <v>25</v>
      </c>
      <c r="D446" t="s">
        <v>89</v>
      </c>
      <c r="E446" t="s">
        <v>84</v>
      </c>
      <c r="F446" t="s">
        <v>85</v>
      </c>
      <c r="G446">
        <v>0</v>
      </c>
      <c r="H446">
        <v>2E+20</v>
      </c>
      <c r="I446">
        <v>0</v>
      </c>
      <c r="J446">
        <v>0</v>
      </c>
      <c r="K446">
        <v>204</v>
      </c>
      <c r="L446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46" cm="1">
        <f t="array" ref="M446">MAX(IF((ProjectInfoTable[ProjectName]=DiscreteStatsTable[[#This Row],[ProjectName]]),(ProjectInfoTable[ProjectName]=DiscreteStatsTable[[#This Row],[ProjectName]])*ProjectInfoTable[NumberOfReplications]))</f>
        <v>30</v>
      </c>
      <c r="N446" cm="1">
        <f t="array" ref="N446">IFERROR(AVERAGE(IF((DiscreteStatsTable[GroupByKey]=DiscreteStatsTable[[#This Row],[GroupByKey]]),(DiscreteStatsTable[GroupByKey]=DiscreteStatsTable[[#This Row],[GroupByKey]])*DiscreteStatsTable[Average])),0)</f>
        <v>0</v>
      </c>
      <c r="O446" cm="1">
        <f t="array" ref="O446">IFERROR(_xlfn.STDEV.S(IF((DiscreteStatsTable[GroupByKey]=DiscreteStatsTable[[#This Row],[GroupByKey]]),(DiscreteStatsTable[GroupByKey]=DiscreteStatsTable[[#This Row],[GroupByKey]])*DiscreteStatsTable[Average])),0)</f>
        <v>0</v>
      </c>
      <c r="P446" cm="1">
        <f t="array" ref="P446">MAX(IF((ProjectInfoTable[ProjectName]=DiscreteStatsTable[[#This Row],[ProjectName]]),(ProjectInfoTable[ProjectName]=DiscreteStatsTable[[#This Row],[ProjectName]])*ProjectInfoTable[ConfidenceInterval]))</f>
        <v>0.95</v>
      </c>
      <c r="Q446">
        <f>IF(AND(DiscreteStatsTable[[#This Row],[RepsWithStatObserved]]=1,Y446=0),200000000000000000000,IFERROR(_xlfn.T.INV.2T(1 -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6" cm="1">
        <f t="array" ref="R446">MIN(IF((DiscreteStatsTable[GroupByKey]=DiscreteStatsTable[[#This Row],[GroupByKey]]),(DiscreteStatsTable[GroupByKey]=DiscreteStatsTable[[#This Row],[GroupByKey]])*DiscreteStatsTable[Average]))</f>
        <v>0</v>
      </c>
      <c r="S446" cm="1">
        <f t="array" ref="S446">MAX(IF((DiscreteStatsTable[GroupByKey]=DiscreteStatsTable[[#This Row],[GroupByKey]]),(DiscreteStatsTable[GroupByKey]=DiscreteStatsTable[[#This Row],[GroupByKey]])*DiscreteStatsTable[Average]))</f>
        <v>0</v>
      </c>
      <c r="T446" cm="1">
        <f t="array" ref="T446">MIN(IF((DiscreteStatsTable[GroupByKey]=DiscreteStatsTable[[#This Row],[GroupByKey]]),(DiscreteStatsTable[GroupByKey]=DiscreteStatsTable[[#This Row],[GroupByKey]])*DiscreteStatsTable[Minimum]))</f>
        <v>0</v>
      </c>
      <c r="U446" cm="1">
        <f t="array" ref="U446">MAX(IF((DiscreteStatsTable[GroupByKey]=DiscreteStatsTable[[#This Row],[GroupByKey]]),(DiscreteStatsTable[GroupByKey]=DiscreteStatsTable[[#This Row],[GroupByKey]])*DiscreteStatsTable[Maximum]))</f>
        <v>0</v>
      </c>
      <c r="V446" cm="1">
        <f t="array" ref="V446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46">
        <f>IF((DiscreteStatsTable[[#This Row],[RepsRequested]]&gt;1),DiscreteStatsTable[[#This Row],[HalfWidth]],DiscreteStatsTable[[#This Row],[BatchMeansHalfWidth]])</f>
        <v>0</v>
      </c>
      <c r="X446" cm="1">
        <f t="array" ref="X446">COUNT(IF((DiscreteStatsTable[GroupByKey]=DiscreteStatsTable[[#This Row],[GroupByKey]]),(DiscreteStatsTable[GroupByKey]=DiscreteStatsTable[[#This Row],[GroupByKey]])*DiscreteStatsTable[Replication]))</f>
        <v>30</v>
      </c>
      <c r="Y446">
        <f>IF(DiscreteStatsTable[[#This Row],[RepsRequested]]=DiscreteStatsTable[[#This Row],[RepsWithStatObserved]],1,0)</f>
        <v>1</v>
      </c>
    </row>
    <row r="447" spans="1:25" x14ac:dyDescent="0.2">
      <c r="A447" t="s">
        <v>67</v>
      </c>
      <c r="B447" t="s">
        <v>70</v>
      </c>
      <c r="C447">
        <v>26</v>
      </c>
      <c r="D447" t="s">
        <v>89</v>
      </c>
      <c r="E447" t="s">
        <v>84</v>
      </c>
      <c r="F447" t="s">
        <v>85</v>
      </c>
      <c r="G447">
        <v>0</v>
      </c>
      <c r="H447">
        <v>2E+20</v>
      </c>
      <c r="I447">
        <v>0</v>
      </c>
      <c r="J447">
        <v>0</v>
      </c>
      <c r="K447">
        <v>177</v>
      </c>
      <c r="L447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47" cm="1">
        <f t="array" ref="M447">MAX(IF((ProjectInfoTable[ProjectName]=DiscreteStatsTable[[#This Row],[ProjectName]]),(ProjectInfoTable[ProjectName]=DiscreteStatsTable[[#This Row],[ProjectName]])*ProjectInfoTable[NumberOfReplications]))</f>
        <v>30</v>
      </c>
      <c r="N447" cm="1">
        <f t="array" ref="N447">IFERROR(AVERAGE(IF((DiscreteStatsTable[GroupByKey]=DiscreteStatsTable[[#This Row],[GroupByKey]]),(DiscreteStatsTable[GroupByKey]=DiscreteStatsTable[[#This Row],[GroupByKey]])*DiscreteStatsTable[Average])),0)</f>
        <v>0</v>
      </c>
      <c r="O447" cm="1">
        <f t="array" ref="O447">IFERROR(_xlfn.STDEV.S(IF((DiscreteStatsTable[GroupByKey]=DiscreteStatsTable[[#This Row],[GroupByKey]]),(DiscreteStatsTable[GroupByKey]=DiscreteStatsTable[[#This Row],[GroupByKey]])*DiscreteStatsTable[Average])),0)</f>
        <v>0</v>
      </c>
      <c r="P447" cm="1">
        <f t="array" ref="P447">MAX(IF((ProjectInfoTable[ProjectName]=DiscreteStatsTable[[#This Row],[ProjectName]]),(ProjectInfoTable[ProjectName]=DiscreteStatsTable[[#This Row],[ProjectName]])*ProjectInfoTable[ConfidenceInterval]))</f>
        <v>0.95</v>
      </c>
      <c r="Q447">
        <f>IF(AND(DiscreteStatsTable[[#This Row],[RepsWithStatObserved]]=1,Y447=0),200000000000000000000,IFERROR(_xlfn.T.INV.2T(1 -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7" cm="1">
        <f t="array" ref="R447">MIN(IF((DiscreteStatsTable[GroupByKey]=DiscreteStatsTable[[#This Row],[GroupByKey]]),(DiscreteStatsTable[GroupByKey]=DiscreteStatsTable[[#This Row],[GroupByKey]])*DiscreteStatsTable[Average]))</f>
        <v>0</v>
      </c>
      <c r="S447" cm="1">
        <f t="array" ref="S447">MAX(IF((DiscreteStatsTable[GroupByKey]=DiscreteStatsTable[[#This Row],[GroupByKey]]),(DiscreteStatsTable[GroupByKey]=DiscreteStatsTable[[#This Row],[GroupByKey]])*DiscreteStatsTable[Average]))</f>
        <v>0</v>
      </c>
      <c r="T447" cm="1">
        <f t="array" ref="T447">MIN(IF((DiscreteStatsTable[GroupByKey]=DiscreteStatsTable[[#This Row],[GroupByKey]]),(DiscreteStatsTable[GroupByKey]=DiscreteStatsTable[[#This Row],[GroupByKey]])*DiscreteStatsTable[Minimum]))</f>
        <v>0</v>
      </c>
      <c r="U447" cm="1">
        <f t="array" ref="U447">MAX(IF((DiscreteStatsTable[GroupByKey]=DiscreteStatsTable[[#This Row],[GroupByKey]]),(DiscreteStatsTable[GroupByKey]=DiscreteStatsTable[[#This Row],[GroupByKey]])*DiscreteStatsTable[Maximum]))</f>
        <v>0</v>
      </c>
      <c r="V447" cm="1">
        <f t="array" ref="V447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47">
        <f>IF((DiscreteStatsTable[[#This Row],[RepsRequested]]&gt;1),DiscreteStatsTable[[#This Row],[HalfWidth]],DiscreteStatsTable[[#This Row],[BatchMeansHalfWidth]])</f>
        <v>0</v>
      </c>
      <c r="X447" cm="1">
        <f t="array" ref="X447">COUNT(IF((DiscreteStatsTable[GroupByKey]=DiscreteStatsTable[[#This Row],[GroupByKey]]),(DiscreteStatsTable[GroupByKey]=DiscreteStatsTable[[#This Row],[GroupByKey]])*DiscreteStatsTable[Replication]))</f>
        <v>30</v>
      </c>
      <c r="Y447">
        <f>IF(DiscreteStatsTable[[#This Row],[RepsRequested]]=DiscreteStatsTable[[#This Row],[RepsWithStatObserved]],1,0)</f>
        <v>1</v>
      </c>
    </row>
    <row r="448" spans="1:25" x14ac:dyDescent="0.2">
      <c r="A448" t="s">
        <v>67</v>
      </c>
      <c r="B448" t="s">
        <v>70</v>
      </c>
      <c r="C448">
        <v>27</v>
      </c>
      <c r="D448" t="s">
        <v>89</v>
      </c>
      <c r="E448" t="s">
        <v>84</v>
      </c>
      <c r="F448" t="s">
        <v>85</v>
      </c>
      <c r="G448">
        <v>0</v>
      </c>
      <c r="H448">
        <v>2E+20</v>
      </c>
      <c r="I448">
        <v>0</v>
      </c>
      <c r="J448">
        <v>0</v>
      </c>
      <c r="K448">
        <v>203</v>
      </c>
      <c r="L448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48" cm="1">
        <f t="array" ref="M448">MAX(IF((ProjectInfoTable[ProjectName]=DiscreteStatsTable[[#This Row],[ProjectName]]),(ProjectInfoTable[ProjectName]=DiscreteStatsTable[[#This Row],[ProjectName]])*ProjectInfoTable[NumberOfReplications]))</f>
        <v>30</v>
      </c>
      <c r="N448" cm="1">
        <f t="array" ref="N448">IFERROR(AVERAGE(IF((DiscreteStatsTable[GroupByKey]=DiscreteStatsTable[[#This Row],[GroupByKey]]),(DiscreteStatsTable[GroupByKey]=DiscreteStatsTable[[#This Row],[GroupByKey]])*DiscreteStatsTable[Average])),0)</f>
        <v>0</v>
      </c>
      <c r="O448" cm="1">
        <f t="array" ref="O448">IFERROR(_xlfn.STDEV.S(IF((DiscreteStatsTable[GroupByKey]=DiscreteStatsTable[[#This Row],[GroupByKey]]),(DiscreteStatsTable[GroupByKey]=DiscreteStatsTable[[#This Row],[GroupByKey]])*DiscreteStatsTable[Average])),0)</f>
        <v>0</v>
      </c>
      <c r="P448" cm="1">
        <f t="array" ref="P448">MAX(IF((ProjectInfoTable[ProjectName]=DiscreteStatsTable[[#This Row],[ProjectName]]),(ProjectInfoTable[ProjectName]=DiscreteStatsTable[[#This Row],[ProjectName]])*ProjectInfoTable[ConfidenceInterval]))</f>
        <v>0.95</v>
      </c>
      <c r="Q448">
        <f>IF(AND(DiscreteStatsTable[[#This Row],[RepsWithStatObserved]]=1,Y448=0),200000000000000000000,IFERROR(_xlfn.T.INV.2T(1 -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8" cm="1">
        <f t="array" ref="R448">MIN(IF((DiscreteStatsTable[GroupByKey]=DiscreteStatsTable[[#This Row],[GroupByKey]]),(DiscreteStatsTable[GroupByKey]=DiscreteStatsTable[[#This Row],[GroupByKey]])*DiscreteStatsTable[Average]))</f>
        <v>0</v>
      </c>
      <c r="S448" cm="1">
        <f t="array" ref="S448">MAX(IF((DiscreteStatsTable[GroupByKey]=DiscreteStatsTable[[#This Row],[GroupByKey]]),(DiscreteStatsTable[GroupByKey]=DiscreteStatsTable[[#This Row],[GroupByKey]])*DiscreteStatsTable[Average]))</f>
        <v>0</v>
      </c>
      <c r="T448" cm="1">
        <f t="array" ref="T448">MIN(IF((DiscreteStatsTable[GroupByKey]=DiscreteStatsTable[[#This Row],[GroupByKey]]),(DiscreteStatsTable[GroupByKey]=DiscreteStatsTable[[#This Row],[GroupByKey]])*DiscreteStatsTable[Minimum]))</f>
        <v>0</v>
      </c>
      <c r="U448" cm="1">
        <f t="array" ref="U448">MAX(IF((DiscreteStatsTable[GroupByKey]=DiscreteStatsTable[[#This Row],[GroupByKey]]),(DiscreteStatsTable[GroupByKey]=DiscreteStatsTable[[#This Row],[GroupByKey]])*DiscreteStatsTable[Maximum]))</f>
        <v>0</v>
      </c>
      <c r="V448" cm="1">
        <f t="array" ref="V448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48">
        <f>IF((DiscreteStatsTable[[#This Row],[RepsRequested]]&gt;1),DiscreteStatsTable[[#This Row],[HalfWidth]],DiscreteStatsTable[[#This Row],[BatchMeansHalfWidth]])</f>
        <v>0</v>
      </c>
      <c r="X448" cm="1">
        <f t="array" ref="X448">COUNT(IF((DiscreteStatsTable[GroupByKey]=DiscreteStatsTable[[#This Row],[GroupByKey]]),(DiscreteStatsTable[GroupByKey]=DiscreteStatsTable[[#This Row],[GroupByKey]])*DiscreteStatsTable[Replication]))</f>
        <v>30</v>
      </c>
      <c r="Y448">
        <f>IF(DiscreteStatsTable[[#This Row],[RepsRequested]]=DiscreteStatsTable[[#This Row],[RepsWithStatObserved]],1,0)</f>
        <v>1</v>
      </c>
    </row>
    <row r="449" spans="1:25" x14ac:dyDescent="0.2">
      <c r="A449" t="s">
        <v>67</v>
      </c>
      <c r="B449" t="s">
        <v>70</v>
      </c>
      <c r="C449">
        <v>28</v>
      </c>
      <c r="D449" t="s">
        <v>89</v>
      </c>
      <c r="E449" t="s">
        <v>84</v>
      </c>
      <c r="F449" t="s">
        <v>85</v>
      </c>
      <c r="G449">
        <v>0</v>
      </c>
      <c r="H449">
        <v>2E+20</v>
      </c>
      <c r="I449">
        <v>0</v>
      </c>
      <c r="J449">
        <v>0</v>
      </c>
      <c r="K449">
        <v>193</v>
      </c>
      <c r="L449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49" cm="1">
        <f t="array" ref="M449">MAX(IF((ProjectInfoTable[ProjectName]=DiscreteStatsTable[[#This Row],[ProjectName]]),(ProjectInfoTable[ProjectName]=DiscreteStatsTable[[#This Row],[ProjectName]])*ProjectInfoTable[NumberOfReplications]))</f>
        <v>30</v>
      </c>
      <c r="N449" cm="1">
        <f t="array" ref="N449">IFERROR(AVERAGE(IF((DiscreteStatsTable[GroupByKey]=DiscreteStatsTable[[#This Row],[GroupByKey]]),(DiscreteStatsTable[GroupByKey]=DiscreteStatsTable[[#This Row],[GroupByKey]])*DiscreteStatsTable[Average])),0)</f>
        <v>0</v>
      </c>
      <c r="O449" cm="1">
        <f t="array" ref="O449">IFERROR(_xlfn.STDEV.S(IF((DiscreteStatsTable[GroupByKey]=DiscreteStatsTable[[#This Row],[GroupByKey]]),(DiscreteStatsTable[GroupByKey]=DiscreteStatsTable[[#This Row],[GroupByKey]])*DiscreteStatsTable[Average])),0)</f>
        <v>0</v>
      </c>
      <c r="P449" cm="1">
        <f t="array" ref="P449">MAX(IF((ProjectInfoTable[ProjectName]=DiscreteStatsTable[[#This Row],[ProjectName]]),(ProjectInfoTable[ProjectName]=DiscreteStatsTable[[#This Row],[ProjectName]])*ProjectInfoTable[ConfidenceInterval]))</f>
        <v>0.95</v>
      </c>
      <c r="Q449">
        <f>IF(AND(DiscreteStatsTable[[#This Row],[RepsWithStatObserved]]=1,Y449=0),200000000000000000000,IFERROR(_xlfn.T.INV.2T(1 -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9" cm="1">
        <f t="array" ref="R449">MIN(IF((DiscreteStatsTable[GroupByKey]=DiscreteStatsTable[[#This Row],[GroupByKey]]),(DiscreteStatsTable[GroupByKey]=DiscreteStatsTable[[#This Row],[GroupByKey]])*DiscreteStatsTable[Average]))</f>
        <v>0</v>
      </c>
      <c r="S449" cm="1">
        <f t="array" ref="S449">MAX(IF((DiscreteStatsTable[GroupByKey]=DiscreteStatsTable[[#This Row],[GroupByKey]]),(DiscreteStatsTable[GroupByKey]=DiscreteStatsTable[[#This Row],[GroupByKey]])*DiscreteStatsTable[Average]))</f>
        <v>0</v>
      </c>
      <c r="T449" cm="1">
        <f t="array" ref="T449">MIN(IF((DiscreteStatsTable[GroupByKey]=DiscreteStatsTable[[#This Row],[GroupByKey]]),(DiscreteStatsTable[GroupByKey]=DiscreteStatsTable[[#This Row],[GroupByKey]])*DiscreteStatsTable[Minimum]))</f>
        <v>0</v>
      </c>
      <c r="U449" cm="1">
        <f t="array" ref="U449">MAX(IF((DiscreteStatsTable[GroupByKey]=DiscreteStatsTable[[#This Row],[GroupByKey]]),(DiscreteStatsTable[GroupByKey]=DiscreteStatsTable[[#This Row],[GroupByKey]])*DiscreteStatsTable[Maximum]))</f>
        <v>0</v>
      </c>
      <c r="V449" cm="1">
        <f t="array" ref="V449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49">
        <f>IF((DiscreteStatsTable[[#This Row],[RepsRequested]]&gt;1),DiscreteStatsTable[[#This Row],[HalfWidth]],DiscreteStatsTable[[#This Row],[BatchMeansHalfWidth]])</f>
        <v>0</v>
      </c>
      <c r="X449" cm="1">
        <f t="array" ref="X449">COUNT(IF((DiscreteStatsTable[GroupByKey]=DiscreteStatsTable[[#This Row],[GroupByKey]]),(DiscreteStatsTable[GroupByKey]=DiscreteStatsTable[[#This Row],[GroupByKey]])*DiscreteStatsTable[Replication]))</f>
        <v>30</v>
      </c>
      <c r="Y449">
        <f>IF(DiscreteStatsTable[[#This Row],[RepsRequested]]=DiscreteStatsTable[[#This Row],[RepsWithStatObserved]],1,0)</f>
        <v>1</v>
      </c>
    </row>
    <row r="450" spans="1:25" x14ac:dyDescent="0.2">
      <c r="A450" t="s">
        <v>67</v>
      </c>
      <c r="B450" t="s">
        <v>70</v>
      </c>
      <c r="C450">
        <v>29</v>
      </c>
      <c r="D450" t="s">
        <v>89</v>
      </c>
      <c r="E450" t="s">
        <v>84</v>
      </c>
      <c r="F450" t="s">
        <v>85</v>
      </c>
      <c r="G450">
        <v>0</v>
      </c>
      <c r="H450">
        <v>2E+20</v>
      </c>
      <c r="I450">
        <v>0</v>
      </c>
      <c r="J450">
        <v>0</v>
      </c>
      <c r="K450">
        <v>206</v>
      </c>
      <c r="L450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50" cm="1">
        <f t="array" ref="M450">MAX(IF((ProjectInfoTable[ProjectName]=DiscreteStatsTable[[#This Row],[ProjectName]]),(ProjectInfoTable[ProjectName]=DiscreteStatsTable[[#This Row],[ProjectName]])*ProjectInfoTable[NumberOfReplications]))</f>
        <v>30</v>
      </c>
      <c r="N450" cm="1">
        <f t="array" ref="N450">IFERROR(AVERAGE(IF((DiscreteStatsTable[GroupByKey]=DiscreteStatsTable[[#This Row],[GroupByKey]]),(DiscreteStatsTable[GroupByKey]=DiscreteStatsTable[[#This Row],[GroupByKey]])*DiscreteStatsTable[Average])),0)</f>
        <v>0</v>
      </c>
      <c r="O450" cm="1">
        <f t="array" ref="O450">IFERROR(_xlfn.STDEV.S(IF((DiscreteStatsTable[GroupByKey]=DiscreteStatsTable[[#This Row],[GroupByKey]]),(DiscreteStatsTable[GroupByKey]=DiscreteStatsTable[[#This Row],[GroupByKey]])*DiscreteStatsTable[Average])),0)</f>
        <v>0</v>
      </c>
      <c r="P450" cm="1">
        <f t="array" ref="P450">MAX(IF((ProjectInfoTable[ProjectName]=DiscreteStatsTable[[#This Row],[ProjectName]]),(ProjectInfoTable[ProjectName]=DiscreteStatsTable[[#This Row],[ProjectName]])*ProjectInfoTable[ConfidenceInterval]))</f>
        <v>0.95</v>
      </c>
      <c r="Q450">
        <f>IF(AND(DiscreteStatsTable[[#This Row],[RepsWithStatObserved]]=1,Y450=0),200000000000000000000,IFERROR(_xlfn.T.INV.2T(1 -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0" cm="1">
        <f t="array" ref="R450">MIN(IF((DiscreteStatsTable[GroupByKey]=DiscreteStatsTable[[#This Row],[GroupByKey]]),(DiscreteStatsTable[GroupByKey]=DiscreteStatsTable[[#This Row],[GroupByKey]])*DiscreteStatsTable[Average]))</f>
        <v>0</v>
      </c>
      <c r="S450" cm="1">
        <f t="array" ref="S450">MAX(IF((DiscreteStatsTable[GroupByKey]=DiscreteStatsTable[[#This Row],[GroupByKey]]),(DiscreteStatsTable[GroupByKey]=DiscreteStatsTable[[#This Row],[GroupByKey]])*DiscreteStatsTable[Average]))</f>
        <v>0</v>
      </c>
      <c r="T450" cm="1">
        <f t="array" ref="T450">MIN(IF((DiscreteStatsTable[GroupByKey]=DiscreteStatsTable[[#This Row],[GroupByKey]]),(DiscreteStatsTable[GroupByKey]=DiscreteStatsTable[[#This Row],[GroupByKey]])*DiscreteStatsTable[Minimum]))</f>
        <v>0</v>
      </c>
      <c r="U450" cm="1">
        <f t="array" ref="U450">MAX(IF((DiscreteStatsTable[GroupByKey]=DiscreteStatsTable[[#This Row],[GroupByKey]]),(DiscreteStatsTable[GroupByKey]=DiscreteStatsTable[[#This Row],[GroupByKey]])*DiscreteStatsTable[Maximum]))</f>
        <v>0</v>
      </c>
      <c r="V450" cm="1">
        <f t="array" ref="V450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50">
        <f>IF((DiscreteStatsTable[[#This Row],[RepsRequested]]&gt;1),DiscreteStatsTable[[#This Row],[HalfWidth]],DiscreteStatsTable[[#This Row],[BatchMeansHalfWidth]])</f>
        <v>0</v>
      </c>
      <c r="X450" cm="1">
        <f t="array" ref="X450">COUNT(IF((DiscreteStatsTable[GroupByKey]=DiscreteStatsTable[[#This Row],[GroupByKey]]),(DiscreteStatsTable[GroupByKey]=DiscreteStatsTable[[#This Row],[GroupByKey]])*DiscreteStatsTable[Replication]))</f>
        <v>30</v>
      </c>
      <c r="Y450">
        <f>IF(DiscreteStatsTable[[#This Row],[RepsRequested]]=DiscreteStatsTable[[#This Row],[RepsWithStatObserved]],1,0)</f>
        <v>1</v>
      </c>
    </row>
    <row r="451" spans="1:25" x14ac:dyDescent="0.2">
      <c r="A451" t="s">
        <v>67</v>
      </c>
      <c r="B451" t="s">
        <v>70</v>
      </c>
      <c r="C451">
        <v>30</v>
      </c>
      <c r="D451" t="s">
        <v>89</v>
      </c>
      <c r="E451" t="s">
        <v>84</v>
      </c>
      <c r="F451" t="s">
        <v>85</v>
      </c>
      <c r="G451">
        <v>0</v>
      </c>
      <c r="H451">
        <v>2E+20</v>
      </c>
      <c r="I451">
        <v>0</v>
      </c>
      <c r="J451">
        <v>0</v>
      </c>
      <c r="K451">
        <v>196</v>
      </c>
      <c r="L451" t="str">
        <f>DiscreteStatsTable[[#This Row],[ProjectName]]&amp;DiscreteStatsTable[[#This Row],[Name]]&amp;DiscreteStatsTable[[#This Row],[Type]]&amp;DiscreteStatsTable[[#This Row],[Source]]</f>
        <v>Unnamed ProjectOutsideWaitTimeIntervalUser Specified</v>
      </c>
      <c r="M451" cm="1">
        <f t="array" ref="M451">MAX(IF((ProjectInfoTable[ProjectName]=DiscreteStatsTable[[#This Row],[ProjectName]]),(ProjectInfoTable[ProjectName]=DiscreteStatsTable[[#This Row],[ProjectName]])*ProjectInfoTable[NumberOfReplications]))</f>
        <v>30</v>
      </c>
      <c r="N451" cm="1">
        <f t="array" ref="N451">IFERROR(AVERAGE(IF((DiscreteStatsTable[GroupByKey]=DiscreteStatsTable[[#This Row],[GroupByKey]]),(DiscreteStatsTable[GroupByKey]=DiscreteStatsTable[[#This Row],[GroupByKey]])*DiscreteStatsTable[Average])),0)</f>
        <v>0</v>
      </c>
      <c r="O451" cm="1">
        <f t="array" ref="O451">IFERROR(_xlfn.STDEV.S(IF((DiscreteStatsTable[GroupByKey]=DiscreteStatsTable[[#This Row],[GroupByKey]]),(DiscreteStatsTable[GroupByKey]=DiscreteStatsTable[[#This Row],[GroupByKey]])*DiscreteStatsTable[Average])),0)</f>
        <v>0</v>
      </c>
      <c r="P451" cm="1">
        <f t="array" ref="P451">MAX(IF((ProjectInfoTable[ProjectName]=DiscreteStatsTable[[#This Row],[ProjectName]]),(ProjectInfoTable[ProjectName]=DiscreteStatsTable[[#This Row],[ProjectName]])*ProjectInfoTable[ConfidenceInterval]))</f>
        <v>0.95</v>
      </c>
      <c r="Q451">
        <f>IF(AND(DiscreteStatsTable[[#This Row],[RepsWithStatObserved]]=1,Y451=0),200000000000000000000,IFERROR(_xlfn.T.INV.2T(1 -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1" cm="1">
        <f t="array" ref="R451">MIN(IF((DiscreteStatsTable[GroupByKey]=DiscreteStatsTable[[#This Row],[GroupByKey]]),(DiscreteStatsTable[GroupByKey]=DiscreteStatsTable[[#This Row],[GroupByKey]])*DiscreteStatsTable[Average]))</f>
        <v>0</v>
      </c>
      <c r="S451" cm="1">
        <f t="array" ref="S451">MAX(IF((DiscreteStatsTable[GroupByKey]=DiscreteStatsTable[[#This Row],[GroupByKey]]),(DiscreteStatsTable[GroupByKey]=DiscreteStatsTable[[#This Row],[GroupByKey]])*DiscreteStatsTable[Average]))</f>
        <v>0</v>
      </c>
      <c r="T451" cm="1">
        <f t="array" ref="T451">MIN(IF((DiscreteStatsTable[GroupByKey]=DiscreteStatsTable[[#This Row],[GroupByKey]]),(DiscreteStatsTable[GroupByKey]=DiscreteStatsTable[[#This Row],[GroupByKey]])*DiscreteStatsTable[Minimum]))</f>
        <v>0</v>
      </c>
      <c r="U451" cm="1">
        <f t="array" ref="U451">MAX(IF((DiscreteStatsTable[GroupByKey]=DiscreteStatsTable[[#This Row],[GroupByKey]]),(DiscreteStatsTable[GroupByKey]=DiscreteStatsTable[[#This Row],[GroupByKey]])*DiscreteStatsTable[Maximum]))</f>
        <v>0</v>
      </c>
      <c r="V451" cm="1">
        <f t="array" ref="V451">IFERROR(AVERAGE(IF((DiscreteStatsTable[GroupByKey]=DiscreteStatsTable[[#This Row],[GroupByKey]]),(DiscreteStatsTable[GroupByKey]=DiscreteStatsTable[[#This Row],[GroupByKey]])*DiscreteStatsTable[NumberObservations])),0)</f>
        <v>204.83333333333334</v>
      </c>
      <c r="W451">
        <f>IF((DiscreteStatsTable[[#This Row],[RepsRequested]]&gt;1),DiscreteStatsTable[[#This Row],[HalfWidth]],DiscreteStatsTable[[#This Row],[BatchMeansHalfWidth]])</f>
        <v>0</v>
      </c>
      <c r="X451" cm="1">
        <f t="array" ref="X451">COUNT(IF((DiscreteStatsTable[GroupByKey]=DiscreteStatsTable[[#This Row],[GroupByKey]]),(DiscreteStatsTable[GroupByKey]=DiscreteStatsTable[[#This Row],[GroupByKey]])*DiscreteStatsTable[Replication]))</f>
        <v>30</v>
      </c>
      <c r="Y451">
        <f>IF(DiscreteStatsTable[[#This Row],[RepsRequested]]=DiscreteStatsTable[[#This Row],[RepsWithStatObserved]],1,0)</f>
        <v>1</v>
      </c>
    </row>
    <row r="452" spans="1:25" x14ac:dyDescent="0.2">
      <c r="A452" t="s">
        <v>67</v>
      </c>
      <c r="B452" t="s">
        <v>70</v>
      </c>
      <c r="C452">
        <v>1</v>
      </c>
      <c r="D452" t="s">
        <v>92</v>
      </c>
      <c r="E452" t="s">
        <v>72</v>
      </c>
      <c r="F452" t="s">
        <v>73</v>
      </c>
      <c r="G452">
        <v>0</v>
      </c>
      <c r="H452">
        <v>2E+20</v>
      </c>
      <c r="I452">
        <v>0</v>
      </c>
      <c r="J452">
        <v>0</v>
      </c>
      <c r="K452">
        <v>143</v>
      </c>
      <c r="L452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52" cm="1">
        <f t="array" ref="M452">MAX(IF((ProjectInfoTable[ProjectName]=DiscreteStatsTable[[#This Row],[ProjectName]]),(ProjectInfoTable[ProjectName]=DiscreteStatsTable[[#This Row],[ProjectName]])*ProjectInfoTable[NumberOfReplications]))</f>
        <v>30</v>
      </c>
      <c r="N452" cm="1">
        <f t="array" ref="N452">IFERROR(AVERAGE(IF((DiscreteStatsTable[GroupByKey]=DiscreteStatsTable[[#This Row],[GroupByKey]]),(DiscreteStatsTable[GroupByKey]=DiscreteStatsTable[[#This Row],[GroupByKey]])*DiscreteStatsTable[Average])),0)</f>
        <v>0</v>
      </c>
      <c r="O452" cm="1">
        <f t="array" ref="O452">IFERROR(_xlfn.STDEV.S(IF((DiscreteStatsTable[GroupByKey]=DiscreteStatsTable[[#This Row],[GroupByKey]]),(DiscreteStatsTable[GroupByKey]=DiscreteStatsTable[[#This Row],[GroupByKey]])*DiscreteStatsTable[Average])),0)</f>
        <v>0</v>
      </c>
      <c r="P452" cm="1">
        <f t="array" ref="P452">MAX(IF((ProjectInfoTable[ProjectName]=DiscreteStatsTable[[#This Row],[ProjectName]]),(ProjectInfoTable[ProjectName]=DiscreteStatsTable[[#This Row],[ProjectName]])*ProjectInfoTable[ConfidenceInterval]))</f>
        <v>0.95</v>
      </c>
      <c r="Q452">
        <f>IF(AND(DiscreteStatsTable[[#This Row],[RepsWithStatObserved]]=1,Y452=0),200000000000000000000,IFERROR(_xlfn.T.INV.2T(1 -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2" cm="1">
        <f t="array" ref="R452">MIN(IF((DiscreteStatsTable[GroupByKey]=DiscreteStatsTable[[#This Row],[GroupByKey]]),(DiscreteStatsTable[GroupByKey]=DiscreteStatsTable[[#This Row],[GroupByKey]])*DiscreteStatsTable[Average]))</f>
        <v>0</v>
      </c>
      <c r="S452" cm="1">
        <f t="array" ref="S452">MAX(IF((DiscreteStatsTable[GroupByKey]=DiscreteStatsTable[[#This Row],[GroupByKey]]),(DiscreteStatsTable[GroupByKey]=DiscreteStatsTable[[#This Row],[GroupByKey]])*DiscreteStatsTable[Average]))</f>
        <v>0</v>
      </c>
      <c r="T452" cm="1">
        <f t="array" ref="T452">MIN(IF((DiscreteStatsTable[GroupByKey]=DiscreteStatsTable[[#This Row],[GroupByKey]]),(DiscreteStatsTable[GroupByKey]=DiscreteStatsTable[[#This Row],[GroupByKey]])*DiscreteStatsTable[Minimum]))</f>
        <v>0</v>
      </c>
      <c r="U452" cm="1">
        <f t="array" ref="U452">MAX(IF((DiscreteStatsTable[GroupByKey]=DiscreteStatsTable[[#This Row],[GroupByKey]]),(DiscreteStatsTable[GroupByKey]=DiscreteStatsTable[[#This Row],[GroupByKey]])*DiscreteStatsTable[Maximum]))</f>
        <v>0</v>
      </c>
      <c r="V452" cm="1">
        <f t="array" ref="V452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52">
        <f>IF((DiscreteStatsTable[[#This Row],[RepsRequested]]&gt;1),DiscreteStatsTable[[#This Row],[HalfWidth]],DiscreteStatsTable[[#This Row],[BatchMeansHalfWidth]])</f>
        <v>0</v>
      </c>
      <c r="X452" cm="1">
        <f t="array" ref="X452">COUNT(IF((DiscreteStatsTable[GroupByKey]=DiscreteStatsTable[[#This Row],[GroupByKey]]),(DiscreteStatsTable[GroupByKey]=DiscreteStatsTable[[#This Row],[GroupByKey]])*DiscreteStatsTable[Replication]))</f>
        <v>30</v>
      </c>
      <c r="Y452">
        <f>IF(DiscreteStatsTable[[#This Row],[RepsRequested]]=DiscreteStatsTable[[#This Row],[RepsWithStatObserved]],1,0)</f>
        <v>1</v>
      </c>
    </row>
    <row r="453" spans="1:25" x14ac:dyDescent="0.2">
      <c r="A453" t="s">
        <v>67</v>
      </c>
      <c r="B453" t="s">
        <v>70</v>
      </c>
      <c r="C453">
        <v>2</v>
      </c>
      <c r="D453" t="s">
        <v>92</v>
      </c>
      <c r="E453" t="s">
        <v>72</v>
      </c>
      <c r="F453" t="s">
        <v>73</v>
      </c>
      <c r="G453">
        <v>0</v>
      </c>
      <c r="H453">
        <v>2E+20</v>
      </c>
      <c r="I453">
        <v>0</v>
      </c>
      <c r="J453">
        <v>0</v>
      </c>
      <c r="K453">
        <v>146</v>
      </c>
      <c r="L453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53" cm="1">
        <f t="array" ref="M453">MAX(IF((ProjectInfoTable[ProjectName]=DiscreteStatsTable[[#This Row],[ProjectName]]),(ProjectInfoTable[ProjectName]=DiscreteStatsTable[[#This Row],[ProjectName]])*ProjectInfoTable[NumberOfReplications]))</f>
        <v>30</v>
      </c>
      <c r="N453" cm="1">
        <f t="array" ref="N453">IFERROR(AVERAGE(IF((DiscreteStatsTable[GroupByKey]=DiscreteStatsTable[[#This Row],[GroupByKey]]),(DiscreteStatsTable[GroupByKey]=DiscreteStatsTable[[#This Row],[GroupByKey]])*DiscreteStatsTable[Average])),0)</f>
        <v>0</v>
      </c>
      <c r="O453" cm="1">
        <f t="array" ref="O453">IFERROR(_xlfn.STDEV.S(IF((DiscreteStatsTable[GroupByKey]=DiscreteStatsTable[[#This Row],[GroupByKey]]),(DiscreteStatsTable[GroupByKey]=DiscreteStatsTable[[#This Row],[GroupByKey]])*DiscreteStatsTable[Average])),0)</f>
        <v>0</v>
      </c>
      <c r="P453" cm="1">
        <f t="array" ref="P453">MAX(IF((ProjectInfoTable[ProjectName]=DiscreteStatsTable[[#This Row],[ProjectName]]),(ProjectInfoTable[ProjectName]=DiscreteStatsTable[[#This Row],[ProjectName]])*ProjectInfoTable[ConfidenceInterval]))</f>
        <v>0.95</v>
      </c>
      <c r="Q453">
        <f>IF(AND(DiscreteStatsTable[[#This Row],[RepsWithStatObserved]]=1,Y453=0),200000000000000000000,IFERROR(_xlfn.T.INV.2T(1 -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3" cm="1">
        <f t="array" ref="R453">MIN(IF((DiscreteStatsTable[GroupByKey]=DiscreteStatsTable[[#This Row],[GroupByKey]]),(DiscreteStatsTable[GroupByKey]=DiscreteStatsTable[[#This Row],[GroupByKey]])*DiscreteStatsTable[Average]))</f>
        <v>0</v>
      </c>
      <c r="S453" cm="1">
        <f t="array" ref="S453">MAX(IF((DiscreteStatsTable[GroupByKey]=DiscreteStatsTable[[#This Row],[GroupByKey]]),(DiscreteStatsTable[GroupByKey]=DiscreteStatsTable[[#This Row],[GroupByKey]])*DiscreteStatsTable[Average]))</f>
        <v>0</v>
      </c>
      <c r="T453" cm="1">
        <f t="array" ref="T453">MIN(IF((DiscreteStatsTable[GroupByKey]=DiscreteStatsTable[[#This Row],[GroupByKey]]),(DiscreteStatsTable[GroupByKey]=DiscreteStatsTable[[#This Row],[GroupByKey]])*DiscreteStatsTable[Minimum]))</f>
        <v>0</v>
      </c>
      <c r="U453" cm="1">
        <f t="array" ref="U453">MAX(IF((DiscreteStatsTable[GroupByKey]=DiscreteStatsTable[[#This Row],[GroupByKey]]),(DiscreteStatsTable[GroupByKey]=DiscreteStatsTable[[#This Row],[GroupByKey]])*DiscreteStatsTable[Maximum]))</f>
        <v>0</v>
      </c>
      <c r="V453" cm="1">
        <f t="array" ref="V453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53">
        <f>IF((DiscreteStatsTable[[#This Row],[RepsRequested]]&gt;1),DiscreteStatsTable[[#This Row],[HalfWidth]],DiscreteStatsTable[[#This Row],[BatchMeansHalfWidth]])</f>
        <v>0</v>
      </c>
      <c r="X453" cm="1">
        <f t="array" ref="X453">COUNT(IF((DiscreteStatsTable[GroupByKey]=DiscreteStatsTable[[#This Row],[GroupByKey]]),(DiscreteStatsTable[GroupByKey]=DiscreteStatsTable[[#This Row],[GroupByKey]])*DiscreteStatsTable[Replication]))</f>
        <v>30</v>
      </c>
      <c r="Y453">
        <f>IF(DiscreteStatsTable[[#This Row],[RepsRequested]]=DiscreteStatsTable[[#This Row],[RepsWithStatObserved]],1,0)</f>
        <v>1</v>
      </c>
    </row>
    <row r="454" spans="1:25" x14ac:dyDescent="0.2">
      <c r="A454" t="s">
        <v>67</v>
      </c>
      <c r="B454" t="s">
        <v>70</v>
      </c>
      <c r="C454">
        <v>3</v>
      </c>
      <c r="D454" t="s">
        <v>92</v>
      </c>
      <c r="E454" t="s">
        <v>72</v>
      </c>
      <c r="F454" t="s">
        <v>73</v>
      </c>
      <c r="G454">
        <v>0</v>
      </c>
      <c r="H454">
        <v>2E+20</v>
      </c>
      <c r="I454">
        <v>0</v>
      </c>
      <c r="J454">
        <v>0</v>
      </c>
      <c r="K454">
        <v>141</v>
      </c>
      <c r="L454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54" cm="1">
        <f t="array" ref="M454">MAX(IF((ProjectInfoTable[ProjectName]=DiscreteStatsTable[[#This Row],[ProjectName]]),(ProjectInfoTable[ProjectName]=DiscreteStatsTable[[#This Row],[ProjectName]])*ProjectInfoTable[NumberOfReplications]))</f>
        <v>30</v>
      </c>
      <c r="N454" cm="1">
        <f t="array" ref="N454">IFERROR(AVERAGE(IF((DiscreteStatsTable[GroupByKey]=DiscreteStatsTable[[#This Row],[GroupByKey]]),(DiscreteStatsTable[GroupByKey]=DiscreteStatsTable[[#This Row],[GroupByKey]])*DiscreteStatsTable[Average])),0)</f>
        <v>0</v>
      </c>
      <c r="O454" cm="1">
        <f t="array" ref="O454">IFERROR(_xlfn.STDEV.S(IF((DiscreteStatsTable[GroupByKey]=DiscreteStatsTable[[#This Row],[GroupByKey]]),(DiscreteStatsTable[GroupByKey]=DiscreteStatsTable[[#This Row],[GroupByKey]])*DiscreteStatsTable[Average])),0)</f>
        <v>0</v>
      </c>
      <c r="P454" cm="1">
        <f t="array" ref="P454">MAX(IF((ProjectInfoTable[ProjectName]=DiscreteStatsTable[[#This Row],[ProjectName]]),(ProjectInfoTable[ProjectName]=DiscreteStatsTable[[#This Row],[ProjectName]])*ProjectInfoTable[ConfidenceInterval]))</f>
        <v>0.95</v>
      </c>
      <c r="Q454">
        <f>IF(AND(DiscreteStatsTable[[#This Row],[RepsWithStatObserved]]=1,Y454=0),200000000000000000000,IFERROR(_xlfn.T.INV.2T(1 -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4" cm="1">
        <f t="array" ref="R454">MIN(IF((DiscreteStatsTable[GroupByKey]=DiscreteStatsTable[[#This Row],[GroupByKey]]),(DiscreteStatsTable[GroupByKey]=DiscreteStatsTable[[#This Row],[GroupByKey]])*DiscreteStatsTable[Average]))</f>
        <v>0</v>
      </c>
      <c r="S454" cm="1">
        <f t="array" ref="S454">MAX(IF((DiscreteStatsTable[GroupByKey]=DiscreteStatsTable[[#This Row],[GroupByKey]]),(DiscreteStatsTable[GroupByKey]=DiscreteStatsTable[[#This Row],[GroupByKey]])*DiscreteStatsTable[Average]))</f>
        <v>0</v>
      </c>
      <c r="T454" cm="1">
        <f t="array" ref="T454">MIN(IF((DiscreteStatsTable[GroupByKey]=DiscreteStatsTable[[#This Row],[GroupByKey]]),(DiscreteStatsTable[GroupByKey]=DiscreteStatsTable[[#This Row],[GroupByKey]])*DiscreteStatsTable[Minimum]))</f>
        <v>0</v>
      </c>
      <c r="U454" cm="1">
        <f t="array" ref="U454">MAX(IF((DiscreteStatsTable[GroupByKey]=DiscreteStatsTable[[#This Row],[GroupByKey]]),(DiscreteStatsTable[GroupByKey]=DiscreteStatsTable[[#This Row],[GroupByKey]])*DiscreteStatsTable[Maximum]))</f>
        <v>0</v>
      </c>
      <c r="V454" cm="1">
        <f t="array" ref="V454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54">
        <f>IF((DiscreteStatsTable[[#This Row],[RepsRequested]]&gt;1),DiscreteStatsTable[[#This Row],[HalfWidth]],DiscreteStatsTable[[#This Row],[BatchMeansHalfWidth]])</f>
        <v>0</v>
      </c>
      <c r="X454" cm="1">
        <f t="array" ref="X454">COUNT(IF((DiscreteStatsTable[GroupByKey]=DiscreteStatsTable[[#This Row],[GroupByKey]]),(DiscreteStatsTable[GroupByKey]=DiscreteStatsTable[[#This Row],[GroupByKey]])*DiscreteStatsTable[Replication]))</f>
        <v>30</v>
      </c>
      <c r="Y454">
        <f>IF(DiscreteStatsTable[[#This Row],[RepsRequested]]=DiscreteStatsTable[[#This Row],[RepsWithStatObserved]],1,0)</f>
        <v>1</v>
      </c>
    </row>
    <row r="455" spans="1:25" x14ac:dyDescent="0.2">
      <c r="A455" t="s">
        <v>67</v>
      </c>
      <c r="B455" t="s">
        <v>70</v>
      </c>
      <c r="C455">
        <v>4</v>
      </c>
      <c r="D455" t="s">
        <v>92</v>
      </c>
      <c r="E455" t="s">
        <v>72</v>
      </c>
      <c r="F455" t="s">
        <v>73</v>
      </c>
      <c r="G455">
        <v>0</v>
      </c>
      <c r="H455">
        <v>2E+20</v>
      </c>
      <c r="I455">
        <v>0</v>
      </c>
      <c r="J455">
        <v>0</v>
      </c>
      <c r="K455">
        <v>156</v>
      </c>
      <c r="L455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55" cm="1">
        <f t="array" ref="M455">MAX(IF((ProjectInfoTable[ProjectName]=DiscreteStatsTable[[#This Row],[ProjectName]]),(ProjectInfoTable[ProjectName]=DiscreteStatsTable[[#This Row],[ProjectName]])*ProjectInfoTable[NumberOfReplications]))</f>
        <v>30</v>
      </c>
      <c r="N455" cm="1">
        <f t="array" ref="N455">IFERROR(AVERAGE(IF((DiscreteStatsTable[GroupByKey]=DiscreteStatsTable[[#This Row],[GroupByKey]]),(DiscreteStatsTable[GroupByKey]=DiscreteStatsTable[[#This Row],[GroupByKey]])*DiscreteStatsTable[Average])),0)</f>
        <v>0</v>
      </c>
      <c r="O455" cm="1">
        <f t="array" ref="O455">IFERROR(_xlfn.STDEV.S(IF((DiscreteStatsTable[GroupByKey]=DiscreteStatsTable[[#This Row],[GroupByKey]]),(DiscreteStatsTable[GroupByKey]=DiscreteStatsTable[[#This Row],[GroupByKey]])*DiscreteStatsTable[Average])),0)</f>
        <v>0</v>
      </c>
      <c r="P455" cm="1">
        <f t="array" ref="P455">MAX(IF((ProjectInfoTable[ProjectName]=DiscreteStatsTable[[#This Row],[ProjectName]]),(ProjectInfoTable[ProjectName]=DiscreteStatsTable[[#This Row],[ProjectName]])*ProjectInfoTable[ConfidenceInterval]))</f>
        <v>0.95</v>
      </c>
      <c r="Q455">
        <f>IF(AND(DiscreteStatsTable[[#This Row],[RepsWithStatObserved]]=1,Y455=0),200000000000000000000,IFERROR(_xlfn.T.INV.2T(1 -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5" cm="1">
        <f t="array" ref="R455">MIN(IF((DiscreteStatsTable[GroupByKey]=DiscreteStatsTable[[#This Row],[GroupByKey]]),(DiscreteStatsTable[GroupByKey]=DiscreteStatsTable[[#This Row],[GroupByKey]])*DiscreteStatsTable[Average]))</f>
        <v>0</v>
      </c>
      <c r="S455" cm="1">
        <f t="array" ref="S455">MAX(IF((DiscreteStatsTable[GroupByKey]=DiscreteStatsTable[[#This Row],[GroupByKey]]),(DiscreteStatsTable[GroupByKey]=DiscreteStatsTable[[#This Row],[GroupByKey]])*DiscreteStatsTable[Average]))</f>
        <v>0</v>
      </c>
      <c r="T455" cm="1">
        <f t="array" ref="T455">MIN(IF((DiscreteStatsTable[GroupByKey]=DiscreteStatsTable[[#This Row],[GroupByKey]]),(DiscreteStatsTable[GroupByKey]=DiscreteStatsTable[[#This Row],[GroupByKey]])*DiscreteStatsTable[Minimum]))</f>
        <v>0</v>
      </c>
      <c r="U455" cm="1">
        <f t="array" ref="U455">MAX(IF((DiscreteStatsTable[GroupByKey]=DiscreteStatsTable[[#This Row],[GroupByKey]]),(DiscreteStatsTable[GroupByKey]=DiscreteStatsTable[[#This Row],[GroupByKey]])*DiscreteStatsTable[Maximum]))</f>
        <v>0</v>
      </c>
      <c r="V455" cm="1">
        <f t="array" ref="V455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55">
        <f>IF((DiscreteStatsTable[[#This Row],[RepsRequested]]&gt;1),DiscreteStatsTable[[#This Row],[HalfWidth]],DiscreteStatsTable[[#This Row],[BatchMeansHalfWidth]])</f>
        <v>0</v>
      </c>
      <c r="X455" cm="1">
        <f t="array" ref="X455">COUNT(IF((DiscreteStatsTable[GroupByKey]=DiscreteStatsTable[[#This Row],[GroupByKey]]),(DiscreteStatsTable[GroupByKey]=DiscreteStatsTable[[#This Row],[GroupByKey]])*DiscreteStatsTable[Replication]))</f>
        <v>30</v>
      </c>
      <c r="Y455">
        <f>IF(DiscreteStatsTable[[#This Row],[RepsRequested]]=DiscreteStatsTable[[#This Row],[RepsWithStatObserved]],1,0)</f>
        <v>1</v>
      </c>
    </row>
    <row r="456" spans="1:25" x14ac:dyDescent="0.2">
      <c r="A456" t="s">
        <v>67</v>
      </c>
      <c r="B456" t="s">
        <v>70</v>
      </c>
      <c r="C456">
        <v>5</v>
      </c>
      <c r="D456" t="s">
        <v>92</v>
      </c>
      <c r="E456" t="s">
        <v>72</v>
      </c>
      <c r="F456" t="s">
        <v>73</v>
      </c>
      <c r="G456">
        <v>0</v>
      </c>
      <c r="H456">
        <v>2E+20</v>
      </c>
      <c r="I456">
        <v>0</v>
      </c>
      <c r="J456">
        <v>0</v>
      </c>
      <c r="K456">
        <v>143</v>
      </c>
      <c r="L456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56" cm="1">
        <f t="array" ref="M456">MAX(IF((ProjectInfoTable[ProjectName]=DiscreteStatsTable[[#This Row],[ProjectName]]),(ProjectInfoTable[ProjectName]=DiscreteStatsTable[[#This Row],[ProjectName]])*ProjectInfoTable[NumberOfReplications]))</f>
        <v>30</v>
      </c>
      <c r="N456" cm="1">
        <f t="array" ref="N456">IFERROR(AVERAGE(IF((DiscreteStatsTable[GroupByKey]=DiscreteStatsTable[[#This Row],[GroupByKey]]),(DiscreteStatsTable[GroupByKey]=DiscreteStatsTable[[#This Row],[GroupByKey]])*DiscreteStatsTable[Average])),0)</f>
        <v>0</v>
      </c>
      <c r="O456" cm="1">
        <f t="array" ref="O456">IFERROR(_xlfn.STDEV.S(IF((DiscreteStatsTable[GroupByKey]=DiscreteStatsTable[[#This Row],[GroupByKey]]),(DiscreteStatsTable[GroupByKey]=DiscreteStatsTable[[#This Row],[GroupByKey]])*DiscreteStatsTable[Average])),0)</f>
        <v>0</v>
      </c>
      <c r="P456" cm="1">
        <f t="array" ref="P456">MAX(IF((ProjectInfoTable[ProjectName]=DiscreteStatsTable[[#This Row],[ProjectName]]),(ProjectInfoTable[ProjectName]=DiscreteStatsTable[[#This Row],[ProjectName]])*ProjectInfoTable[ConfidenceInterval]))</f>
        <v>0.95</v>
      </c>
      <c r="Q456">
        <f>IF(AND(DiscreteStatsTable[[#This Row],[RepsWithStatObserved]]=1,Y456=0),200000000000000000000,IFERROR(_xlfn.T.INV.2T(1 -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6" cm="1">
        <f t="array" ref="R456">MIN(IF((DiscreteStatsTable[GroupByKey]=DiscreteStatsTable[[#This Row],[GroupByKey]]),(DiscreteStatsTable[GroupByKey]=DiscreteStatsTable[[#This Row],[GroupByKey]])*DiscreteStatsTable[Average]))</f>
        <v>0</v>
      </c>
      <c r="S456" cm="1">
        <f t="array" ref="S456">MAX(IF((DiscreteStatsTable[GroupByKey]=DiscreteStatsTable[[#This Row],[GroupByKey]]),(DiscreteStatsTable[GroupByKey]=DiscreteStatsTable[[#This Row],[GroupByKey]])*DiscreteStatsTable[Average]))</f>
        <v>0</v>
      </c>
      <c r="T456" cm="1">
        <f t="array" ref="T456">MIN(IF((DiscreteStatsTable[GroupByKey]=DiscreteStatsTable[[#This Row],[GroupByKey]]),(DiscreteStatsTable[GroupByKey]=DiscreteStatsTable[[#This Row],[GroupByKey]])*DiscreteStatsTable[Minimum]))</f>
        <v>0</v>
      </c>
      <c r="U456" cm="1">
        <f t="array" ref="U456">MAX(IF((DiscreteStatsTable[GroupByKey]=DiscreteStatsTable[[#This Row],[GroupByKey]]),(DiscreteStatsTable[GroupByKey]=DiscreteStatsTable[[#This Row],[GroupByKey]])*DiscreteStatsTable[Maximum]))</f>
        <v>0</v>
      </c>
      <c r="V456" cm="1">
        <f t="array" ref="V456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56">
        <f>IF((DiscreteStatsTable[[#This Row],[RepsRequested]]&gt;1),DiscreteStatsTable[[#This Row],[HalfWidth]],DiscreteStatsTable[[#This Row],[BatchMeansHalfWidth]])</f>
        <v>0</v>
      </c>
      <c r="X456" cm="1">
        <f t="array" ref="X456">COUNT(IF((DiscreteStatsTable[GroupByKey]=DiscreteStatsTable[[#This Row],[GroupByKey]]),(DiscreteStatsTable[GroupByKey]=DiscreteStatsTable[[#This Row],[GroupByKey]])*DiscreteStatsTable[Replication]))</f>
        <v>30</v>
      </c>
      <c r="Y456">
        <f>IF(DiscreteStatsTable[[#This Row],[RepsRequested]]=DiscreteStatsTable[[#This Row],[RepsWithStatObserved]],1,0)</f>
        <v>1</v>
      </c>
    </row>
    <row r="457" spans="1:25" x14ac:dyDescent="0.2">
      <c r="A457" t="s">
        <v>67</v>
      </c>
      <c r="B457" t="s">
        <v>70</v>
      </c>
      <c r="C457">
        <v>6</v>
      </c>
      <c r="D457" t="s">
        <v>92</v>
      </c>
      <c r="E457" t="s">
        <v>72</v>
      </c>
      <c r="F457" t="s">
        <v>73</v>
      </c>
      <c r="G457">
        <v>0</v>
      </c>
      <c r="H457">
        <v>2E+20</v>
      </c>
      <c r="I457">
        <v>0</v>
      </c>
      <c r="J457">
        <v>0</v>
      </c>
      <c r="K457">
        <v>160</v>
      </c>
      <c r="L457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57" cm="1">
        <f t="array" ref="M457">MAX(IF((ProjectInfoTable[ProjectName]=DiscreteStatsTable[[#This Row],[ProjectName]]),(ProjectInfoTable[ProjectName]=DiscreteStatsTable[[#This Row],[ProjectName]])*ProjectInfoTable[NumberOfReplications]))</f>
        <v>30</v>
      </c>
      <c r="N457" cm="1">
        <f t="array" ref="N457">IFERROR(AVERAGE(IF((DiscreteStatsTable[GroupByKey]=DiscreteStatsTable[[#This Row],[GroupByKey]]),(DiscreteStatsTable[GroupByKey]=DiscreteStatsTable[[#This Row],[GroupByKey]])*DiscreteStatsTable[Average])),0)</f>
        <v>0</v>
      </c>
      <c r="O457" cm="1">
        <f t="array" ref="O457">IFERROR(_xlfn.STDEV.S(IF((DiscreteStatsTable[GroupByKey]=DiscreteStatsTable[[#This Row],[GroupByKey]]),(DiscreteStatsTable[GroupByKey]=DiscreteStatsTable[[#This Row],[GroupByKey]])*DiscreteStatsTable[Average])),0)</f>
        <v>0</v>
      </c>
      <c r="P457" cm="1">
        <f t="array" ref="P457">MAX(IF((ProjectInfoTable[ProjectName]=DiscreteStatsTable[[#This Row],[ProjectName]]),(ProjectInfoTable[ProjectName]=DiscreteStatsTable[[#This Row],[ProjectName]])*ProjectInfoTable[ConfidenceInterval]))</f>
        <v>0.95</v>
      </c>
      <c r="Q457">
        <f>IF(AND(DiscreteStatsTable[[#This Row],[RepsWithStatObserved]]=1,Y457=0),200000000000000000000,IFERROR(_xlfn.T.INV.2T(1 -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7" cm="1">
        <f t="array" ref="R457">MIN(IF((DiscreteStatsTable[GroupByKey]=DiscreteStatsTable[[#This Row],[GroupByKey]]),(DiscreteStatsTable[GroupByKey]=DiscreteStatsTable[[#This Row],[GroupByKey]])*DiscreteStatsTable[Average]))</f>
        <v>0</v>
      </c>
      <c r="S457" cm="1">
        <f t="array" ref="S457">MAX(IF((DiscreteStatsTable[GroupByKey]=DiscreteStatsTable[[#This Row],[GroupByKey]]),(DiscreteStatsTable[GroupByKey]=DiscreteStatsTable[[#This Row],[GroupByKey]])*DiscreteStatsTable[Average]))</f>
        <v>0</v>
      </c>
      <c r="T457" cm="1">
        <f t="array" ref="T457">MIN(IF((DiscreteStatsTable[GroupByKey]=DiscreteStatsTable[[#This Row],[GroupByKey]]),(DiscreteStatsTable[GroupByKey]=DiscreteStatsTable[[#This Row],[GroupByKey]])*DiscreteStatsTable[Minimum]))</f>
        <v>0</v>
      </c>
      <c r="U457" cm="1">
        <f t="array" ref="U457">MAX(IF((DiscreteStatsTable[GroupByKey]=DiscreteStatsTable[[#This Row],[GroupByKey]]),(DiscreteStatsTable[GroupByKey]=DiscreteStatsTable[[#This Row],[GroupByKey]])*DiscreteStatsTable[Maximum]))</f>
        <v>0</v>
      </c>
      <c r="V457" cm="1">
        <f t="array" ref="V457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57">
        <f>IF((DiscreteStatsTable[[#This Row],[RepsRequested]]&gt;1),DiscreteStatsTable[[#This Row],[HalfWidth]],DiscreteStatsTable[[#This Row],[BatchMeansHalfWidth]])</f>
        <v>0</v>
      </c>
      <c r="X457" cm="1">
        <f t="array" ref="X457">COUNT(IF((DiscreteStatsTable[GroupByKey]=DiscreteStatsTable[[#This Row],[GroupByKey]]),(DiscreteStatsTable[GroupByKey]=DiscreteStatsTable[[#This Row],[GroupByKey]])*DiscreteStatsTable[Replication]))</f>
        <v>30</v>
      </c>
      <c r="Y457">
        <f>IF(DiscreteStatsTable[[#This Row],[RepsRequested]]=DiscreteStatsTable[[#This Row],[RepsWithStatObserved]],1,0)</f>
        <v>1</v>
      </c>
    </row>
    <row r="458" spans="1:25" x14ac:dyDescent="0.2">
      <c r="A458" t="s">
        <v>67</v>
      </c>
      <c r="B458" t="s">
        <v>70</v>
      </c>
      <c r="C458">
        <v>7</v>
      </c>
      <c r="D458" t="s">
        <v>92</v>
      </c>
      <c r="E458" t="s">
        <v>72</v>
      </c>
      <c r="F458" t="s">
        <v>73</v>
      </c>
      <c r="G458">
        <v>0</v>
      </c>
      <c r="H458">
        <v>2E+20</v>
      </c>
      <c r="I458">
        <v>0</v>
      </c>
      <c r="J458">
        <v>0</v>
      </c>
      <c r="K458">
        <v>132</v>
      </c>
      <c r="L458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58" cm="1">
        <f t="array" ref="M458">MAX(IF((ProjectInfoTable[ProjectName]=DiscreteStatsTable[[#This Row],[ProjectName]]),(ProjectInfoTable[ProjectName]=DiscreteStatsTable[[#This Row],[ProjectName]])*ProjectInfoTable[NumberOfReplications]))</f>
        <v>30</v>
      </c>
      <c r="N458" cm="1">
        <f t="array" ref="N458">IFERROR(AVERAGE(IF((DiscreteStatsTable[GroupByKey]=DiscreteStatsTable[[#This Row],[GroupByKey]]),(DiscreteStatsTable[GroupByKey]=DiscreteStatsTable[[#This Row],[GroupByKey]])*DiscreteStatsTable[Average])),0)</f>
        <v>0</v>
      </c>
      <c r="O458" cm="1">
        <f t="array" ref="O458">IFERROR(_xlfn.STDEV.S(IF((DiscreteStatsTable[GroupByKey]=DiscreteStatsTable[[#This Row],[GroupByKey]]),(DiscreteStatsTable[GroupByKey]=DiscreteStatsTable[[#This Row],[GroupByKey]])*DiscreteStatsTable[Average])),0)</f>
        <v>0</v>
      </c>
      <c r="P458" cm="1">
        <f t="array" ref="P458">MAX(IF((ProjectInfoTable[ProjectName]=DiscreteStatsTable[[#This Row],[ProjectName]]),(ProjectInfoTable[ProjectName]=DiscreteStatsTable[[#This Row],[ProjectName]])*ProjectInfoTable[ConfidenceInterval]))</f>
        <v>0.95</v>
      </c>
      <c r="Q458">
        <f>IF(AND(DiscreteStatsTable[[#This Row],[RepsWithStatObserved]]=1,Y458=0),200000000000000000000,IFERROR(_xlfn.T.INV.2T(1 -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8" cm="1">
        <f t="array" ref="R458">MIN(IF((DiscreteStatsTable[GroupByKey]=DiscreteStatsTable[[#This Row],[GroupByKey]]),(DiscreteStatsTable[GroupByKey]=DiscreteStatsTable[[#This Row],[GroupByKey]])*DiscreteStatsTable[Average]))</f>
        <v>0</v>
      </c>
      <c r="S458" cm="1">
        <f t="array" ref="S458">MAX(IF((DiscreteStatsTable[GroupByKey]=DiscreteStatsTable[[#This Row],[GroupByKey]]),(DiscreteStatsTable[GroupByKey]=DiscreteStatsTable[[#This Row],[GroupByKey]])*DiscreteStatsTable[Average]))</f>
        <v>0</v>
      </c>
      <c r="T458" cm="1">
        <f t="array" ref="T458">MIN(IF((DiscreteStatsTable[GroupByKey]=DiscreteStatsTable[[#This Row],[GroupByKey]]),(DiscreteStatsTable[GroupByKey]=DiscreteStatsTable[[#This Row],[GroupByKey]])*DiscreteStatsTable[Minimum]))</f>
        <v>0</v>
      </c>
      <c r="U458" cm="1">
        <f t="array" ref="U458">MAX(IF((DiscreteStatsTable[GroupByKey]=DiscreteStatsTable[[#This Row],[GroupByKey]]),(DiscreteStatsTable[GroupByKey]=DiscreteStatsTable[[#This Row],[GroupByKey]])*DiscreteStatsTable[Maximum]))</f>
        <v>0</v>
      </c>
      <c r="V458" cm="1">
        <f t="array" ref="V458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58">
        <f>IF((DiscreteStatsTable[[#This Row],[RepsRequested]]&gt;1),DiscreteStatsTable[[#This Row],[HalfWidth]],DiscreteStatsTable[[#This Row],[BatchMeansHalfWidth]])</f>
        <v>0</v>
      </c>
      <c r="X458" cm="1">
        <f t="array" ref="X458">COUNT(IF((DiscreteStatsTable[GroupByKey]=DiscreteStatsTable[[#This Row],[GroupByKey]]),(DiscreteStatsTable[GroupByKey]=DiscreteStatsTable[[#This Row],[GroupByKey]])*DiscreteStatsTable[Replication]))</f>
        <v>30</v>
      </c>
      <c r="Y458">
        <f>IF(DiscreteStatsTable[[#This Row],[RepsRequested]]=DiscreteStatsTable[[#This Row],[RepsWithStatObserved]],1,0)</f>
        <v>1</v>
      </c>
    </row>
    <row r="459" spans="1:25" x14ac:dyDescent="0.2">
      <c r="A459" t="s">
        <v>67</v>
      </c>
      <c r="B459" t="s">
        <v>70</v>
      </c>
      <c r="C459">
        <v>8</v>
      </c>
      <c r="D459" t="s">
        <v>92</v>
      </c>
      <c r="E459" t="s">
        <v>72</v>
      </c>
      <c r="F459" t="s">
        <v>73</v>
      </c>
      <c r="G459">
        <v>0</v>
      </c>
      <c r="H459">
        <v>2E+20</v>
      </c>
      <c r="I459">
        <v>0</v>
      </c>
      <c r="J459">
        <v>0</v>
      </c>
      <c r="K459">
        <v>142</v>
      </c>
      <c r="L459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59" cm="1">
        <f t="array" ref="M459">MAX(IF((ProjectInfoTable[ProjectName]=DiscreteStatsTable[[#This Row],[ProjectName]]),(ProjectInfoTable[ProjectName]=DiscreteStatsTable[[#This Row],[ProjectName]])*ProjectInfoTable[NumberOfReplications]))</f>
        <v>30</v>
      </c>
      <c r="N459" cm="1">
        <f t="array" ref="N459">IFERROR(AVERAGE(IF((DiscreteStatsTable[GroupByKey]=DiscreteStatsTable[[#This Row],[GroupByKey]]),(DiscreteStatsTable[GroupByKey]=DiscreteStatsTable[[#This Row],[GroupByKey]])*DiscreteStatsTable[Average])),0)</f>
        <v>0</v>
      </c>
      <c r="O459" cm="1">
        <f t="array" ref="O459">IFERROR(_xlfn.STDEV.S(IF((DiscreteStatsTable[GroupByKey]=DiscreteStatsTable[[#This Row],[GroupByKey]]),(DiscreteStatsTable[GroupByKey]=DiscreteStatsTable[[#This Row],[GroupByKey]])*DiscreteStatsTable[Average])),0)</f>
        <v>0</v>
      </c>
      <c r="P459" cm="1">
        <f t="array" ref="P459">MAX(IF((ProjectInfoTable[ProjectName]=DiscreteStatsTable[[#This Row],[ProjectName]]),(ProjectInfoTable[ProjectName]=DiscreteStatsTable[[#This Row],[ProjectName]])*ProjectInfoTable[ConfidenceInterval]))</f>
        <v>0.95</v>
      </c>
      <c r="Q459">
        <f>IF(AND(DiscreteStatsTable[[#This Row],[RepsWithStatObserved]]=1,Y459=0),200000000000000000000,IFERROR(_xlfn.T.INV.2T(1 -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9" cm="1">
        <f t="array" ref="R459">MIN(IF((DiscreteStatsTable[GroupByKey]=DiscreteStatsTable[[#This Row],[GroupByKey]]),(DiscreteStatsTable[GroupByKey]=DiscreteStatsTable[[#This Row],[GroupByKey]])*DiscreteStatsTable[Average]))</f>
        <v>0</v>
      </c>
      <c r="S459" cm="1">
        <f t="array" ref="S459">MAX(IF((DiscreteStatsTable[GroupByKey]=DiscreteStatsTable[[#This Row],[GroupByKey]]),(DiscreteStatsTable[GroupByKey]=DiscreteStatsTable[[#This Row],[GroupByKey]])*DiscreteStatsTable[Average]))</f>
        <v>0</v>
      </c>
      <c r="T459" cm="1">
        <f t="array" ref="T459">MIN(IF((DiscreteStatsTable[GroupByKey]=DiscreteStatsTable[[#This Row],[GroupByKey]]),(DiscreteStatsTable[GroupByKey]=DiscreteStatsTable[[#This Row],[GroupByKey]])*DiscreteStatsTable[Minimum]))</f>
        <v>0</v>
      </c>
      <c r="U459" cm="1">
        <f t="array" ref="U459">MAX(IF((DiscreteStatsTable[GroupByKey]=DiscreteStatsTable[[#This Row],[GroupByKey]]),(DiscreteStatsTable[GroupByKey]=DiscreteStatsTable[[#This Row],[GroupByKey]])*DiscreteStatsTable[Maximum]))</f>
        <v>0</v>
      </c>
      <c r="V459" cm="1">
        <f t="array" ref="V459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59">
        <f>IF((DiscreteStatsTable[[#This Row],[RepsRequested]]&gt;1),DiscreteStatsTable[[#This Row],[HalfWidth]],DiscreteStatsTable[[#This Row],[BatchMeansHalfWidth]])</f>
        <v>0</v>
      </c>
      <c r="X459" cm="1">
        <f t="array" ref="X459">COUNT(IF((DiscreteStatsTable[GroupByKey]=DiscreteStatsTable[[#This Row],[GroupByKey]]),(DiscreteStatsTable[GroupByKey]=DiscreteStatsTable[[#This Row],[GroupByKey]])*DiscreteStatsTable[Replication]))</f>
        <v>30</v>
      </c>
      <c r="Y459">
        <f>IF(DiscreteStatsTable[[#This Row],[RepsRequested]]=DiscreteStatsTable[[#This Row],[RepsWithStatObserved]],1,0)</f>
        <v>1</v>
      </c>
    </row>
    <row r="460" spans="1:25" x14ac:dyDescent="0.2">
      <c r="A460" t="s">
        <v>67</v>
      </c>
      <c r="B460" t="s">
        <v>70</v>
      </c>
      <c r="C460">
        <v>9</v>
      </c>
      <c r="D460" t="s">
        <v>92</v>
      </c>
      <c r="E460" t="s">
        <v>72</v>
      </c>
      <c r="F460" t="s">
        <v>73</v>
      </c>
      <c r="G460">
        <v>0</v>
      </c>
      <c r="H460">
        <v>2E+20</v>
      </c>
      <c r="I460">
        <v>0</v>
      </c>
      <c r="J460">
        <v>0</v>
      </c>
      <c r="K460">
        <v>144</v>
      </c>
      <c r="L460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60" cm="1">
        <f t="array" ref="M460">MAX(IF((ProjectInfoTable[ProjectName]=DiscreteStatsTable[[#This Row],[ProjectName]]),(ProjectInfoTable[ProjectName]=DiscreteStatsTable[[#This Row],[ProjectName]])*ProjectInfoTable[NumberOfReplications]))</f>
        <v>30</v>
      </c>
      <c r="N460" cm="1">
        <f t="array" ref="N460">IFERROR(AVERAGE(IF((DiscreteStatsTable[GroupByKey]=DiscreteStatsTable[[#This Row],[GroupByKey]]),(DiscreteStatsTable[GroupByKey]=DiscreteStatsTable[[#This Row],[GroupByKey]])*DiscreteStatsTable[Average])),0)</f>
        <v>0</v>
      </c>
      <c r="O460" cm="1">
        <f t="array" ref="O460">IFERROR(_xlfn.STDEV.S(IF((DiscreteStatsTable[GroupByKey]=DiscreteStatsTable[[#This Row],[GroupByKey]]),(DiscreteStatsTable[GroupByKey]=DiscreteStatsTable[[#This Row],[GroupByKey]])*DiscreteStatsTable[Average])),0)</f>
        <v>0</v>
      </c>
      <c r="P460" cm="1">
        <f t="array" ref="P460">MAX(IF((ProjectInfoTable[ProjectName]=DiscreteStatsTable[[#This Row],[ProjectName]]),(ProjectInfoTable[ProjectName]=DiscreteStatsTable[[#This Row],[ProjectName]])*ProjectInfoTable[ConfidenceInterval]))</f>
        <v>0.95</v>
      </c>
      <c r="Q460">
        <f>IF(AND(DiscreteStatsTable[[#This Row],[RepsWithStatObserved]]=1,Y460=0),200000000000000000000,IFERROR(_xlfn.T.INV.2T(1 -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0" cm="1">
        <f t="array" ref="R460">MIN(IF((DiscreteStatsTable[GroupByKey]=DiscreteStatsTable[[#This Row],[GroupByKey]]),(DiscreteStatsTable[GroupByKey]=DiscreteStatsTable[[#This Row],[GroupByKey]])*DiscreteStatsTable[Average]))</f>
        <v>0</v>
      </c>
      <c r="S460" cm="1">
        <f t="array" ref="S460">MAX(IF((DiscreteStatsTable[GroupByKey]=DiscreteStatsTable[[#This Row],[GroupByKey]]),(DiscreteStatsTable[GroupByKey]=DiscreteStatsTable[[#This Row],[GroupByKey]])*DiscreteStatsTable[Average]))</f>
        <v>0</v>
      </c>
      <c r="T460" cm="1">
        <f t="array" ref="T460">MIN(IF((DiscreteStatsTable[GroupByKey]=DiscreteStatsTable[[#This Row],[GroupByKey]]),(DiscreteStatsTable[GroupByKey]=DiscreteStatsTable[[#This Row],[GroupByKey]])*DiscreteStatsTable[Minimum]))</f>
        <v>0</v>
      </c>
      <c r="U460" cm="1">
        <f t="array" ref="U460">MAX(IF((DiscreteStatsTable[GroupByKey]=DiscreteStatsTable[[#This Row],[GroupByKey]]),(DiscreteStatsTable[GroupByKey]=DiscreteStatsTable[[#This Row],[GroupByKey]])*DiscreteStatsTable[Maximum]))</f>
        <v>0</v>
      </c>
      <c r="V460" cm="1">
        <f t="array" ref="V460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60">
        <f>IF((DiscreteStatsTable[[#This Row],[RepsRequested]]&gt;1),DiscreteStatsTable[[#This Row],[HalfWidth]],DiscreteStatsTable[[#This Row],[BatchMeansHalfWidth]])</f>
        <v>0</v>
      </c>
      <c r="X460" cm="1">
        <f t="array" ref="X460">COUNT(IF((DiscreteStatsTable[GroupByKey]=DiscreteStatsTable[[#This Row],[GroupByKey]]),(DiscreteStatsTable[GroupByKey]=DiscreteStatsTable[[#This Row],[GroupByKey]])*DiscreteStatsTable[Replication]))</f>
        <v>30</v>
      </c>
      <c r="Y460">
        <f>IF(DiscreteStatsTable[[#This Row],[RepsRequested]]=DiscreteStatsTable[[#This Row],[RepsWithStatObserved]],1,0)</f>
        <v>1</v>
      </c>
    </row>
    <row r="461" spans="1:25" x14ac:dyDescent="0.2">
      <c r="A461" t="s">
        <v>67</v>
      </c>
      <c r="B461" t="s">
        <v>70</v>
      </c>
      <c r="C461">
        <v>10</v>
      </c>
      <c r="D461" t="s">
        <v>92</v>
      </c>
      <c r="E461" t="s">
        <v>72</v>
      </c>
      <c r="F461" t="s">
        <v>73</v>
      </c>
      <c r="G461">
        <v>0</v>
      </c>
      <c r="H461">
        <v>2E+20</v>
      </c>
      <c r="I461">
        <v>0</v>
      </c>
      <c r="J461">
        <v>0</v>
      </c>
      <c r="K461">
        <v>138</v>
      </c>
      <c r="L461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61" cm="1">
        <f t="array" ref="M461">MAX(IF((ProjectInfoTable[ProjectName]=DiscreteStatsTable[[#This Row],[ProjectName]]),(ProjectInfoTable[ProjectName]=DiscreteStatsTable[[#This Row],[ProjectName]])*ProjectInfoTable[NumberOfReplications]))</f>
        <v>30</v>
      </c>
      <c r="N461" cm="1">
        <f t="array" ref="N461">IFERROR(AVERAGE(IF((DiscreteStatsTable[GroupByKey]=DiscreteStatsTable[[#This Row],[GroupByKey]]),(DiscreteStatsTable[GroupByKey]=DiscreteStatsTable[[#This Row],[GroupByKey]])*DiscreteStatsTable[Average])),0)</f>
        <v>0</v>
      </c>
      <c r="O461" cm="1">
        <f t="array" ref="O461">IFERROR(_xlfn.STDEV.S(IF((DiscreteStatsTable[GroupByKey]=DiscreteStatsTable[[#This Row],[GroupByKey]]),(DiscreteStatsTable[GroupByKey]=DiscreteStatsTable[[#This Row],[GroupByKey]])*DiscreteStatsTable[Average])),0)</f>
        <v>0</v>
      </c>
      <c r="P461" cm="1">
        <f t="array" ref="P461">MAX(IF((ProjectInfoTable[ProjectName]=DiscreteStatsTable[[#This Row],[ProjectName]]),(ProjectInfoTable[ProjectName]=DiscreteStatsTable[[#This Row],[ProjectName]])*ProjectInfoTable[ConfidenceInterval]))</f>
        <v>0.95</v>
      </c>
      <c r="Q461">
        <f>IF(AND(DiscreteStatsTable[[#This Row],[RepsWithStatObserved]]=1,Y461=0),200000000000000000000,IFERROR(_xlfn.T.INV.2T(1 -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1" cm="1">
        <f t="array" ref="R461">MIN(IF((DiscreteStatsTable[GroupByKey]=DiscreteStatsTable[[#This Row],[GroupByKey]]),(DiscreteStatsTable[GroupByKey]=DiscreteStatsTable[[#This Row],[GroupByKey]])*DiscreteStatsTable[Average]))</f>
        <v>0</v>
      </c>
      <c r="S461" cm="1">
        <f t="array" ref="S461">MAX(IF((DiscreteStatsTable[GroupByKey]=DiscreteStatsTable[[#This Row],[GroupByKey]]),(DiscreteStatsTable[GroupByKey]=DiscreteStatsTable[[#This Row],[GroupByKey]])*DiscreteStatsTable[Average]))</f>
        <v>0</v>
      </c>
      <c r="T461" cm="1">
        <f t="array" ref="T461">MIN(IF((DiscreteStatsTable[GroupByKey]=DiscreteStatsTable[[#This Row],[GroupByKey]]),(DiscreteStatsTable[GroupByKey]=DiscreteStatsTable[[#This Row],[GroupByKey]])*DiscreteStatsTable[Minimum]))</f>
        <v>0</v>
      </c>
      <c r="U461" cm="1">
        <f t="array" ref="U461">MAX(IF((DiscreteStatsTable[GroupByKey]=DiscreteStatsTable[[#This Row],[GroupByKey]]),(DiscreteStatsTable[GroupByKey]=DiscreteStatsTable[[#This Row],[GroupByKey]])*DiscreteStatsTable[Maximum]))</f>
        <v>0</v>
      </c>
      <c r="V461" cm="1">
        <f t="array" ref="V461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61">
        <f>IF((DiscreteStatsTable[[#This Row],[RepsRequested]]&gt;1),DiscreteStatsTable[[#This Row],[HalfWidth]],DiscreteStatsTable[[#This Row],[BatchMeansHalfWidth]])</f>
        <v>0</v>
      </c>
      <c r="X461" cm="1">
        <f t="array" ref="X461">COUNT(IF((DiscreteStatsTable[GroupByKey]=DiscreteStatsTable[[#This Row],[GroupByKey]]),(DiscreteStatsTable[GroupByKey]=DiscreteStatsTable[[#This Row],[GroupByKey]])*DiscreteStatsTable[Replication]))</f>
        <v>30</v>
      </c>
      <c r="Y461">
        <f>IF(DiscreteStatsTable[[#This Row],[RepsRequested]]=DiscreteStatsTable[[#This Row],[RepsWithStatObserved]],1,0)</f>
        <v>1</v>
      </c>
    </row>
    <row r="462" spans="1:25" x14ac:dyDescent="0.2">
      <c r="A462" t="s">
        <v>67</v>
      </c>
      <c r="B462" t="s">
        <v>70</v>
      </c>
      <c r="C462">
        <v>11</v>
      </c>
      <c r="D462" t="s">
        <v>92</v>
      </c>
      <c r="E462" t="s">
        <v>72</v>
      </c>
      <c r="F462" t="s">
        <v>73</v>
      </c>
      <c r="G462">
        <v>0</v>
      </c>
      <c r="H462">
        <v>2E+20</v>
      </c>
      <c r="I462">
        <v>0</v>
      </c>
      <c r="J462">
        <v>0</v>
      </c>
      <c r="K462">
        <v>146</v>
      </c>
      <c r="L462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62" cm="1">
        <f t="array" ref="M462">MAX(IF((ProjectInfoTable[ProjectName]=DiscreteStatsTable[[#This Row],[ProjectName]]),(ProjectInfoTable[ProjectName]=DiscreteStatsTable[[#This Row],[ProjectName]])*ProjectInfoTable[NumberOfReplications]))</f>
        <v>30</v>
      </c>
      <c r="N462" cm="1">
        <f t="array" ref="N462">IFERROR(AVERAGE(IF((DiscreteStatsTable[GroupByKey]=DiscreteStatsTable[[#This Row],[GroupByKey]]),(DiscreteStatsTable[GroupByKey]=DiscreteStatsTable[[#This Row],[GroupByKey]])*DiscreteStatsTable[Average])),0)</f>
        <v>0</v>
      </c>
      <c r="O462" cm="1">
        <f t="array" ref="O462">IFERROR(_xlfn.STDEV.S(IF((DiscreteStatsTable[GroupByKey]=DiscreteStatsTable[[#This Row],[GroupByKey]]),(DiscreteStatsTable[GroupByKey]=DiscreteStatsTable[[#This Row],[GroupByKey]])*DiscreteStatsTable[Average])),0)</f>
        <v>0</v>
      </c>
      <c r="P462" cm="1">
        <f t="array" ref="P462">MAX(IF((ProjectInfoTable[ProjectName]=DiscreteStatsTable[[#This Row],[ProjectName]]),(ProjectInfoTable[ProjectName]=DiscreteStatsTable[[#This Row],[ProjectName]])*ProjectInfoTable[ConfidenceInterval]))</f>
        <v>0.95</v>
      </c>
      <c r="Q462">
        <f>IF(AND(DiscreteStatsTable[[#This Row],[RepsWithStatObserved]]=1,Y462=0),200000000000000000000,IFERROR(_xlfn.T.INV.2T(1 -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2" cm="1">
        <f t="array" ref="R462">MIN(IF((DiscreteStatsTable[GroupByKey]=DiscreteStatsTable[[#This Row],[GroupByKey]]),(DiscreteStatsTable[GroupByKey]=DiscreteStatsTable[[#This Row],[GroupByKey]])*DiscreteStatsTable[Average]))</f>
        <v>0</v>
      </c>
      <c r="S462" cm="1">
        <f t="array" ref="S462">MAX(IF((DiscreteStatsTable[GroupByKey]=DiscreteStatsTable[[#This Row],[GroupByKey]]),(DiscreteStatsTable[GroupByKey]=DiscreteStatsTable[[#This Row],[GroupByKey]])*DiscreteStatsTable[Average]))</f>
        <v>0</v>
      </c>
      <c r="T462" cm="1">
        <f t="array" ref="T462">MIN(IF((DiscreteStatsTable[GroupByKey]=DiscreteStatsTable[[#This Row],[GroupByKey]]),(DiscreteStatsTable[GroupByKey]=DiscreteStatsTable[[#This Row],[GroupByKey]])*DiscreteStatsTable[Minimum]))</f>
        <v>0</v>
      </c>
      <c r="U462" cm="1">
        <f t="array" ref="U462">MAX(IF((DiscreteStatsTable[GroupByKey]=DiscreteStatsTable[[#This Row],[GroupByKey]]),(DiscreteStatsTable[GroupByKey]=DiscreteStatsTable[[#This Row],[GroupByKey]])*DiscreteStatsTable[Maximum]))</f>
        <v>0</v>
      </c>
      <c r="V462" cm="1">
        <f t="array" ref="V462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62">
        <f>IF((DiscreteStatsTable[[#This Row],[RepsRequested]]&gt;1),DiscreteStatsTable[[#This Row],[HalfWidth]],DiscreteStatsTable[[#This Row],[BatchMeansHalfWidth]])</f>
        <v>0</v>
      </c>
      <c r="X462" cm="1">
        <f t="array" ref="X462">COUNT(IF((DiscreteStatsTable[GroupByKey]=DiscreteStatsTable[[#This Row],[GroupByKey]]),(DiscreteStatsTable[GroupByKey]=DiscreteStatsTable[[#This Row],[GroupByKey]])*DiscreteStatsTable[Replication]))</f>
        <v>30</v>
      </c>
      <c r="Y462">
        <f>IF(DiscreteStatsTable[[#This Row],[RepsRequested]]=DiscreteStatsTable[[#This Row],[RepsWithStatObserved]],1,0)</f>
        <v>1</v>
      </c>
    </row>
    <row r="463" spans="1:25" x14ac:dyDescent="0.2">
      <c r="A463" t="s">
        <v>67</v>
      </c>
      <c r="B463" t="s">
        <v>70</v>
      </c>
      <c r="C463">
        <v>12</v>
      </c>
      <c r="D463" t="s">
        <v>92</v>
      </c>
      <c r="E463" t="s">
        <v>72</v>
      </c>
      <c r="F463" t="s">
        <v>73</v>
      </c>
      <c r="G463">
        <v>0</v>
      </c>
      <c r="H463">
        <v>2E+20</v>
      </c>
      <c r="I463">
        <v>0</v>
      </c>
      <c r="J463">
        <v>0</v>
      </c>
      <c r="K463">
        <v>148</v>
      </c>
      <c r="L463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63" cm="1">
        <f t="array" ref="M463">MAX(IF((ProjectInfoTable[ProjectName]=DiscreteStatsTable[[#This Row],[ProjectName]]),(ProjectInfoTable[ProjectName]=DiscreteStatsTable[[#This Row],[ProjectName]])*ProjectInfoTable[NumberOfReplications]))</f>
        <v>30</v>
      </c>
      <c r="N463" cm="1">
        <f t="array" ref="N463">IFERROR(AVERAGE(IF((DiscreteStatsTable[GroupByKey]=DiscreteStatsTable[[#This Row],[GroupByKey]]),(DiscreteStatsTable[GroupByKey]=DiscreteStatsTable[[#This Row],[GroupByKey]])*DiscreteStatsTable[Average])),0)</f>
        <v>0</v>
      </c>
      <c r="O463" cm="1">
        <f t="array" ref="O463">IFERROR(_xlfn.STDEV.S(IF((DiscreteStatsTable[GroupByKey]=DiscreteStatsTable[[#This Row],[GroupByKey]]),(DiscreteStatsTable[GroupByKey]=DiscreteStatsTable[[#This Row],[GroupByKey]])*DiscreteStatsTable[Average])),0)</f>
        <v>0</v>
      </c>
      <c r="P463" cm="1">
        <f t="array" ref="P463">MAX(IF((ProjectInfoTable[ProjectName]=DiscreteStatsTable[[#This Row],[ProjectName]]),(ProjectInfoTable[ProjectName]=DiscreteStatsTable[[#This Row],[ProjectName]])*ProjectInfoTable[ConfidenceInterval]))</f>
        <v>0.95</v>
      </c>
      <c r="Q463">
        <f>IF(AND(DiscreteStatsTable[[#This Row],[RepsWithStatObserved]]=1,Y463=0),200000000000000000000,IFERROR(_xlfn.T.INV.2T(1 -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3" cm="1">
        <f t="array" ref="R463">MIN(IF((DiscreteStatsTable[GroupByKey]=DiscreteStatsTable[[#This Row],[GroupByKey]]),(DiscreteStatsTable[GroupByKey]=DiscreteStatsTable[[#This Row],[GroupByKey]])*DiscreteStatsTable[Average]))</f>
        <v>0</v>
      </c>
      <c r="S463" cm="1">
        <f t="array" ref="S463">MAX(IF((DiscreteStatsTable[GroupByKey]=DiscreteStatsTable[[#This Row],[GroupByKey]]),(DiscreteStatsTable[GroupByKey]=DiscreteStatsTable[[#This Row],[GroupByKey]])*DiscreteStatsTable[Average]))</f>
        <v>0</v>
      </c>
      <c r="T463" cm="1">
        <f t="array" ref="T463">MIN(IF((DiscreteStatsTable[GroupByKey]=DiscreteStatsTable[[#This Row],[GroupByKey]]),(DiscreteStatsTable[GroupByKey]=DiscreteStatsTable[[#This Row],[GroupByKey]])*DiscreteStatsTable[Minimum]))</f>
        <v>0</v>
      </c>
      <c r="U463" cm="1">
        <f t="array" ref="U463">MAX(IF((DiscreteStatsTable[GroupByKey]=DiscreteStatsTable[[#This Row],[GroupByKey]]),(DiscreteStatsTable[GroupByKey]=DiscreteStatsTable[[#This Row],[GroupByKey]])*DiscreteStatsTable[Maximum]))</f>
        <v>0</v>
      </c>
      <c r="V463" cm="1">
        <f t="array" ref="V463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63">
        <f>IF((DiscreteStatsTable[[#This Row],[RepsRequested]]&gt;1),DiscreteStatsTable[[#This Row],[HalfWidth]],DiscreteStatsTable[[#This Row],[BatchMeansHalfWidth]])</f>
        <v>0</v>
      </c>
      <c r="X463" cm="1">
        <f t="array" ref="X463">COUNT(IF((DiscreteStatsTable[GroupByKey]=DiscreteStatsTable[[#This Row],[GroupByKey]]),(DiscreteStatsTable[GroupByKey]=DiscreteStatsTable[[#This Row],[GroupByKey]])*DiscreteStatsTable[Replication]))</f>
        <v>30</v>
      </c>
      <c r="Y463">
        <f>IF(DiscreteStatsTable[[#This Row],[RepsRequested]]=DiscreteStatsTable[[#This Row],[RepsWithStatObserved]],1,0)</f>
        <v>1</v>
      </c>
    </row>
    <row r="464" spans="1:25" x14ac:dyDescent="0.2">
      <c r="A464" t="s">
        <v>67</v>
      </c>
      <c r="B464" t="s">
        <v>70</v>
      </c>
      <c r="C464">
        <v>13</v>
      </c>
      <c r="D464" t="s">
        <v>92</v>
      </c>
      <c r="E464" t="s">
        <v>72</v>
      </c>
      <c r="F464" t="s">
        <v>73</v>
      </c>
      <c r="G464">
        <v>0</v>
      </c>
      <c r="H464">
        <v>2E+20</v>
      </c>
      <c r="I464">
        <v>0</v>
      </c>
      <c r="J464">
        <v>0</v>
      </c>
      <c r="K464">
        <v>147</v>
      </c>
      <c r="L464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64" cm="1">
        <f t="array" ref="M464">MAX(IF((ProjectInfoTable[ProjectName]=DiscreteStatsTable[[#This Row],[ProjectName]]),(ProjectInfoTable[ProjectName]=DiscreteStatsTable[[#This Row],[ProjectName]])*ProjectInfoTable[NumberOfReplications]))</f>
        <v>30</v>
      </c>
      <c r="N464" cm="1">
        <f t="array" ref="N464">IFERROR(AVERAGE(IF((DiscreteStatsTable[GroupByKey]=DiscreteStatsTable[[#This Row],[GroupByKey]]),(DiscreteStatsTable[GroupByKey]=DiscreteStatsTable[[#This Row],[GroupByKey]])*DiscreteStatsTable[Average])),0)</f>
        <v>0</v>
      </c>
      <c r="O464" cm="1">
        <f t="array" ref="O464">IFERROR(_xlfn.STDEV.S(IF((DiscreteStatsTable[GroupByKey]=DiscreteStatsTable[[#This Row],[GroupByKey]]),(DiscreteStatsTable[GroupByKey]=DiscreteStatsTable[[#This Row],[GroupByKey]])*DiscreteStatsTable[Average])),0)</f>
        <v>0</v>
      </c>
      <c r="P464" cm="1">
        <f t="array" ref="P464">MAX(IF((ProjectInfoTable[ProjectName]=DiscreteStatsTable[[#This Row],[ProjectName]]),(ProjectInfoTable[ProjectName]=DiscreteStatsTable[[#This Row],[ProjectName]])*ProjectInfoTable[ConfidenceInterval]))</f>
        <v>0.95</v>
      </c>
      <c r="Q464">
        <f>IF(AND(DiscreteStatsTable[[#This Row],[RepsWithStatObserved]]=1,Y464=0),200000000000000000000,IFERROR(_xlfn.T.INV.2T(1 -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4" cm="1">
        <f t="array" ref="R464">MIN(IF((DiscreteStatsTable[GroupByKey]=DiscreteStatsTable[[#This Row],[GroupByKey]]),(DiscreteStatsTable[GroupByKey]=DiscreteStatsTable[[#This Row],[GroupByKey]])*DiscreteStatsTable[Average]))</f>
        <v>0</v>
      </c>
      <c r="S464" cm="1">
        <f t="array" ref="S464">MAX(IF((DiscreteStatsTable[GroupByKey]=DiscreteStatsTable[[#This Row],[GroupByKey]]),(DiscreteStatsTable[GroupByKey]=DiscreteStatsTable[[#This Row],[GroupByKey]])*DiscreteStatsTable[Average]))</f>
        <v>0</v>
      </c>
      <c r="T464" cm="1">
        <f t="array" ref="T464">MIN(IF((DiscreteStatsTable[GroupByKey]=DiscreteStatsTable[[#This Row],[GroupByKey]]),(DiscreteStatsTable[GroupByKey]=DiscreteStatsTable[[#This Row],[GroupByKey]])*DiscreteStatsTable[Minimum]))</f>
        <v>0</v>
      </c>
      <c r="U464" cm="1">
        <f t="array" ref="U464">MAX(IF((DiscreteStatsTable[GroupByKey]=DiscreteStatsTable[[#This Row],[GroupByKey]]),(DiscreteStatsTable[GroupByKey]=DiscreteStatsTable[[#This Row],[GroupByKey]])*DiscreteStatsTable[Maximum]))</f>
        <v>0</v>
      </c>
      <c r="V464" cm="1">
        <f t="array" ref="V464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64">
        <f>IF((DiscreteStatsTable[[#This Row],[RepsRequested]]&gt;1),DiscreteStatsTable[[#This Row],[HalfWidth]],DiscreteStatsTable[[#This Row],[BatchMeansHalfWidth]])</f>
        <v>0</v>
      </c>
      <c r="X464" cm="1">
        <f t="array" ref="X464">COUNT(IF((DiscreteStatsTable[GroupByKey]=DiscreteStatsTable[[#This Row],[GroupByKey]]),(DiscreteStatsTable[GroupByKey]=DiscreteStatsTable[[#This Row],[GroupByKey]])*DiscreteStatsTable[Replication]))</f>
        <v>30</v>
      </c>
      <c r="Y464">
        <f>IF(DiscreteStatsTable[[#This Row],[RepsRequested]]=DiscreteStatsTable[[#This Row],[RepsWithStatObserved]],1,0)</f>
        <v>1</v>
      </c>
    </row>
    <row r="465" spans="1:25" x14ac:dyDescent="0.2">
      <c r="A465" t="s">
        <v>67</v>
      </c>
      <c r="B465" t="s">
        <v>70</v>
      </c>
      <c r="C465">
        <v>14</v>
      </c>
      <c r="D465" t="s">
        <v>92</v>
      </c>
      <c r="E465" t="s">
        <v>72</v>
      </c>
      <c r="F465" t="s">
        <v>73</v>
      </c>
      <c r="G465">
        <v>0</v>
      </c>
      <c r="H465">
        <v>2E+20</v>
      </c>
      <c r="I465">
        <v>0</v>
      </c>
      <c r="J465">
        <v>0</v>
      </c>
      <c r="K465">
        <v>137</v>
      </c>
      <c r="L465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65" cm="1">
        <f t="array" ref="M465">MAX(IF((ProjectInfoTable[ProjectName]=DiscreteStatsTable[[#This Row],[ProjectName]]),(ProjectInfoTable[ProjectName]=DiscreteStatsTable[[#This Row],[ProjectName]])*ProjectInfoTable[NumberOfReplications]))</f>
        <v>30</v>
      </c>
      <c r="N465" cm="1">
        <f t="array" ref="N465">IFERROR(AVERAGE(IF((DiscreteStatsTable[GroupByKey]=DiscreteStatsTable[[#This Row],[GroupByKey]]),(DiscreteStatsTable[GroupByKey]=DiscreteStatsTable[[#This Row],[GroupByKey]])*DiscreteStatsTable[Average])),0)</f>
        <v>0</v>
      </c>
      <c r="O465" cm="1">
        <f t="array" ref="O465">IFERROR(_xlfn.STDEV.S(IF((DiscreteStatsTable[GroupByKey]=DiscreteStatsTable[[#This Row],[GroupByKey]]),(DiscreteStatsTable[GroupByKey]=DiscreteStatsTable[[#This Row],[GroupByKey]])*DiscreteStatsTable[Average])),0)</f>
        <v>0</v>
      </c>
      <c r="P465" cm="1">
        <f t="array" ref="P465">MAX(IF((ProjectInfoTable[ProjectName]=DiscreteStatsTable[[#This Row],[ProjectName]]),(ProjectInfoTable[ProjectName]=DiscreteStatsTable[[#This Row],[ProjectName]])*ProjectInfoTable[ConfidenceInterval]))</f>
        <v>0.95</v>
      </c>
      <c r="Q465">
        <f>IF(AND(DiscreteStatsTable[[#This Row],[RepsWithStatObserved]]=1,Y465=0),200000000000000000000,IFERROR(_xlfn.T.INV.2T(1 -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5" cm="1">
        <f t="array" ref="R465">MIN(IF((DiscreteStatsTable[GroupByKey]=DiscreteStatsTable[[#This Row],[GroupByKey]]),(DiscreteStatsTable[GroupByKey]=DiscreteStatsTable[[#This Row],[GroupByKey]])*DiscreteStatsTable[Average]))</f>
        <v>0</v>
      </c>
      <c r="S465" cm="1">
        <f t="array" ref="S465">MAX(IF((DiscreteStatsTable[GroupByKey]=DiscreteStatsTable[[#This Row],[GroupByKey]]),(DiscreteStatsTable[GroupByKey]=DiscreteStatsTable[[#This Row],[GroupByKey]])*DiscreteStatsTable[Average]))</f>
        <v>0</v>
      </c>
      <c r="T465" cm="1">
        <f t="array" ref="T465">MIN(IF((DiscreteStatsTable[GroupByKey]=DiscreteStatsTable[[#This Row],[GroupByKey]]),(DiscreteStatsTable[GroupByKey]=DiscreteStatsTable[[#This Row],[GroupByKey]])*DiscreteStatsTable[Minimum]))</f>
        <v>0</v>
      </c>
      <c r="U465" cm="1">
        <f t="array" ref="U465">MAX(IF((DiscreteStatsTable[GroupByKey]=DiscreteStatsTable[[#This Row],[GroupByKey]]),(DiscreteStatsTable[GroupByKey]=DiscreteStatsTable[[#This Row],[GroupByKey]])*DiscreteStatsTable[Maximum]))</f>
        <v>0</v>
      </c>
      <c r="V465" cm="1">
        <f t="array" ref="V465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65">
        <f>IF((DiscreteStatsTable[[#This Row],[RepsRequested]]&gt;1),DiscreteStatsTable[[#This Row],[HalfWidth]],DiscreteStatsTable[[#This Row],[BatchMeansHalfWidth]])</f>
        <v>0</v>
      </c>
      <c r="X465" cm="1">
        <f t="array" ref="X465">COUNT(IF((DiscreteStatsTable[GroupByKey]=DiscreteStatsTable[[#This Row],[GroupByKey]]),(DiscreteStatsTable[GroupByKey]=DiscreteStatsTable[[#This Row],[GroupByKey]])*DiscreteStatsTable[Replication]))</f>
        <v>30</v>
      </c>
      <c r="Y465">
        <f>IF(DiscreteStatsTable[[#This Row],[RepsRequested]]=DiscreteStatsTable[[#This Row],[RepsWithStatObserved]],1,0)</f>
        <v>1</v>
      </c>
    </row>
    <row r="466" spans="1:25" x14ac:dyDescent="0.2">
      <c r="A466" t="s">
        <v>67</v>
      </c>
      <c r="B466" t="s">
        <v>70</v>
      </c>
      <c r="C466">
        <v>15</v>
      </c>
      <c r="D466" t="s">
        <v>92</v>
      </c>
      <c r="E466" t="s">
        <v>72</v>
      </c>
      <c r="F466" t="s">
        <v>73</v>
      </c>
      <c r="G466">
        <v>0</v>
      </c>
      <c r="H466">
        <v>2E+20</v>
      </c>
      <c r="I466">
        <v>0</v>
      </c>
      <c r="J466">
        <v>0</v>
      </c>
      <c r="K466">
        <v>138</v>
      </c>
      <c r="L466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66" cm="1">
        <f t="array" ref="M466">MAX(IF((ProjectInfoTable[ProjectName]=DiscreteStatsTable[[#This Row],[ProjectName]]),(ProjectInfoTable[ProjectName]=DiscreteStatsTable[[#This Row],[ProjectName]])*ProjectInfoTable[NumberOfReplications]))</f>
        <v>30</v>
      </c>
      <c r="N466" cm="1">
        <f t="array" ref="N466">IFERROR(AVERAGE(IF((DiscreteStatsTable[GroupByKey]=DiscreteStatsTable[[#This Row],[GroupByKey]]),(DiscreteStatsTable[GroupByKey]=DiscreteStatsTable[[#This Row],[GroupByKey]])*DiscreteStatsTable[Average])),0)</f>
        <v>0</v>
      </c>
      <c r="O466" cm="1">
        <f t="array" ref="O466">IFERROR(_xlfn.STDEV.S(IF((DiscreteStatsTable[GroupByKey]=DiscreteStatsTable[[#This Row],[GroupByKey]]),(DiscreteStatsTable[GroupByKey]=DiscreteStatsTable[[#This Row],[GroupByKey]])*DiscreteStatsTable[Average])),0)</f>
        <v>0</v>
      </c>
      <c r="P466" cm="1">
        <f t="array" ref="P466">MAX(IF((ProjectInfoTable[ProjectName]=DiscreteStatsTable[[#This Row],[ProjectName]]),(ProjectInfoTable[ProjectName]=DiscreteStatsTable[[#This Row],[ProjectName]])*ProjectInfoTable[ConfidenceInterval]))</f>
        <v>0.95</v>
      </c>
      <c r="Q466">
        <f>IF(AND(DiscreteStatsTable[[#This Row],[RepsWithStatObserved]]=1,Y466=0),200000000000000000000,IFERROR(_xlfn.T.INV.2T(1 -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6" cm="1">
        <f t="array" ref="R466">MIN(IF((DiscreteStatsTable[GroupByKey]=DiscreteStatsTable[[#This Row],[GroupByKey]]),(DiscreteStatsTable[GroupByKey]=DiscreteStatsTable[[#This Row],[GroupByKey]])*DiscreteStatsTable[Average]))</f>
        <v>0</v>
      </c>
      <c r="S466" cm="1">
        <f t="array" ref="S466">MAX(IF((DiscreteStatsTable[GroupByKey]=DiscreteStatsTable[[#This Row],[GroupByKey]]),(DiscreteStatsTable[GroupByKey]=DiscreteStatsTable[[#This Row],[GroupByKey]])*DiscreteStatsTable[Average]))</f>
        <v>0</v>
      </c>
      <c r="T466" cm="1">
        <f t="array" ref="T466">MIN(IF((DiscreteStatsTable[GroupByKey]=DiscreteStatsTable[[#This Row],[GroupByKey]]),(DiscreteStatsTable[GroupByKey]=DiscreteStatsTable[[#This Row],[GroupByKey]])*DiscreteStatsTable[Minimum]))</f>
        <v>0</v>
      </c>
      <c r="U466" cm="1">
        <f t="array" ref="U466">MAX(IF((DiscreteStatsTable[GroupByKey]=DiscreteStatsTable[[#This Row],[GroupByKey]]),(DiscreteStatsTable[GroupByKey]=DiscreteStatsTable[[#This Row],[GroupByKey]])*DiscreteStatsTable[Maximum]))</f>
        <v>0</v>
      </c>
      <c r="V466" cm="1">
        <f t="array" ref="V466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66">
        <f>IF((DiscreteStatsTable[[#This Row],[RepsRequested]]&gt;1),DiscreteStatsTable[[#This Row],[HalfWidth]],DiscreteStatsTable[[#This Row],[BatchMeansHalfWidth]])</f>
        <v>0</v>
      </c>
      <c r="X466" cm="1">
        <f t="array" ref="X466">COUNT(IF((DiscreteStatsTable[GroupByKey]=DiscreteStatsTable[[#This Row],[GroupByKey]]),(DiscreteStatsTable[GroupByKey]=DiscreteStatsTable[[#This Row],[GroupByKey]])*DiscreteStatsTable[Replication]))</f>
        <v>30</v>
      </c>
      <c r="Y466">
        <f>IF(DiscreteStatsTable[[#This Row],[RepsRequested]]=DiscreteStatsTable[[#This Row],[RepsWithStatObserved]],1,0)</f>
        <v>1</v>
      </c>
    </row>
    <row r="467" spans="1:25" x14ac:dyDescent="0.2">
      <c r="A467" t="s">
        <v>67</v>
      </c>
      <c r="B467" t="s">
        <v>70</v>
      </c>
      <c r="C467">
        <v>16</v>
      </c>
      <c r="D467" t="s">
        <v>92</v>
      </c>
      <c r="E467" t="s">
        <v>72</v>
      </c>
      <c r="F467" t="s">
        <v>73</v>
      </c>
      <c r="G467">
        <v>0</v>
      </c>
      <c r="H467">
        <v>2E+20</v>
      </c>
      <c r="I467">
        <v>0</v>
      </c>
      <c r="J467">
        <v>0</v>
      </c>
      <c r="K467">
        <v>139</v>
      </c>
      <c r="L467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67" cm="1">
        <f t="array" ref="M467">MAX(IF((ProjectInfoTable[ProjectName]=DiscreteStatsTable[[#This Row],[ProjectName]]),(ProjectInfoTable[ProjectName]=DiscreteStatsTable[[#This Row],[ProjectName]])*ProjectInfoTable[NumberOfReplications]))</f>
        <v>30</v>
      </c>
      <c r="N467" cm="1">
        <f t="array" ref="N467">IFERROR(AVERAGE(IF((DiscreteStatsTable[GroupByKey]=DiscreteStatsTable[[#This Row],[GroupByKey]]),(DiscreteStatsTable[GroupByKey]=DiscreteStatsTable[[#This Row],[GroupByKey]])*DiscreteStatsTable[Average])),0)</f>
        <v>0</v>
      </c>
      <c r="O467" cm="1">
        <f t="array" ref="O467">IFERROR(_xlfn.STDEV.S(IF((DiscreteStatsTable[GroupByKey]=DiscreteStatsTable[[#This Row],[GroupByKey]]),(DiscreteStatsTable[GroupByKey]=DiscreteStatsTable[[#This Row],[GroupByKey]])*DiscreteStatsTable[Average])),0)</f>
        <v>0</v>
      </c>
      <c r="P467" cm="1">
        <f t="array" ref="P467">MAX(IF((ProjectInfoTable[ProjectName]=DiscreteStatsTable[[#This Row],[ProjectName]]),(ProjectInfoTable[ProjectName]=DiscreteStatsTable[[#This Row],[ProjectName]])*ProjectInfoTable[ConfidenceInterval]))</f>
        <v>0.95</v>
      </c>
      <c r="Q467">
        <f>IF(AND(DiscreteStatsTable[[#This Row],[RepsWithStatObserved]]=1,Y467=0),200000000000000000000,IFERROR(_xlfn.T.INV.2T(1 -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7" cm="1">
        <f t="array" ref="R467">MIN(IF((DiscreteStatsTable[GroupByKey]=DiscreteStatsTable[[#This Row],[GroupByKey]]),(DiscreteStatsTable[GroupByKey]=DiscreteStatsTable[[#This Row],[GroupByKey]])*DiscreteStatsTable[Average]))</f>
        <v>0</v>
      </c>
      <c r="S467" cm="1">
        <f t="array" ref="S467">MAX(IF((DiscreteStatsTable[GroupByKey]=DiscreteStatsTable[[#This Row],[GroupByKey]]),(DiscreteStatsTable[GroupByKey]=DiscreteStatsTable[[#This Row],[GroupByKey]])*DiscreteStatsTable[Average]))</f>
        <v>0</v>
      </c>
      <c r="T467" cm="1">
        <f t="array" ref="T467">MIN(IF((DiscreteStatsTable[GroupByKey]=DiscreteStatsTable[[#This Row],[GroupByKey]]),(DiscreteStatsTable[GroupByKey]=DiscreteStatsTable[[#This Row],[GroupByKey]])*DiscreteStatsTable[Minimum]))</f>
        <v>0</v>
      </c>
      <c r="U467" cm="1">
        <f t="array" ref="U467">MAX(IF((DiscreteStatsTable[GroupByKey]=DiscreteStatsTable[[#This Row],[GroupByKey]]),(DiscreteStatsTable[GroupByKey]=DiscreteStatsTable[[#This Row],[GroupByKey]])*DiscreteStatsTable[Maximum]))</f>
        <v>0</v>
      </c>
      <c r="V467" cm="1">
        <f t="array" ref="V467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67">
        <f>IF((DiscreteStatsTable[[#This Row],[RepsRequested]]&gt;1),DiscreteStatsTable[[#This Row],[HalfWidth]],DiscreteStatsTable[[#This Row],[BatchMeansHalfWidth]])</f>
        <v>0</v>
      </c>
      <c r="X467" cm="1">
        <f t="array" ref="X467">COUNT(IF((DiscreteStatsTable[GroupByKey]=DiscreteStatsTable[[#This Row],[GroupByKey]]),(DiscreteStatsTable[GroupByKey]=DiscreteStatsTable[[#This Row],[GroupByKey]])*DiscreteStatsTable[Replication]))</f>
        <v>30</v>
      </c>
      <c r="Y467">
        <f>IF(DiscreteStatsTable[[#This Row],[RepsRequested]]=DiscreteStatsTable[[#This Row],[RepsWithStatObserved]],1,0)</f>
        <v>1</v>
      </c>
    </row>
    <row r="468" spans="1:25" x14ac:dyDescent="0.2">
      <c r="A468" t="s">
        <v>67</v>
      </c>
      <c r="B468" t="s">
        <v>70</v>
      </c>
      <c r="C468">
        <v>17</v>
      </c>
      <c r="D468" t="s">
        <v>92</v>
      </c>
      <c r="E468" t="s">
        <v>72</v>
      </c>
      <c r="F468" t="s">
        <v>73</v>
      </c>
      <c r="G468">
        <v>0</v>
      </c>
      <c r="H468">
        <v>2E+20</v>
      </c>
      <c r="I468">
        <v>0</v>
      </c>
      <c r="J468">
        <v>0</v>
      </c>
      <c r="K468">
        <v>141</v>
      </c>
      <c r="L468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68" cm="1">
        <f t="array" ref="M468">MAX(IF((ProjectInfoTable[ProjectName]=DiscreteStatsTable[[#This Row],[ProjectName]]),(ProjectInfoTable[ProjectName]=DiscreteStatsTable[[#This Row],[ProjectName]])*ProjectInfoTable[NumberOfReplications]))</f>
        <v>30</v>
      </c>
      <c r="N468" cm="1">
        <f t="array" ref="N468">IFERROR(AVERAGE(IF((DiscreteStatsTable[GroupByKey]=DiscreteStatsTable[[#This Row],[GroupByKey]]),(DiscreteStatsTable[GroupByKey]=DiscreteStatsTable[[#This Row],[GroupByKey]])*DiscreteStatsTable[Average])),0)</f>
        <v>0</v>
      </c>
      <c r="O468" cm="1">
        <f t="array" ref="O468">IFERROR(_xlfn.STDEV.S(IF((DiscreteStatsTable[GroupByKey]=DiscreteStatsTable[[#This Row],[GroupByKey]]),(DiscreteStatsTable[GroupByKey]=DiscreteStatsTable[[#This Row],[GroupByKey]])*DiscreteStatsTable[Average])),0)</f>
        <v>0</v>
      </c>
      <c r="P468" cm="1">
        <f t="array" ref="P468">MAX(IF((ProjectInfoTable[ProjectName]=DiscreteStatsTable[[#This Row],[ProjectName]]),(ProjectInfoTable[ProjectName]=DiscreteStatsTable[[#This Row],[ProjectName]])*ProjectInfoTable[ConfidenceInterval]))</f>
        <v>0.95</v>
      </c>
      <c r="Q468">
        <f>IF(AND(DiscreteStatsTable[[#This Row],[RepsWithStatObserved]]=1,Y468=0),200000000000000000000,IFERROR(_xlfn.T.INV.2T(1 -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8" cm="1">
        <f t="array" ref="R468">MIN(IF((DiscreteStatsTable[GroupByKey]=DiscreteStatsTable[[#This Row],[GroupByKey]]),(DiscreteStatsTable[GroupByKey]=DiscreteStatsTable[[#This Row],[GroupByKey]])*DiscreteStatsTable[Average]))</f>
        <v>0</v>
      </c>
      <c r="S468" cm="1">
        <f t="array" ref="S468">MAX(IF((DiscreteStatsTable[GroupByKey]=DiscreteStatsTable[[#This Row],[GroupByKey]]),(DiscreteStatsTable[GroupByKey]=DiscreteStatsTable[[#This Row],[GroupByKey]])*DiscreteStatsTable[Average]))</f>
        <v>0</v>
      </c>
      <c r="T468" cm="1">
        <f t="array" ref="T468">MIN(IF((DiscreteStatsTable[GroupByKey]=DiscreteStatsTable[[#This Row],[GroupByKey]]),(DiscreteStatsTable[GroupByKey]=DiscreteStatsTable[[#This Row],[GroupByKey]])*DiscreteStatsTable[Minimum]))</f>
        <v>0</v>
      </c>
      <c r="U468" cm="1">
        <f t="array" ref="U468">MAX(IF((DiscreteStatsTable[GroupByKey]=DiscreteStatsTable[[#This Row],[GroupByKey]]),(DiscreteStatsTable[GroupByKey]=DiscreteStatsTable[[#This Row],[GroupByKey]])*DiscreteStatsTable[Maximum]))</f>
        <v>0</v>
      </c>
      <c r="V468" cm="1">
        <f t="array" ref="V468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68">
        <f>IF((DiscreteStatsTable[[#This Row],[RepsRequested]]&gt;1),DiscreteStatsTable[[#This Row],[HalfWidth]],DiscreteStatsTable[[#This Row],[BatchMeansHalfWidth]])</f>
        <v>0</v>
      </c>
      <c r="X468" cm="1">
        <f t="array" ref="X468">COUNT(IF((DiscreteStatsTable[GroupByKey]=DiscreteStatsTable[[#This Row],[GroupByKey]]),(DiscreteStatsTable[GroupByKey]=DiscreteStatsTable[[#This Row],[GroupByKey]])*DiscreteStatsTable[Replication]))</f>
        <v>30</v>
      </c>
      <c r="Y468">
        <f>IF(DiscreteStatsTable[[#This Row],[RepsRequested]]=DiscreteStatsTable[[#This Row],[RepsWithStatObserved]],1,0)</f>
        <v>1</v>
      </c>
    </row>
    <row r="469" spans="1:25" x14ac:dyDescent="0.2">
      <c r="A469" t="s">
        <v>67</v>
      </c>
      <c r="B469" t="s">
        <v>70</v>
      </c>
      <c r="C469">
        <v>18</v>
      </c>
      <c r="D469" t="s">
        <v>92</v>
      </c>
      <c r="E469" t="s">
        <v>72</v>
      </c>
      <c r="F469" t="s">
        <v>73</v>
      </c>
      <c r="G469">
        <v>0</v>
      </c>
      <c r="H469">
        <v>2E+20</v>
      </c>
      <c r="I469">
        <v>0</v>
      </c>
      <c r="J469">
        <v>0</v>
      </c>
      <c r="K469">
        <v>144</v>
      </c>
      <c r="L469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69" cm="1">
        <f t="array" ref="M469">MAX(IF((ProjectInfoTable[ProjectName]=DiscreteStatsTable[[#This Row],[ProjectName]]),(ProjectInfoTable[ProjectName]=DiscreteStatsTable[[#This Row],[ProjectName]])*ProjectInfoTable[NumberOfReplications]))</f>
        <v>30</v>
      </c>
      <c r="N469" cm="1">
        <f t="array" ref="N469">IFERROR(AVERAGE(IF((DiscreteStatsTable[GroupByKey]=DiscreteStatsTable[[#This Row],[GroupByKey]]),(DiscreteStatsTable[GroupByKey]=DiscreteStatsTable[[#This Row],[GroupByKey]])*DiscreteStatsTable[Average])),0)</f>
        <v>0</v>
      </c>
      <c r="O469" cm="1">
        <f t="array" ref="O469">IFERROR(_xlfn.STDEV.S(IF((DiscreteStatsTable[GroupByKey]=DiscreteStatsTable[[#This Row],[GroupByKey]]),(DiscreteStatsTable[GroupByKey]=DiscreteStatsTable[[#This Row],[GroupByKey]])*DiscreteStatsTable[Average])),0)</f>
        <v>0</v>
      </c>
      <c r="P469" cm="1">
        <f t="array" ref="P469">MAX(IF((ProjectInfoTable[ProjectName]=DiscreteStatsTable[[#This Row],[ProjectName]]),(ProjectInfoTable[ProjectName]=DiscreteStatsTable[[#This Row],[ProjectName]])*ProjectInfoTable[ConfidenceInterval]))</f>
        <v>0.95</v>
      </c>
      <c r="Q469">
        <f>IF(AND(DiscreteStatsTable[[#This Row],[RepsWithStatObserved]]=1,Y469=0),200000000000000000000,IFERROR(_xlfn.T.INV.2T(1 -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69" cm="1">
        <f t="array" ref="R469">MIN(IF((DiscreteStatsTable[GroupByKey]=DiscreteStatsTable[[#This Row],[GroupByKey]]),(DiscreteStatsTable[GroupByKey]=DiscreteStatsTable[[#This Row],[GroupByKey]])*DiscreteStatsTable[Average]))</f>
        <v>0</v>
      </c>
      <c r="S469" cm="1">
        <f t="array" ref="S469">MAX(IF((DiscreteStatsTable[GroupByKey]=DiscreteStatsTable[[#This Row],[GroupByKey]]),(DiscreteStatsTable[GroupByKey]=DiscreteStatsTable[[#This Row],[GroupByKey]])*DiscreteStatsTable[Average]))</f>
        <v>0</v>
      </c>
      <c r="T469" cm="1">
        <f t="array" ref="T469">MIN(IF((DiscreteStatsTable[GroupByKey]=DiscreteStatsTable[[#This Row],[GroupByKey]]),(DiscreteStatsTable[GroupByKey]=DiscreteStatsTable[[#This Row],[GroupByKey]])*DiscreteStatsTable[Minimum]))</f>
        <v>0</v>
      </c>
      <c r="U469" cm="1">
        <f t="array" ref="U469">MAX(IF((DiscreteStatsTable[GroupByKey]=DiscreteStatsTable[[#This Row],[GroupByKey]]),(DiscreteStatsTable[GroupByKey]=DiscreteStatsTable[[#This Row],[GroupByKey]])*DiscreteStatsTable[Maximum]))</f>
        <v>0</v>
      </c>
      <c r="V469" cm="1">
        <f t="array" ref="V469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69">
        <f>IF((DiscreteStatsTable[[#This Row],[RepsRequested]]&gt;1),DiscreteStatsTable[[#This Row],[HalfWidth]],DiscreteStatsTable[[#This Row],[BatchMeansHalfWidth]])</f>
        <v>0</v>
      </c>
      <c r="X469" cm="1">
        <f t="array" ref="X469">COUNT(IF((DiscreteStatsTable[GroupByKey]=DiscreteStatsTable[[#This Row],[GroupByKey]]),(DiscreteStatsTable[GroupByKey]=DiscreteStatsTable[[#This Row],[GroupByKey]])*DiscreteStatsTable[Replication]))</f>
        <v>30</v>
      </c>
      <c r="Y469">
        <f>IF(DiscreteStatsTable[[#This Row],[RepsRequested]]=DiscreteStatsTable[[#This Row],[RepsWithStatObserved]],1,0)</f>
        <v>1</v>
      </c>
    </row>
    <row r="470" spans="1:25" x14ac:dyDescent="0.2">
      <c r="A470" t="s">
        <v>67</v>
      </c>
      <c r="B470" t="s">
        <v>70</v>
      </c>
      <c r="C470">
        <v>19</v>
      </c>
      <c r="D470" t="s">
        <v>92</v>
      </c>
      <c r="E470" t="s">
        <v>72</v>
      </c>
      <c r="F470" t="s">
        <v>73</v>
      </c>
      <c r="G470">
        <v>0</v>
      </c>
      <c r="H470">
        <v>2E+20</v>
      </c>
      <c r="I470">
        <v>0</v>
      </c>
      <c r="J470">
        <v>0</v>
      </c>
      <c r="K470">
        <v>146</v>
      </c>
      <c r="L470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70" cm="1">
        <f t="array" ref="M470">MAX(IF((ProjectInfoTable[ProjectName]=DiscreteStatsTable[[#This Row],[ProjectName]]),(ProjectInfoTable[ProjectName]=DiscreteStatsTable[[#This Row],[ProjectName]])*ProjectInfoTable[NumberOfReplications]))</f>
        <v>30</v>
      </c>
      <c r="N470" cm="1">
        <f t="array" ref="N470">IFERROR(AVERAGE(IF((DiscreteStatsTable[GroupByKey]=DiscreteStatsTable[[#This Row],[GroupByKey]]),(DiscreteStatsTable[GroupByKey]=DiscreteStatsTable[[#This Row],[GroupByKey]])*DiscreteStatsTable[Average])),0)</f>
        <v>0</v>
      </c>
      <c r="O470" cm="1">
        <f t="array" ref="O470">IFERROR(_xlfn.STDEV.S(IF((DiscreteStatsTable[GroupByKey]=DiscreteStatsTable[[#This Row],[GroupByKey]]),(DiscreteStatsTable[GroupByKey]=DiscreteStatsTable[[#This Row],[GroupByKey]])*DiscreteStatsTable[Average])),0)</f>
        <v>0</v>
      </c>
      <c r="P470" cm="1">
        <f t="array" ref="P470">MAX(IF((ProjectInfoTable[ProjectName]=DiscreteStatsTable[[#This Row],[ProjectName]]),(ProjectInfoTable[ProjectName]=DiscreteStatsTable[[#This Row],[ProjectName]])*ProjectInfoTable[ConfidenceInterval]))</f>
        <v>0.95</v>
      </c>
      <c r="Q470">
        <f>IF(AND(DiscreteStatsTable[[#This Row],[RepsWithStatObserved]]=1,Y470=0),200000000000000000000,IFERROR(_xlfn.T.INV.2T(1 -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0" cm="1">
        <f t="array" ref="R470">MIN(IF((DiscreteStatsTable[GroupByKey]=DiscreteStatsTable[[#This Row],[GroupByKey]]),(DiscreteStatsTable[GroupByKey]=DiscreteStatsTable[[#This Row],[GroupByKey]])*DiscreteStatsTable[Average]))</f>
        <v>0</v>
      </c>
      <c r="S470" cm="1">
        <f t="array" ref="S470">MAX(IF((DiscreteStatsTable[GroupByKey]=DiscreteStatsTable[[#This Row],[GroupByKey]]),(DiscreteStatsTable[GroupByKey]=DiscreteStatsTable[[#This Row],[GroupByKey]])*DiscreteStatsTable[Average]))</f>
        <v>0</v>
      </c>
      <c r="T470" cm="1">
        <f t="array" ref="T470">MIN(IF((DiscreteStatsTable[GroupByKey]=DiscreteStatsTable[[#This Row],[GroupByKey]]),(DiscreteStatsTable[GroupByKey]=DiscreteStatsTable[[#This Row],[GroupByKey]])*DiscreteStatsTable[Minimum]))</f>
        <v>0</v>
      </c>
      <c r="U470" cm="1">
        <f t="array" ref="U470">MAX(IF((DiscreteStatsTable[GroupByKey]=DiscreteStatsTable[[#This Row],[GroupByKey]]),(DiscreteStatsTable[GroupByKey]=DiscreteStatsTable[[#This Row],[GroupByKey]])*DiscreteStatsTable[Maximum]))</f>
        <v>0</v>
      </c>
      <c r="V470" cm="1">
        <f t="array" ref="V470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70">
        <f>IF((DiscreteStatsTable[[#This Row],[RepsRequested]]&gt;1),DiscreteStatsTable[[#This Row],[HalfWidth]],DiscreteStatsTable[[#This Row],[BatchMeansHalfWidth]])</f>
        <v>0</v>
      </c>
      <c r="X470" cm="1">
        <f t="array" ref="X470">COUNT(IF((DiscreteStatsTable[GroupByKey]=DiscreteStatsTable[[#This Row],[GroupByKey]]),(DiscreteStatsTable[GroupByKey]=DiscreteStatsTable[[#This Row],[GroupByKey]])*DiscreteStatsTable[Replication]))</f>
        <v>30</v>
      </c>
      <c r="Y470">
        <f>IF(DiscreteStatsTable[[#This Row],[RepsRequested]]=DiscreteStatsTable[[#This Row],[RepsWithStatObserved]],1,0)</f>
        <v>1</v>
      </c>
    </row>
    <row r="471" spans="1:25" x14ac:dyDescent="0.2">
      <c r="A471" t="s">
        <v>67</v>
      </c>
      <c r="B471" t="s">
        <v>70</v>
      </c>
      <c r="C471">
        <v>20</v>
      </c>
      <c r="D471" t="s">
        <v>92</v>
      </c>
      <c r="E471" t="s">
        <v>72</v>
      </c>
      <c r="F471" t="s">
        <v>73</v>
      </c>
      <c r="G471">
        <v>0</v>
      </c>
      <c r="H471">
        <v>2E+20</v>
      </c>
      <c r="I471">
        <v>0</v>
      </c>
      <c r="J471">
        <v>0</v>
      </c>
      <c r="K471">
        <v>136</v>
      </c>
      <c r="L471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71" cm="1">
        <f t="array" ref="M471">MAX(IF((ProjectInfoTable[ProjectName]=DiscreteStatsTable[[#This Row],[ProjectName]]),(ProjectInfoTable[ProjectName]=DiscreteStatsTable[[#This Row],[ProjectName]])*ProjectInfoTable[NumberOfReplications]))</f>
        <v>30</v>
      </c>
      <c r="N471" cm="1">
        <f t="array" ref="N471">IFERROR(AVERAGE(IF((DiscreteStatsTable[GroupByKey]=DiscreteStatsTable[[#This Row],[GroupByKey]]),(DiscreteStatsTable[GroupByKey]=DiscreteStatsTable[[#This Row],[GroupByKey]])*DiscreteStatsTable[Average])),0)</f>
        <v>0</v>
      </c>
      <c r="O471" cm="1">
        <f t="array" ref="O471">IFERROR(_xlfn.STDEV.S(IF((DiscreteStatsTable[GroupByKey]=DiscreteStatsTable[[#This Row],[GroupByKey]]),(DiscreteStatsTable[GroupByKey]=DiscreteStatsTable[[#This Row],[GroupByKey]])*DiscreteStatsTable[Average])),0)</f>
        <v>0</v>
      </c>
      <c r="P471" cm="1">
        <f t="array" ref="P471">MAX(IF((ProjectInfoTable[ProjectName]=DiscreteStatsTable[[#This Row],[ProjectName]]),(ProjectInfoTable[ProjectName]=DiscreteStatsTable[[#This Row],[ProjectName]])*ProjectInfoTable[ConfidenceInterval]))</f>
        <v>0.95</v>
      </c>
      <c r="Q471">
        <f>IF(AND(DiscreteStatsTable[[#This Row],[RepsWithStatObserved]]=1,Y471=0),200000000000000000000,IFERROR(_xlfn.T.INV.2T(1 -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1" cm="1">
        <f t="array" ref="R471">MIN(IF((DiscreteStatsTable[GroupByKey]=DiscreteStatsTable[[#This Row],[GroupByKey]]),(DiscreteStatsTable[GroupByKey]=DiscreteStatsTable[[#This Row],[GroupByKey]])*DiscreteStatsTable[Average]))</f>
        <v>0</v>
      </c>
      <c r="S471" cm="1">
        <f t="array" ref="S471">MAX(IF((DiscreteStatsTable[GroupByKey]=DiscreteStatsTable[[#This Row],[GroupByKey]]),(DiscreteStatsTable[GroupByKey]=DiscreteStatsTable[[#This Row],[GroupByKey]])*DiscreteStatsTable[Average]))</f>
        <v>0</v>
      </c>
      <c r="T471" cm="1">
        <f t="array" ref="T471">MIN(IF((DiscreteStatsTable[GroupByKey]=DiscreteStatsTable[[#This Row],[GroupByKey]]),(DiscreteStatsTable[GroupByKey]=DiscreteStatsTable[[#This Row],[GroupByKey]])*DiscreteStatsTable[Minimum]))</f>
        <v>0</v>
      </c>
      <c r="U471" cm="1">
        <f t="array" ref="U471">MAX(IF((DiscreteStatsTable[GroupByKey]=DiscreteStatsTable[[#This Row],[GroupByKey]]),(DiscreteStatsTable[GroupByKey]=DiscreteStatsTable[[#This Row],[GroupByKey]])*DiscreteStatsTable[Maximum]))</f>
        <v>0</v>
      </c>
      <c r="V471" cm="1">
        <f t="array" ref="V471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71">
        <f>IF((DiscreteStatsTable[[#This Row],[RepsRequested]]&gt;1),DiscreteStatsTable[[#This Row],[HalfWidth]],DiscreteStatsTable[[#This Row],[BatchMeansHalfWidth]])</f>
        <v>0</v>
      </c>
      <c r="X471" cm="1">
        <f t="array" ref="X471">COUNT(IF((DiscreteStatsTable[GroupByKey]=DiscreteStatsTable[[#This Row],[GroupByKey]]),(DiscreteStatsTable[GroupByKey]=DiscreteStatsTable[[#This Row],[GroupByKey]])*DiscreteStatsTable[Replication]))</f>
        <v>30</v>
      </c>
      <c r="Y471">
        <f>IF(DiscreteStatsTable[[#This Row],[RepsRequested]]=DiscreteStatsTable[[#This Row],[RepsWithStatObserved]],1,0)</f>
        <v>1</v>
      </c>
    </row>
    <row r="472" spans="1:25" x14ac:dyDescent="0.2">
      <c r="A472" t="s">
        <v>67</v>
      </c>
      <c r="B472" t="s">
        <v>70</v>
      </c>
      <c r="C472">
        <v>21</v>
      </c>
      <c r="D472" t="s">
        <v>92</v>
      </c>
      <c r="E472" t="s">
        <v>72</v>
      </c>
      <c r="F472" t="s">
        <v>73</v>
      </c>
      <c r="G472">
        <v>0</v>
      </c>
      <c r="H472">
        <v>2E+20</v>
      </c>
      <c r="I472">
        <v>0</v>
      </c>
      <c r="J472">
        <v>0</v>
      </c>
      <c r="K472">
        <v>141</v>
      </c>
      <c r="L472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72" cm="1">
        <f t="array" ref="M472">MAX(IF((ProjectInfoTable[ProjectName]=DiscreteStatsTable[[#This Row],[ProjectName]]),(ProjectInfoTable[ProjectName]=DiscreteStatsTable[[#This Row],[ProjectName]])*ProjectInfoTable[NumberOfReplications]))</f>
        <v>30</v>
      </c>
      <c r="N472" cm="1">
        <f t="array" ref="N472">IFERROR(AVERAGE(IF((DiscreteStatsTable[GroupByKey]=DiscreteStatsTable[[#This Row],[GroupByKey]]),(DiscreteStatsTable[GroupByKey]=DiscreteStatsTable[[#This Row],[GroupByKey]])*DiscreteStatsTable[Average])),0)</f>
        <v>0</v>
      </c>
      <c r="O472" cm="1">
        <f t="array" ref="O472">IFERROR(_xlfn.STDEV.S(IF((DiscreteStatsTable[GroupByKey]=DiscreteStatsTable[[#This Row],[GroupByKey]]),(DiscreteStatsTable[GroupByKey]=DiscreteStatsTable[[#This Row],[GroupByKey]])*DiscreteStatsTable[Average])),0)</f>
        <v>0</v>
      </c>
      <c r="P472" cm="1">
        <f t="array" ref="P472">MAX(IF((ProjectInfoTable[ProjectName]=DiscreteStatsTable[[#This Row],[ProjectName]]),(ProjectInfoTable[ProjectName]=DiscreteStatsTable[[#This Row],[ProjectName]])*ProjectInfoTable[ConfidenceInterval]))</f>
        <v>0.95</v>
      </c>
      <c r="Q472">
        <f>IF(AND(DiscreteStatsTable[[#This Row],[RepsWithStatObserved]]=1,Y472=0),200000000000000000000,IFERROR(_xlfn.T.INV.2T(1 -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2" cm="1">
        <f t="array" ref="R472">MIN(IF((DiscreteStatsTable[GroupByKey]=DiscreteStatsTable[[#This Row],[GroupByKey]]),(DiscreteStatsTable[GroupByKey]=DiscreteStatsTable[[#This Row],[GroupByKey]])*DiscreteStatsTable[Average]))</f>
        <v>0</v>
      </c>
      <c r="S472" cm="1">
        <f t="array" ref="S472">MAX(IF((DiscreteStatsTable[GroupByKey]=DiscreteStatsTable[[#This Row],[GroupByKey]]),(DiscreteStatsTable[GroupByKey]=DiscreteStatsTable[[#This Row],[GroupByKey]])*DiscreteStatsTable[Average]))</f>
        <v>0</v>
      </c>
      <c r="T472" cm="1">
        <f t="array" ref="T472">MIN(IF((DiscreteStatsTable[GroupByKey]=DiscreteStatsTable[[#This Row],[GroupByKey]]),(DiscreteStatsTable[GroupByKey]=DiscreteStatsTable[[#This Row],[GroupByKey]])*DiscreteStatsTable[Minimum]))</f>
        <v>0</v>
      </c>
      <c r="U472" cm="1">
        <f t="array" ref="U472">MAX(IF((DiscreteStatsTable[GroupByKey]=DiscreteStatsTable[[#This Row],[GroupByKey]]),(DiscreteStatsTable[GroupByKey]=DiscreteStatsTable[[#This Row],[GroupByKey]])*DiscreteStatsTable[Maximum]))</f>
        <v>0</v>
      </c>
      <c r="V472" cm="1">
        <f t="array" ref="V472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72">
        <f>IF((DiscreteStatsTable[[#This Row],[RepsRequested]]&gt;1),DiscreteStatsTable[[#This Row],[HalfWidth]],DiscreteStatsTable[[#This Row],[BatchMeansHalfWidth]])</f>
        <v>0</v>
      </c>
      <c r="X472" cm="1">
        <f t="array" ref="X472">COUNT(IF((DiscreteStatsTable[GroupByKey]=DiscreteStatsTable[[#This Row],[GroupByKey]]),(DiscreteStatsTable[GroupByKey]=DiscreteStatsTable[[#This Row],[GroupByKey]])*DiscreteStatsTable[Replication]))</f>
        <v>30</v>
      </c>
      <c r="Y472">
        <f>IF(DiscreteStatsTable[[#This Row],[RepsRequested]]=DiscreteStatsTable[[#This Row],[RepsWithStatObserved]],1,0)</f>
        <v>1</v>
      </c>
    </row>
    <row r="473" spans="1:25" x14ac:dyDescent="0.2">
      <c r="A473" t="s">
        <v>67</v>
      </c>
      <c r="B473" t="s">
        <v>70</v>
      </c>
      <c r="C473">
        <v>22</v>
      </c>
      <c r="D473" t="s">
        <v>92</v>
      </c>
      <c r="E473" t="s">
        <v>72</v>
      </c>
      <c r="F473" t="s">
        <v>73</v>
      </c>
      <c r="G473">
        <v>0</v>
      </c>
      <c r="H473">
        <v>2E+20</v>
      </c>
      <c r="I473">
        <v>0</v>
      </c>
      <c r="J473">
        <v>0</v>
      </c>
      <c r="K473">
        <v>142</v>
      </c>
      <c r="L473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73" cm="1">
        <f t="array" ref="M473">MAX(IF((ProjectInfoTable[ProjectName]=DiscreteStatsTable[[#This Row],[ProjectName]]),(ProjectInfoTable[ProjectName]=DiscreteStatsTable[[#This Row],[ProjectName]])*ProjectInfoTable[NumberOfReplications]))</f>
        <v>30</v>
      </c>
      <c r="N473" cm="1">
        <f t="array" ref="N473">IFERROR(AVERAGE(IF((DiscreteStatsTable[GroupByKey]=DiscreteStatsTable[[#This Row],[GroupByKey]]),(DiscreteStatsTable[GroupByKey]=DiscreteStatsTable[[#This Row],[GroupByKey]])*DiscreteStatsTable[Average])),0)</f>
        <v>0</v>
      </c>
      <c r="O473" cm="1">
        <f t="array" ref="O473">IFERROR(_xlfn.STDEV.S(IF((DiscreteStatsTable[GroupByKey]=DiscreteStatsTable[[#This Row],[GroupByKey]]),(DiscreteStatsTable[GroupByKey]=DiscreteStatsTable[[#This Row],[GroupByKey]])*DiscreteStatsTable[Average])),0)</f>
        <v>0</v>
      </c>
      <c r="P473" cm="1">
        <f t="array" ref="P473">MAX(IF((ProjectInfoTable[ProjectName]=DiscreteStatsTable[[#This Row],[ProjectName]]),(ProjectInfoTable[ProjectName]=DiscreteStatsTable[[#This Row],[ProjectName]])*ProjectInfoTable[ConfidenceInterval]))</f>
        <v>0.95</v>
      </c>
      <c r="Q473">
        <f>IF(AND(DiscreteStatsTable[[#This Row],[RepsWithStatObserved]]=1,Y473=0),200000000000000000000,IFERROR(_xlfn.T.INV.2T(1 -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3" cm="1">
        <f t="array" ref="R473">MIN(IF((DiscreteStatsTable[GroupByKey]=DiscreteStatsTable[[#This Row],[GroupByKey]]),(DiscreteStatsTable[GroupByKey]=DiscreteStatsTable[[#This Row],[GroupByKey]])*DiscreteStatsTable[Average]))</f>
        <v>0</v>
      </c>
      <c r="S473" cm="1">
        <f t="array" ref="S473">MAX(IF((DiscreteStatsTable[GroupByKey]=DiscreteStatsTable[[#This Row],[GroupByKey]]),(DiscreteStatsTable[GroupByKey]=DiscreteStatsTable[[#This Row],[GroupByKey]])*DiscreteStatsTable[Average]))</f>
        <v>0</v>
      </c>
      <c r="T473" cm="1">
        <f t="array" ref="T473">MIN(IF((DiscreteStatsTable[GroupByKey]=DiscreteStatsTable[[#This Row],[GroupByKey]]),(DiscreteStatsTable[GroupByKey]=DiscreteStatsTable[[#This Row],[GroupByKey]])*DiscreteStatsTable[Minimum]))</f>
        <v>0</v>
      </c>
      <c r="U473" cm="1">
        <f t="array" ref="U473">MAX(IF((DiscreteStatsTable[GroupByKey]=DiscreteStatsTable[[#This Row],[GroupByKey]]),(DiscreteStatsTable[GroupByKey]=DiscreteStatsTable[[#This Row],[GroupByKey]])*DiscreteStatsTable[Maximum]))</f>
        <v>0</v>
      </c>
      <c r="V473" cm="1">
        <f t="array" ref="V473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73">
        <f>IF((DiscreteStatsTable[[#This Row],[RepsRequested]]&gt;1),DiscreteStatsTable[[#This Row],[HalfWidth]],DiscreteStatsTable[[#This Row],[BatchMeansHalfWidth]])</f>
        <v>0</v>
      </c>
      <c r="X473" cm="1">
        <f t="array" ref="X473">COUNT(IF((DiscreteStatsTable[GroupByKey]=DiscreteStatsTable[[#This Row],[GroupByKey]]),(DiscreteStatsTable[GroupByKey]=DiscreteStatsTable[[#This Row],[GroupByKey]])*DiscreteStatsTable[Replication]))</f>
        <v>30</v>
      </c>
      <c r="Y473">
        <f>IF(DiscreteStatsTable[[#This Row],[RepsRequested]]=DiscreteStatsTable[[#This Row],[RepsWithStatObserved]],1,0)</f>
        <v>1</v>
      </c>
    </row>
    <row r="474" spans="1:25" x14ac:dyDescent="0.2">
      <c r="A474" t="s">
        <v>67</v>
      </c>
      <c r="B474" t="s">
        <v>70</v>
      </c>
      <c r="C474">
        <v>23</v>
      </c>
      <c r="D474" t="s">
        <v>92</v>
      </c>
      <c r="E474" t="s">
        <v>72</v>
      </c>
      <c r="F474" t="s">
        <v>73</v>
      </c>
      <c r="G474">
        <v>0</v>
      </c>
      <c r="H474">
        <v>2E+20</v>
      </c>
      <c r="I474">
        <v>0</v>
      </c>
      <c r="J474">
        <v>0</v>
      </c>
      <c r="K474">
        <v>140</v>
      </c>
      <c r="L474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74" cm="1">
        <f t="array" ref="M474">MAX(IF((ProjectInfoTable[ProjectName]=DiscreteStatsTable[[#This Row],[ProjectName]]),(ProjectInfoTable[ProjectName]=DiscreteStatsTable[[#This Row],[ProjectName]])*ProjectInfoTable[NumberOfReplications]))</f>
        <v>30</v>
      </c>
      <c r="N474" cm="1">
        <f t="array" ref="N474">IFERROR(AVERAGE(IF((DiscreteStatsTable[GroupByKey]=DiscreteStatsTable[[#This Row],[GroupByKey]]),(DiscreteStatsTable[GroupByKey]=DiscreteStatsTable[[#This Row],[GroupByKey]])*DiscreteStatsTable[Average])),0)</f>
        <v>0</v>
      </c>
      <c r="O474" cm="1">
        <f t="array" ref="O474">IFERROR(_xlfn.STDEV.S(IF((DiscreteStatsTable[GroupByKey]=DiscreteStatsTable[[#This Row],[GroupByKey]]),(DiscreteStatsTable[GroupByKey]=DiscreteStatsTable[[#This Row],[GroupByKey]])*DiscreteStatsTable[Average])),0)</f>
        <v>0</v>
      </c>
      <c r="P474" cm="1">
        <f t="array" ref="P474">MAX(IF((ProjectInfoTable[ProjectName]=DiscreteStatsTable[[#This Row],[ProjectName]]),(ProjectInfoTable[ProjectName]=DiscreteStatsTable[[#This Row],[ProjectName]])*ProjectInfoTable[ConfidenceInterval]))</f>
        <v>0.95</v>
      </c>
      <c r="Q474">
        <f>IF(AND(DiscreteStatsTable[[#This Row],[RepsWithStatObserved]]=1,Y474=0),200000000000000000000,IFERROR(_xlfn.T.INV.2T(1 -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4" cm="1">
        <f t="array" ref="R474">MIN(IF((DiscreteStatsTable[GroupByKey]=DiscreteStatsTable[[#This Row],[GroupByKey]]),(DiscreteStatsTable[GroupByKey]=DiscreteStatsTable[[#This Row],[GroupByKey]])*DiscreteStatsTable[Average]))</f>
        <v>0</v>
      </c>
      <c r="S474" cm="1">
        <f t="array" ref="S474">MAX(IF((DiscreteStatsTable[GroupByKey]=DiscreteStatsTable[[#This Row],[GroupByKey]]),(DiscreteStatsTable[GroupByKey]=DiscreteStatsTable[[#This Row],[GroupByKey]])*DiscreteStatsTable[Average]))</f>
        <v>0</v>
      </c>
      <c r="T474" cm="1">
        <f t="array" ref="T474">MIN(IF((DiscreteStatsTable[GroupByKey]=DiscreteStatsTable[[#This Row],[GroupByKey]]),(DiscreteStatsTable[GroupByKey]=DiscreteStatsTable[[#This Row],[GroupByKey]])*DiscreteStatsTable[Minimum]))</f>
        <v>0</v>
      </c>
      <c r="U474" cm="1">
        <f t="array" ref="U474">MAX(IF((DiscreteStatsTable[GroupByKey]=DiscreteStatsTable[[#This Row],[GroupByKey]]),(DiscreteStatsTable[GroupByKey]=DiscreteStatsTable[[#This Row],[GroupByKey]])*DiscreteStatsTable[Maximum]))</f>
        <v>0</v>
      </c>
      <c r="V474" cm="1">
        <f t="array" ref="V474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74">
        <f>IF((DiscreteStatsTable[[#This Row],[RepsRequested]]&gt;1),DiscreteStatsTable[[#This Row],[HalfWidth]],DiscreteStatsTable[[#This Row],[BatchMeansHalfWidth]])</f>
        <v>0</v>
      </c>
      <c r="X474" cm="1">
        <f t="array" ref="X474">COUNT(IF((DiscreteStatsTable[GroupByKey]=DiscreteStatsTable[[#This Row],[GroupByKey]]),(DiscreteStatsTable[GroupByKey]=DiscreteStatsTable[[#This Row],[GroupByKey]])*DiscreteStatsTable[Replication]))</f>
        <v>30</v>
      </c>
      <c r="Y474">
        <f>IF(DiscreteStatsTable[[#This Row],[RepsRequested]]=DiscreteStatsTable[[#This Row],[RepsWithStatObserved]],1,0)</f>
        <v>1</v>
      </c>
    </row>
    <row r="475" spans="1:25" x14ac:dyDescent="0.2">
      <c r="A475" t="s">
        <v>67</v>
      </c>
      <c r="B475" t="s">
        <v>70</v>
      </c>
      <c r="C475">
        <v>24</v>
      </c>
      <c r="D475" t="s">
        <v>92</v>
      </c>
      <c r="E475" t="s">
        <v>72</v>
      </c>
      <c r="F475" t="s">
        <v>73</v>
      </c>
      <c r="G475">
        <v>0</v>
      </c>
      <c r="H475">
        <v>2E+20</v>
      </c>
      <c r="I475">
        <v>0</v>
      </c>
      <c r="J475">
        <v>0</v>
      </c>
      <c r="K475">
        <v>148</v>
      </c>
      <c r="L475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75" cm="1">
        <f t="array" ref="M475">MAX(IF((ProjectInfoTable[ProjectName]=DiscreteStatsTable[[#This Row],[ProjectName]]),(ProjectInfoTable[ProjectName]=DiscreteStatsTable[[#This Row],[ProjectName]])*ProjectInfoTable[NumberOfReplications]))</f>
        <v>30</v>
      </c>
      <c r="N475" cm="1">
        <f t="array" ref="N475">IFERROR(AVERAGE(IF((DiscreteStatsTable[GroupByKey]=DiscreteStatsTable[[#This Row],[GroupByKey]]),(DiscreteStatsTable[GroupByKey]=DiscreteStatsTable[[#This Row],[GroupByKey]])*DiscreteStatsTable[Average])),0)</f>
        <v>0</v>
      </c>
      <c r="O475" cm="1">
        <f t="array" ref="O475">IFERROR(_xlfn.STDEV.S(IF((DiscreteStatsTable[GroupByKey]=DiscreteStatsTable[[#This Row],[GroupByKey]]),(DiscreteStatsTable[GroupByKey]=DiscreteStatsTable[[#This Row],[GroupByKey]])*DiscreteStatsTable[Average])),0)</f>
        <v>0</v>
      </c>
      <c r="P475" cm="1">
        <f t="array" ref="P475">MAX(IF((ProjectInfoTable[ProjectName]=DiscreteStatsTable[[#This Row],[ProjectName]]),(ProjectInfoTable[ProjectName]=DiscreteStatsTable[[#This Row],[ProjectName]])*ProjectInfoTable[ConfidenceInterval]))</f>
        <v>0.95</v>
      </c>
      <c r="Q475">
        <f>IF(AND(DiscreteStatsTable[[#This Row],[RepsWithStatObserved]]=1,Y475=0),200000000000000000000,IFERROR(_xlfn.T.INV.2T(1 -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5" cm="1">
        <f t="array" ref="R475">MIN(IF((DiscreteStatsTable[GroupByKey]=DiscreteStatsTable[[#This Row],[GroupByKey]]),(DiscreteStatsTable[GroupByKey]=DiscreteStatsTable[[#This Row],[GroupByKey]])*DiscreteStatsTable[Average]))</f>
        <v>0</v>
      </c>
      <c r="S475" cm="1">
        <f t="array" ref="S475">MAX(IF((DiscreteStatsTable[GroupByKey]=DiscreteStatsTable[[#This Row],[GroupByKey]]),(DiscreteStatsTable[GroupByKey]=DiscreteStatsTable[[#This Row],[GroupByKey]])*DiscreteStatsTable[Average]))</f>
        <v>0</v>
      </c>
      <c r="T475" cm="1">
        <f t="array" ref="T475">MIN(IF((DiscreteStatsTable[GroupByKey]=DiscreteStatsTable[[#This Row],[GroupByKey]]),(DiscreteStatsTable[GroupByKey]=DiscreteStatsTable[[#This Row],[GroupByKey]])*DiscreteStatsTable[Minimum]))</f>
        <v>0</v>
      </c>
      <c r="U475" cm="1">
        <f t="array" ref="U475">MAX(IF((DiscreteStatsTable[GroupByKey]=DiscreteStatsTable[[#This Row],[GroupByKey]]),(DiscreteStatsTable[GroupByKey]=DiscreteStatsTable[[#This Row],[GroupByKey]])*DiscreteStatsTable[Maximum]))</f>
        <v>0</v>
      </c>
      <c r="V475" cm="1">
        <f t="array" ref="V475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75">
        <f>IF((DiscreteStatsTable[[#This Row],[RepsRequested]]&gt;1),DiscreteStatsTable[[#This Row],[HalfWidth]],DiscreteStatsTable[[#This Row],[BatchMeansHalfWidth]])</f>
        <v>0</v>
      </c>
      <c r="X475" cm="1">
        <f t="array" ref="X475">COUNT(IF((DiscreteStatsTable[GroupByKey]=DiscreteStatsTable[[#This Row],[GroupByKey]]),(DiscreteStatsTable[GroupByKey]=DiscreteStatsTable[[#This Row],[GroupByKey]])*DiscreteStatsTable[Replication]))</f>
        <v>30</v>
      </c>
      <c r="Y475">
        <f>IF(DiscreteStatsTable[[#This Row],[RepsRequested]]=DiscreteStatsTable[[#This Row],[RepsWithStatObserved]],1,0)</f>
        <v>1</v>
      </c>
    </row>
    <row r="476" spans="1:25" x14ac:dyDescent="0.2">
      <c r="A476" t="s">
        <v>67</v>
      </c>
      <c r="B476" t="s">
        <v>70</v>
      </c>
      <c r="C476">
        <v>25</v>
      </c>
      <c r="D476" t="s">
        <v>92</v>
      </c>
      <c r="E476" t="s">
        <v>72</v>
      </c>
      <c r="F476" t="s">
        <v>73</v>
      </c>
      <c r="G476">
        <v>0</v>
      </c>
      <c r="H476">
        <v>2E+20</v>
      </c>
      <c r="I476">
        <v>0</v>
      </c>
      <c r="J476">
        <v>0</v>
      </c>
      <c r="K476">
        <v>150</v>
      </c>
      <c r="L476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76" cm="1">
        <f t="array" ref="M476">MAX(IF((ProjectInfoTable[ProjectName]=DiscreteStatsTable[[#This Row],[ProjectName]]),(ProjectInfoTable[ProjectName]=DiscreteStatsTable[[#This Row],[ProjectName]])*ProjectInfoTable[NumberOfReplications]))</f>
        <v>30</v>
      </c>
      <c r="N476" cm="1">
        <f t="array" ref="N476">IFERROR(AVERAGE(IF((DiscreteStatsTable[GroupByKey]=DiscreteStatsTable[[#This Row],[GroupByKey]]),(DiscreteStatsTable[GroupByKey]=DiscreteStatsTable[[#This Row],[GroupByKey]])*DiscreteStatsTable[Average])),0)</f>
        <v>0</v>
      </c>
      <c r="O476" cm="1">
        <f t="array" ref="O476">IFERROR(_xlfn.STDEV.S(IF((DiscreteStatsTable[GroupByKey]=DiscreteStatsTable[[#This Row],[GroupByKey]]),(DiscreteStatsTable[GroupByKey]=DiscreteStatsTable[[#This Row],[GroupByKey]])*DiscreteStatsTable[Average])),0)</f>
        <v>0</v>
      </c>
      <c r="P476" cm="1">
        <f t="array" ref="P476">MAX(IF((ProjectInfoTable[ProjectName]=DiscreteStatsTable[[#This Row],[ProjectName]]),(ProjectInfoTable[ProjectName]=DiscreteStatsTable[[#This Row],[ProjectName]])*ProjectInfoTable[ConfidenceInterval]))</f>
        <v>0.95</v>
      </c>
      <c r="Q476">
        <f>IF(AND(DiscreteStatsTable[[#This Row],[RepsWithStatObserved]]=1,Y476=0),200000000000000000000,IFERROR(_xlfn.T.INV.2T(1 -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6" cm="1">
        <f t="array" ref="R476">MIN(IF((DiscreteStatsTable[GroupByKey]=DiscreteStatsTable[[#This Row],[GroupByKey]]),(DiscreteStatsTable[GroupByKey]=DiscreteStatsTable[[#This Row],[GroupByKey]])*DiscreteStatsTable[Average]))</f>
        <v>0</v>
      </c>
      <c r="S476" cm="1">
        <f t="array" ref="S476">MAX(IF((DiscreteStatsTable[GroupByKey]=DiscreteStatsTable[[#This Row],[GroupByKey]]),(DiscreteStatsTable[GroupByKey]=DiscreteStatsTable[[#This Row],[GroupByKey]])*DiscreteStatsTable[Average]))</f>
        <v>0</v>
      </c>
      <c r="T476" cm="1">
        <f t="array" ref="T476">MIN(IF((DiscreteStatsTable[GroupByKey]=DiscreteStatsTable[[#This Row],[GroupByKey]]),(DiscreteStatsTable[GroupByKey]=DiscreteStatsTable[[#This Row],[GroupByKey]])*DiscreteStatsTable[Minimum]))</f>
        <v>0</v>
      </c>
      <c r="U476" cm="1">
        <f t="array" ref="U476">MAX(IF((DiscreteStatsTable[GroupByKey]=DiscreteStatsTable[[#This Row],[GroupByKey]]),(DiscreteStatsTable[GroupByKey]=DiscreteStatsTable[[#This Row],[GroupByKey]])*DiscreteStatsTable[Maximum]))</f>
        <v>0</v>
      </c>
      <c r="V476" cm="1">
        <f t="array" ref="V476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76">
        <f>IF((DiscreteStatsTable[[#This Row],[RepsRequested]]&gt;1),DiscreteStatsTable[[#This Row],[HalfWidth]],DiscreteStatsTable[[#This Row],[BatchMeansHalfWidth]])</f>
        <v>0</v>
      </c>
      <c r="X476" cm="1">
        <f t="array" ref="X476">COUNT(IF((DiscreteStatsTable[GroupByKey]=DiscreteStatsTable[[#This Row],[GroupByKey]]),(DiscreteStatsTable[GroupByKey]=DiscreteStatsTable[[#This Row],[GroupByKey]])*DiscreteStatsTable[Replication]))</f>
        <v>30</v>
      </c>
      <c r="Y476">
        <f>IF(DiscreteStatsTable[[#This Row],[RepsRequested]]=DiscreteStatsTable[[#This Row],[RepsWithStatObserved]],1,0)</f>
        <v>1</v>
      </c>
    </row>
    <row r="477" spans="1:25" x14ac:dyDescent="0.2">
      <c r="A477" t="s">
        <v>67</v>
      </c>
      <c r="B477" t="s">
        <v>70</v>
      </c>
      <c r="C477">
        <v>26</v>
      </c>
      <c r="D477" t="s">
        <v>92</v>
      </c>
      <c r="E477" t="s">
        <v>72</v>
      </c>
      <c r="F477" t="s">
        <v>73</v>
      </c>
      <c r="G477">
        <v>0</v>
      </c>
      <c r="H477">
        <v>2E+20</v>
      </c>
      <c r="I477">
        <v>0</v>
      </c>
      <c r="J477">
        <v>0</v>
      </c>
      <c r="K477">
        <v>137</v>
      </c>
      <c r="L477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77" cm="1">
        <f t="array" ref="M477">MAX(IF((ProjectInfoTable[ProjectName]=DiscreteStatsTable[[#This Row],[ProjectName]]),(ProjectInfoTable[ProjectName]=DiscreteStatsTable[[#This Row],[ProjectName]])*ProjectInfoTable[NumberOfReplications]))</f>
        <v>30</v>
      </c>
      <c r="N477" cm="1">
        <f t="array" ref="N477">IFERROR(AVERAGE(IF((DiscreteStatsTable[GroupByKey]=DiscreteStatsTable[[#This Row],[GroupByKey]]),(DiscreteStatsTable[GroupByKey]=DiscreteStatsTable[[#This Row],[GroupByKey]])*DiscreteStatsTable[Average])),0)</f>
        <v>0</v>
      </c>
      <c r="O477" cm="1">
        <f t="array" ref="O477">IFERROR(_xlfn.STDEV.S(IF((DiscreteStatsTable[GroupByKey]=DiscreteStatsTable[[#This Row],[GroupByKey]]),(DiscreteStatsTable[GroupByKey]=DiscreteStatsTable[[#This Row],[GroupByKey]])*DiscreteStatsTable[Average])),0)</f>
        <v>0</v>
      </c>
      <c r="P477" cm="1">
        <f t="array" ref="P477">MAX(IF((ProjectInfoTable[ProjectName]=DiscreteStatsTable[[#This Row],[ProjectName]]),(ProjectInfoTable[ProjectName]=DiscreteStatsTable[[#This Row],[ProjectName]])*ProjectInfoTable[ConfidenceInterval]))</f>
        <v>0.95</v>
      </c>
      <c r="Q477">
        <f>IF(AND(DiscreteStatsTable[[#This Row],[RepsWithStatObserved]]=1,Y477=0),200000000000000000000,IFERROR(_xlfn.T.INV.2T(1 -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7" cm="1">
        <f t="array" ref="R477">MIN(IF((DiscreteStatsTable[GroupByKey]=DiscreteStatsTable[[#This Row],[GroupByKey]]),(DiscreteStatsTable[GroupByKey]=DiscreteStatsTable[[#This Row],[GroupByKey]])*DiscreteStatsTable[Average]))</f>
        <v>0</v>
      </c>
      <c r="S477" cm="1">
        <f t="array" ref="S477">MAX(IF((DiscreteStatsTable[GroupByKey]=DiscreteStatsTable[[#This Row],[GroupByKey]]),(DiscreteStatsTable[GroupByKey]=DiscreteStatsTable[[#This Row],[GroupByKey]])*DiscreteStatsTable[Average]))</f>
        <v>0</v>
      </c>
      <c r="T477" cm="1">
        <f t="array" ref="T477">MIN(IF((DiscreteStatsTable[GroupByKey]=DiscreteStatsTable[[#This Row],[GroupByKey]]),(DiscreteStatsTable[GroupByKey]=DiscreteStatsTable[[#This Row],[GroupByKey]])*DiscreteStatsTable[Minimum]))</f>
        <v>0</v>
      </c>
      <c r="U477" cm="1">
        <f t="array" ref="U477">MAX(IF((DiscreteStatsTable[GroupByKey]=DiscreteStatsTable[[#This Row],[GroupByKey]]),(DiscreteStatsTable[GroupByKey]=DiscreteStatsTable[[#This Row],[GroupByKey]])*DiscreteStatsTable[Maximum]))</f>
        <v>0</v>
      </c>
      <c r="V477" cm="1">
        <f t="array" ref="V477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77">
        <f>IF((DiscreteStatsTable[[#This Row],[RepsRequested]]&gt;1),DiscreteStatsTable[[#This Row],[HalfWidth]],DiscreteStatsTable[[#This Row],[BatchMeansHalfWidth]])</f>
        <v>0</v>
      </c>
      <c r="X477" cm="1">
        <f t="array" ref="X477">COUNT(IF((DiscreteStatsTable[GroupByKey]=DiscreteStatsTable[[#This Row],[GroupByKey]]),(DiscreteStatsTable[GroupByKey]=DiscreteStatsTable[[#This Row],[GroupByKey]])*DiscreteStatsTable[Replication]))</f>
        <v>30</v>
      </c>
      <c r="Y477">
        <f>IF(DiscreteStatsTable[[#This Row],[RepsRequested]]=DiscreteStatsTable[[#This Row],[RepsWithStatObserved]],1,0)</f>
        <v>1</v>
      </c>
    </row>
    <row r="478" spans="1:25" x14ac:dyDescent="0.2">
      <c r="A478" t="s">
        <v>67</v>
      </c>
      <c r="B478" t="s">
        <v>70</v>
      </c>
      <c r="C478">
        <v>27</v>
      </c>
      <c r="D478" t="s">
        <v>92</v>
      </c>
      <c r="E478" t="s">
        <v>72</v>
      </c>
      <c r="F478" t="s">
        <v>73</v>
      </c>
      <c r="G478">
        <v>0</v>
      </c>
      <c r="H478">
        <v>2E+20</v>
      </c>
      <c r="I478">
        <v>0</v>
      </c>
      <c r="J478">
        <v>0</v>
      </c>
      <c r="K478">
        <v>136</v>
      </c>
      <c r="L478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78" cm="1">
        <f t="array" ref="M478">MAX(IF((ProjectInfoTable[ProjectName]=DiscreteStatsTable[[#This Row],[ProjectName]]),(ProjectInfoTable[ProjectName]=DiscreteStatsTable[[#This Row],[ProjectName]])*ProjectInfoTable[NumberOfReplications]))</f>
        <v>30</v>
      </c>
      <c r="N478" cm="1">
        <f t="array" ref="N478">IFERROR(AVERAGE(IF((DiscreteStatsTable[GroupByKey]=DiscreteStatsTable[[#This Row],[GroupByKey]]),(DiscreteStatsTable[GroupByKey]=DiscreteStatsTable[[#This Row],[GroupByKey]])*DiscreteStatsTable[Average])),0)</f>
        <v>0</v>
      </c>
      <c r="O478" cm="1">
        <f t="array" ref="O478">IFERROR(_xlfn.STDEV.S(IF((DiscreteStatsTable[GroupByKey]=DiscreteStatsTable[[#This Row],[GroupByKey]]),(DiscreteStatsTable[GroupByKey]=DiscreteStatsTable[[#This Row],[GroupByKey]])*DiscreteStatsTable[Average])),0)</f>
        <v>0</v>
      </c>
      <c r="P478" cm="1">
        <f t="array" ref="P478">MAX(IF((ProjectInfoTable[ProjectName]=DiscreteStatsTable[[#This Row],[ProjectName]]),(ProjectInfoTable[ProjectName]=DiscreteStatsTable[[#This Row],[ProjectName]])*ProjectInfoTable[ConfidenceInterval]))</f>
        <v>0.95</v>
      </c>
      <c r="Q478">
        <f>IF(AND(DiscreteStatsTable[[#This Row],[RepsWithStatObserved]]=1,Y478=0),200000000000000000000,IFERROR(_xlfn.T.INV.2T(1 -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8" cm="1">
        <f t="array" ref="R478">MIN(IF((DiscreteStatsTable[GroupByKey]=DiscreteStatsTable[[#This Row],[GroupByKey]]),(DiscreteStatsTable[GroupByKey]=DiscreteStatsTable[[#This Row],[GroupByKey]])*DiscreteStatsTable[Average]))</f>
        <v>0</v>
      </c>
      <c r="S478" cm="1">
        <f t="array" ref="S478">MAX(IF((DiscreteStatsTable[GroupByKey]=DiscreteStatsTable[[#This Row],[GroupByKey]]),(DiscreteStatsTable[GroupByKey]=DiscreteStatsTable[[#This Row],[GroupByKey]])*DiscreteStatsTable[Average]))</f>
        <v>0</v>
      </c>
      <c r="T478" cm="1">
        <f t="array" ref="T478">MIN(IF((DiscreteStatsTable[GroupByKey]=DiscreteStatsTable[[#This Row],[GroupByKey]]),(DiscreteStatsTable[GroupByKey]=DiscreteStatsTable[[#This Row],[GroupByKey]])*DiscreteStatsTable[Minimum]))</f>
        <v>0</v>
      </c>
      <c r="U478" cm="1">
        <f t="array" ref="U478">MAX(IF((DiscreteStatsTable[GroupByKey]=DiscreteStatsTable[[#This Row],[GroupByKey]]),(DiscreteStatsTable[GroupByKey]=DiscreteStatsTable[[#This Row],[GroupByKey]])*DiscreteStatsTable[Maximum]))</f>
        <v>0</v>
      </c>
      <c r="V478" cm="1">
        <f t="array" ref="V478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78">
        <f>IF((DiscreteStatsTable[[#This Row],[RepsRequested]]&gt;1),DiscreteStatsTable[[#This Row],[HalfWidth]],DiscreteStatsTable[[#This Row],[BatchMeansHalfWidth]])</f>
        <v>0</v>
      </c>
      <c r="X478" cm="1">
        <f t="array" ref="X478">COUNT(IF((DiscreteStatsTable[GroupByKey]=DiscreteStatsTable[[#This Row],[GroupByKey]]),(DiscreteStatsTable[GroupByKey]=DiscreteStatsTable[[#This Row],[GroupByKey]])*DiscreteStatsTable[Replication]))</f>
        <v>30</v>
      </c>
      <c r="Y478">
        <f>IF(DiscreteStatsTable[[#This Row],[RepsRequested]]=DiscreteStatsTable[[#This Row],[RepsWithStatObserved]],1,0)</f>
        <v>1</v>
      </c>
    </row>
    <row r="479" spans="1:25" x14ac:dyDescent="0.2">
      <c r="A479" t="s">
        <v>67</v>
      </c>
      <c r="B479" t="s">
        <v>70</v>
      </c>
      <c r="C479">
        <v>28</v>
      </c>
      <c r="D479" t="s">
        <v>92</v>
      </c>
      <c r="E479" t="s">
        <v>72</v>
      </c>
      <c r="F479" t="s">
        <v>73</v>
      </c>
      <c r="G479">
        <v>0</v>
      </c>
      <c r="H479">
        <v>2E+20</v>
      </c>
      <c r="I479">
        <v>0</v>
      </c>
      <c r="J479">
        <v>0</v>
      </c>
      <c r="K479">
        <v>133</v>
      </c>
      <c r="L479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79" cm="1">
        <f t="array" ref="M479">MAX(IF((ProjectInfoTable[ProjectName]=DiscreteStatsTable[[#This Row],[ProjectName]]),(ProjectInfoTable[ProjectName]=DiscreteStatsTable[[#This Row],[ProjectName]])*ProjectInfoTable[NumberOfReplications]))</f>
        <v>30</v>
      </c>
      <c r="N479" cm="1">
        <f t="array" ref="N479">IFERROR(AVERAGE(IF((DiscreteStatsTable[GroupByKey]=DiscreteStatsTable[[#This Row],[GroupByKey]]),(DiscreteStatsTable[GroupByKey]=DiscreteStatsTable[[#This Row],[GroupByKey]])*DiscreteStatsTable[Average])),0)</f>
        <v>0</v>
      </c>
      <c r="O479" cm="1">
        <f t="array" ref="O479">IFERROR(_xlfn.STDEV.S(IF((DiscreteStatsTable[GroupByKey]=DiscreteStatsTable[[#This Row],[GroupByKey]]),(DiscreteStatsTable[GroupByKey]=DiscreteStatsTable[[#This Row],[GroupByKey]])*DiscreteStatsTable[Average])),0)</f>
        <v>0</v>
      </c>
      <c r="P479" cm="1">
        <f t="array" ref="P479">MAX(IF((ProjectInfoTable[ProjectName]=DiscreteStatsTable[[#This Row],[ProjectName]]),(ProjectInfoTable[ProjectName]=DiscreteStatsTable[[#This Row],[ProjectName]])*ProjectInfoTable[ConfidenceInterval]))</f>
        <v>0.95</v>
      </c>
      <c r="Q479">
        <f>IF(AND(DiscreteStatsTable[[#This Row],[RepsWithStatObserved]]=1,Y479=0),200000000000000000000,IFERROR(_xlfn.T.INV.2T(1 -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9" cm="1">
        <f t="array" ref="R479">MIN(IF((DiscreteStatsTable[GroupByKey]=DiscreteStatsTable[[#This Row],[GroupByKey]]),(DiscreteStatsTable[GroupByKey]=DiscreteStatsTable[[#This Row],[GroupByKey]])*DiscreteStatsTable[Average]))</f>
        <v>0</v>
      </c>
      <c r="S479" cm="1">
        <f t="array" ref="S479">MAX(IF((DiscreteStatsTable[GroupByKey]=DiscreteStatsTable[[#This Row],[GroupByKey]]),(DiscreteStatsTable[GroupByKey]=DiscreteStatsTable[[#This Row],[GroupByKey]])*DiscreteStatsTable[Average]))</f>
        <v>0</v>
      </c>
      <c r="T479" cm="1">
        <f t="array" ref="T479">MIN(IF((DiscreteStatsTable[GroupByKey]=DiscreteStatsTable[[#This Row],[GroupByKey]]),(DiscreteStatsTable[GroupByKey]=DiscreteStatsTable[[#This Row],[GroupByKey]])*DiscreteStatsTable[Minimum]))</f>
        <v>0</v>
      </c>
      <c r="U479" cm="1">
        <f t="array" ref="U479">MAX(IF((DiscreteStatsTable[GroupByKey]=DiscreteStatsTable[[#This Row],[GroupByKey]]),(DiscreteStatsTable[GroupByKey]=DiscreteStatsTable[[#This Row],[GroupByKey]])*DiscreteStatsTable[Maximum]))</f>
        <v>0</v>
      </c>
      <c r="V479" cm="1">
        <f t="array" ref="V479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79">
        <f>IF((DiscreteStatsTable[[#This Row],[RepsRequested]]&gt;1),DiscreteStatsTable[[#This Row],[HalfWidth]],DiscreteStatsTable[[#This Row],[BatchMeansHalfWidth]])</f>
        <v>0</v>
      </c>
      <c r="X479" cm="1">
        <f t="array" ref="X479">COUNT(IF((DiscreteStatsTable[GroupByKey]=DiscreteStatsTable[[#This Row],[GroupByKey]]),(DiscreteStatsTable[GroupByKey]=DiscreteStatsTable[[#This Row],[GroupByKey]])*DiscreteStatsTable[Replication]))</f>
        <v>30</v>
      </c>
      <c r="Y479">
        <f>IF(DiscreteStatsTable[[#This Row],[RepsRequested]]=DiscreteStatsTable[[#This Row],[RepsWithStatObserved]],1,0)</f>
        <v>1</v>
      </c>
    </row>
    <row r="480" spans="1:25" x14ac:dyDescent="0.2">
      <c r="A480" t="s">
        <v>67</v>
      </c>
      <c r="B480" t="s">
        <v>70</v>
      </c>
      <c r="C480">
        <v>29</v>
      </c>
      <c r="D480" t="s">
        <v>92</v>
      </c>
      <c r="E480" t="s">
        <v>72</v>
      </c>
      <c r="F480" t="s">
        <v>73</v>
      </c>
      <c r="G480">
        <v>0</v>
      </c>
      <c r="H480">
        <v>2E+20</v>
      </c>
      <c r="I480">
        <v>0</v>
      </c>
      <c r="J480">
        <v>0</v>
      </c>
      <c r="K480">
        <v>151</v>
      </c>
      <c r="L480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80" cm="1">
        <f t="array" ref="M480">MAX(IF((ProjectInfoTable[ProjectName]=DiscreteStatsTable[[#This Row],[ProjectName]]),(ProjectInfoTable[ProjectName]=DiscreteStatsTable[[#This Row],[ProjectName]])*ProjectInfoTable[NumberOfReplications]))</f>
        <v>30</v>
      </c>
      <c r="N480" cm="1">
        <f t="array" ref="N480">IFERROR(AVERAGE(IF((DiscreteStatsTable[GroupByKey]=DiscreteStatsTable[[#This Row],[GroupByKey]]),(DiscreteStatsTable[GroupByKey]=DiscreteStatsTable[[#This Row],[GroupByKey]])*DiscreteStatsTable[Average])),0)</f>
        <v>0</v>
      </c>
      <c r="O480" cm="1">
        <f t="array" ref="O480">IFERROR(_xlfn.STDEV.S(IF((DiscreteStatsTable[GroupByKey]=DiscreteStatsTable[[#This Row],[GroupByKey]]),(DiscreteStatsTable[GroupByKey]=DiscreteStatsTable[[#This Row],[GroupByKey]])*DiscreteStatsTable[Average])),0)</f>
        <v>0</v>
      </c>
      <c r="P480" cm="1">
        <f t="array" ref="P480">MAX(IF((ProjectInfoTable[ProjectName]=DiscreteStatsTable[[#This Row],[ProjectName]]),(ProjectInfoTable[ProjectName]=DiscreteStatsTable[[#This Row],[ProjectName]])*ProjectInfoTable[ConfidenceInterval]))</f>
        <v>0.95</v>
      </c>
      <c r="Q480">
        <f>IF(AND(DiscreteStatsTable[[#This Row],[RepsWithStatObserved]]=1,Y480=0),200000000000000000000,IFERROR(_xlfn.T.INV.2T(1 -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0" cm="1">
        <f t="array" ref="R480">MIN(IF((DiscreteStatsTable[GroupByKey]=DiscreteStatsTable[[#This Row],[GroupByKey]]),(DiscreteStatsTable[GroupByKey]=DiscreteStatsTable[[#This Row],[GroupByKey]])*DiscreteStatsTable[Average]))</f>
        <v>0</v>
      </c>
      <c r="S480" cm="1">
        <f t="array" ref="S480">MAX(IF((DiscreteStatsTable[GroupByKey]=DiscreteStatsTable[[#This Row],[GroupByKey]]),(DiscreteStatsTable[GroupByKey]=DiscreteStatsTable[[#This Row],[GroupByKey]])*DiscreteStatsTable[Average]))</f>
        <v>0</v>
      </c>
      <c r="T480" cm="1">
        <f t="array" ref="T480">MIN(IF((DiscreteStatsTable[GroupByKey]=DiscreteStatsTable[[#This Row],[GroupByKey]]),(DiscreteStatsTable[GroupByKey]=DiscreteStatsTable[[#This Row],[GroupByKey]])*DiscreteStatsTable[Minimum]))</f>
        <v>0</v>
      </c>
      <c r="U480" cm="1">
        <f t="array" ref="U480">MAX(IF((DiscreteStatsTable[GroupByKey]=DiscreteStatsTable[[#This Row],[GroupByKey]]),(DiscreteStatsTable[GroupByKey]=DiscreteStatsTable[[#This Row],[GroupByKey]])*DiscreteStatsTable[Maximum]))</f>
        <v>0</v>
      </c>
      <c r="V480" cm="1">
        <f t="array" ref="V480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80">
        <f>IF((DiscreteStatsTable[[#This Row],[RepsRequested]]&gt;1),DiscreteStatsTable[[#This Row],[HalfWidth]],DiscreteStatsTable[[#This Row],[BatchMeansHalfWidth]])</f>
        <v>0</v>
      </c>
      <c r="X480" cm="1">
        <f t="array" ref="X480">COUNT(IF((DiscreteStatsTable[GroupByKey]=DiscreteStatsTable[[#This Row],[GroupByKey]]),(DiscreteStatsTable[GroupByKey]=DiscreteStatsTable[[#This Row],[GroupByKey]])*DiscreteStatsTable[Replication]))</f>
        <v>30</v>
      </c>
      <c r="Y480">
        <f>IF(DiscreteStatsTable[[#This Row],[RepsRequested]]=DiscreteStatsTable[[#This Row],[RepsWithStatObserved]],1,0)</f>
        <v>1</v>
      </c>
    </row>
    <row r="481" spans="1:25" x14ac:dyDescent="0.2">
      <c r="A481" t="s">
        <v>67</v>
      </c>
      <c r="B481" t="s">
        <v>70</v>
      </c>
      <c r="C481">
        <v>30</v>
      </c>
      <c r="D481" t="s">
        <v>92</v>
      </c>
      <c r="E481" t="s">
        <v>72</v>
      </c>
      <c r="F481" t="s">
        <v>73</v>
      </c>
      <c r="G481">
        <v>0</v>
      </c>
      <c r="H481">
        <v>2E+20</v>
      </c>
      <c r="I481">
        <v>0</v>
      </c>
      <c r="J481">
        <v>0</v>
      </c>
      <c r="K481">
        <v>135</v>
      </c>
      <c r="L481" t="str">
        <f>DiscreteStatsTable[[#This Row],[ProjectName]]&amp;DiscreteStatsTable[[#This Row],[Name]]&amp;DiscreteStatsTable[[#This Row],[Type]]&amp;DiscreteStatsTable[[#This Row],[Source]]</f>
        <v>Unnamed ProjectTaking_Order.QueueWaiting TimeQueue</v>
      </c>
      <c r="M481" cm="1">
        <f t="array" ref="M481">MAX(IF((ProjectInfoTable[ProjectName]=DiscreteStatsTable[[#This Row],[ProjectName]]),(ProjectInfoTable[ProjectName]=DiscreteStatsTable[[#This Row],[ProjectName]])*ProjectInfoTable[NumberOfReplications]))</f>
        <v>30</v>
      </c>
      <c r="N481" cm="1">
        <f t="array" ref="N481">IFERROR(AVERAGE(IF((DiscreteStatsTable[GroupByKey]=DiscreteStatsTable[[#This Row],[GroupByKey]]),(DiscreteStatsTable[GroupByKey]=DiscreteStatsTable[[#This Row],[GroupByKey]])*DiscreteStatsTable[Average])),0)</f>
        <v>0</v>
      </c>
      <c r="O481" cm="1">
        <f t="array" ref="O481">IFERROR(_xlfn.STDEV.S(IF((DiscreteStatsTable[GroupByKey]=DiscreteStatsTable[[#This Row],[GroupByKey]]),(DiscreteStatsTable[GroupByKey]=DiscreteStatsTable[[#This Row],[GroupByKey]])*DiscreteStatsTable[Average])),0)</f>
        <v>0</v>
      </c>
      <c r="P481" cm="1">
        <f t="array" ref="P481">MAX(IF((ProjectInfoTable[ProjectName]=DiscreteStatsTable[[#This Row],[ProjectName]]),(ProjectInfoTable[ProjectName]=DiscreteStatsTable[[#This Row],[ProjectName]])*ProjectInfoTable[ConfidenceInterval]))</f>
        <v>0.95</v>
      </c>
      <c r="Q481">
        <f>IF(AND(DiscreteStatsTable[[#This Row],[RepsWithStatObserved]]=1,Y481=0),200000000000000000000,IFERROR(_xlfn.T.INV.2T(1 -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81" cm="1">
        <f t="array" ref="R481">MIN(IF((DiscreteStatsTable[GroupByKey]=DiscreteStatsTable[[#This Row],[GroupByKey]]),(DiscreteStatsTable[GroupByKey]=DiscreteStatsTable[[#This Row],[GroupByKey]])*DiscreteStatsTable[Average]))</f>
        <v>0</v>
      </c>
      <c r="S481" cm="1">
        <f t="array" ref="S481">MAX(IF((DiscreteStatsTable[GroupByKey]=DiscreteStatsTable[[#This Row],[GroupByKey]]),(DiscreteStatsTable[GroupByKey]=DiscreteStatsTable[[#This Row],[GroupByKey]])*DiscreteStatsTable[Average]))</f>
        <v>0</v>
      </c>
      <c r="T481" cm="1">
        <f t="array" ref="T481">MIN(IF((DiscreteStatsTable[GroupByKey]=DiscreteStatsTable[[#This Row],[GroupByKey]]),(DiscreteStatsTable[GroupByKey]=DiscreteStatsTable[[#This Row],[GroupByKey]])*DiscreteStatsTable[Minimum]))</f>
        <v>0</v>
      </c>
      <c r="U481" cm="1">
        <f t="array" ref="U481">MAX(IF((DiscreteStatsTable[GroupByKey]=DiscreteStatsTable[[#This Row],[GroupByKey]]),(DiscreteStatsTable[GroupByKey]=DiscreteStatsTable[[#This Row],[GroupByKey]])*DiscreteStatsTable[Maximum]))</f>
        <v>0</v>
      </c>
      <c r="V481" cm="1">
        <f t="array" ref="V481">IFERROR(AVERAGE(IF((DiscreteStatsTable[GroupByKey]=DiscreteStatsTable[[#This Row],[GroupByKey]]),(DiscreteStatsTable[GroupByKey]=DiscreteStatsTable[[#This Row],[GroupByKey]])*DiscreteStatsTable[NumberObservations])),0)</f>
        <v>142.66666666666666</v>
      </c>
      <c r="W481">
        <f>IF((DiscreteStatsTable[[#This Row],[RepsRequested]]&gt;1),DiscreteStatsTable[[#This Row],[HalfWidth]],DiscreteStatsTable[[#This Row],[BatchMeansHalfWidth]])</f>
        <v>0</v>
      </c>
      <c r="X481" cm="1">
        <f t="array" ref="X481">COUNT(IF((DiscreteStatsTable[GroupByKey]=DiscreteStatsTable[[#This Row],[GroupByKey]]),(DiscreteStatsTable[GroupByKey]=DiscreteStatsTable[[#This Row],[GroupByKey]])*DiscreteStatsTable[Replication]))</f>
        <v>30</v>
      </c>
      <c r="Y481">
        <f>IF(DiscreteStatsTable[[#This Row],[RepsRequested]]=DiscreteStatsTable[[#This Row],[RepsWithStatObserved]],1,0)</f>
        <v>1</v>
      </c>
    </row>
  </sheetData>
  <phoneticPr fontId="2" type="noConversion"/>
  <conditionalFormatting sqref="H2:H481 Q2:Q481">
    <cfRule type="expression" dxfId="54" priority="23">
      <formula>H2=200000000000000000000</formula>
    </cfRule>
  </conditionalFormatting>
  <conditionalFormatting sqref="H2:H481">
    <cfRule type="expression" dxfId="53" priority="21">
      <formula>H2=300000000000000000000</formula>
    </cfRule>
  </conditionalFormatting>
  <conditionalFormatting sqref="L2:Y481">
    <cfRule type="expression" dxfId="52" priority="19">
      <formula>MOD(ROW(),2)=0</formula>
    </cfRule>
  </conditionalFormatting>
  <conditionalFormatting sqref="Y2:Y481">
    <cfRule type="expression" dxfId="51" priority="14">
      <formula>Y2=0</formula>
    </cfRule>
    <cfRule type="expression" dxfId="50" priority="16">
      <formula>Y2=1</formula>
    </cfRule>
  </conditionalFormatting>
  <conditionalFormatting sqref="Y3:Y481">
    <cfRule type="expression" dxfId="49" priority="15">
      <formula>Y3=1</formula>
    </cfRule>
  </conditionalFormatting>
  <conditionalFormatting sqref="W2:W481">
    <cfRule type="expression" dxfId="48" priority="6">
      <formula>W2=300000000000000000000</formula>
    </cfRule>
    <cfRule type="expression" dxfId="47" priority="7">
      <formula>W2=200000000000000000000</formula>
    </cfRule>
  </conditionalFormatting>
  <conditionalFormatting sqref="Q2:Q481 W2:W481">
    <cfRule type="expression" dxfId="46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721"/>
  <sheetViews>
    <sheetView workbookViewId="0">
      <selection activeCell="A2" sqref="A2:L11"/>
    </sheetView>
  </sheetViews>
  <sheetFormatPr baseColWidth="10" defaultColWidth="8.83203125" defaultRowHeight="15" x14ac:dyDescent="0.2"/>
  <cols>
    <col min="1" max="1" width="15.1640625" bestFit="1" customWidth="1"/>
    <col min="2" max="2" width="21.1640625" bestFit="1" customWidth="1"/>
    <col min="3" max="3" width="12.5" bestFit="1" customWidth="1"/>
    <col min="4" max="4" width="26.83203125" bestFit="1" customWidth="1"/>
    <col min="5" max="5" width="21.6640625" bestFit="1" customWidth="1"/>
    <col min="6" max="6" width="9" bestFit="1" customWidth="1"/>
    <col min="7" max="7" width="12" bestFit="1" customWidth="1"/>
    <col min="8" max="8" width="22.33203125" bestFit="1" customWidth="1"/>
    <col min="9" max="9" width="11.5" bestFit="1" customWidth="1"/>
    <col min="10" max="10" width="12" bestFit="1" customWidth="1"/>
    <col min="11" max="11" width="19.5" bestFit="1" customWidth="1"/>
    <col min="12" max="12" width="11.33203125" bestFit="1" customWidth="1"/>
    <col min="13" max="13" width="60.5" bestFit="1" customWidth="1"/>
    <col min="14" max="14" width="16.1640625" bestFit="1" customWidth="1"/>
    <col min="15" max="15" width="19.1640625" bestFit="1" customWidth="1"/>
    <col min="16" max="16" width="17.1640625" bestFit="1" customWidth="1"/>
    <col min="17" max="17" width="19.5" bestFit="1" customWidth="1"/>
    <col min="18" max="18" width="12" bestFit="1" customWidth="1"/>
    <col min="19" max="19" width="18.5" bestFit="1" customWidth="1"/>
    <col min="20" max="20" width="18.83203125" bestFit="1" customWidth="1"/>
    <col min="21" max="22" width="20" bestFit="1" customWidth="1"/>
  </cols>
  <sheetData>
    <row r="1" spans="1:21" x14ac:dyDescent="0.2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66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2">
      <c r="A2" t="s">
        <v>67</v>
      </c>
      <c r="B2" t="s">
        <v>70</v>
      </c>
      <c r="C2">
        <v>1</v>
      </c>
      <c r="D2" t="s">
        <v>93</v>
      </c>
      <c r="E2" t="s">
        <v>94</v>
      </c>
      <c r="F2" t="s">
        <v>95</v>
      </c>
      <c r="G2">
        <v>0.24992438174105699</v>
      </c>
      <c r="H2">
        <v>2.0972107384124701E-2</v>
      </c>
      <c r="I2">
        <v>0</v>
      </c>
      <c r="J2">
        <v>1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0.233333333333333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0.27905535859326402</v>
      </c>
      <c r="U2">
        <f>IF((ContinuousStatsTable[[#This Row],[RepsRequested]]&gt;1),ContinuousStatsTable[[#This Row],[HalfWidth]],ContinuousStatsTable[[#This Row],[BatchMeansHalfWidth]])</f>
        <v>4.2029769261323026E-3</v>
      </c>
    </row>
    <row r="3" spans="1:21" x14ac:dyDescent="0.2">
      <c r="A3" t="s">
        <v>67</v>
      </c>
      <c r="B3" t="s">
        <v>70</v>
      </c>
      <c r="C3">
        <v>1</v>
      </c>
      <c r="D3" t="s">
        <v>93</v>
      </c>
      <c r="E3" t="s">
        <v>96</v>
      </c>
      <c r="F3" t="s">
        <v>95</v>
      </c>
      <c r="G3">
        <v>0.24992438174105699</v>
      </c>
      <c r="H3">
        <v>2.0972107384124701E-2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0.233333333333333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0.27905535859326402</v>
      </c>
      <c r="U3">
        <f>IF((ContinuousStatsTable[[#This Row],[RepsRequested]]&gt;1),ContinuousStatsTable[[#This Row],[HalfWidth]],ContinuousStatsTable[[#This Row],[BatchMeansHalfWidth]])</f>
        <v>4.2029769261323026E-3</v>
      </c>
    </row>
    <row r="4" spans="1:21" x14ac:dyDescent="0.2">
      <c r="A4" t="s">
        <v>67</v>
      </c>
      <c r="B4" t="s">
        <v>70</v>
      </c>
      <c r="C4">
        <v>1</v>
      </c>
      <c r="D4" t="s">
        <v>93</v>
      </c>
      <c r="E4" t="s">
        <v>97</v>
      </c>
      <c r="F4" t="s">
        <v>95</v>
      </c>
      <c r="G4">
        <v>1</v>
      </c>
      <c r="H4">
        <v>2E+20</v>
      </c>
      <c r="I4">
        <v>1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1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1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0</v>
      </c>
    </row>
    <row r="5" spans="1:21" x14ac:dyDescent="0.2">
      <c r="A5" t="s">
        <v>67</v>
      </c>
      <c r="B5" t="s">
        <v>70</v>
      </c>
      <c r="C5">
        <v>1</v>
      </c>
      <c r="D5" t="s">
        <v>71</v>
      </c>
      <c r="E5" t="s">
        <v>98</v>
      </c>
      <c r="F5" t="s">
        <v>73</v>
      </c>
      <c r="G5">
        <v>2.7383830865045099E-2</v>
      </c>
      <c r="H5">
        <v>2E+20</v>
      </c>
      <c r="I5">
        <v>0</v>
      </c>
      <c r="J5">
        <v>2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1.9664517785186901E-2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3.9738966906982302E-2</v>
      </c>
      <c r="U5">
        <f>IF((ContinuousStatsTable[[#This Row],[RepsRequested]]&gt;1),ContinuousStatsTable[[#This Row],[HalfWidth]],ContinuousStatsTable[[#This Row],[BatchMeansHalfWidth]])</f>
        <v>1.6627262085570247E-3</v>
      </c>
    </row>
    <row r="6" spans="1:21" x14ac:dyDescent="0.2">
      <c r="A6" t="s">
        <v>67</v>
      </c>
      <c r="B6" t="s">
        <v>70</v>
      </c>
      <c r="C6">
        <v>1</v>
      </c>
      <c r="D6" t="s">
        <v>99</v>
      </c>
      <c r="E6" t="s">
        <v>94</v>
      </c>
      <c r="F6" t="s">
        <v>95</v>
      </c>
      <c r="G6">
        <v>0.63371258005858999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0.58256422876290004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0.68643238055161704</v>
      </c>
      <c r="U6">
        <f>IF((ContinuousStatsTable[[#This Row],[RepsRequested]]&gt;1),ContinuousStatsTable[[#This Row],[HalfWidth]],ContinuousStatsTable[[#This Row],[BatchMeansHalfWidth]])</f>
        <v>9.8490003000806757E-3</v>
      </c>
    </row>
    <row r="7" spans="1:21" x14ac:dyDescent="0.2">
      <c r="A7" t="s">
        <v>67</v>
      </c>
      <c r="B7" t="s">
        <v>70</v>
      </c>
      <c r="C7">
        <v>1</v>
      </c>
      <c r="D7" t="s">
        <v>99</v>
      </c>
      <c r="E7" t="s">
        <v>96</v>
      </c>
      <c r="F7" t="s">
        <v>95</v>
      </c>
      <c r="G7">
        <v>1.26742516011718</v>
      </c>
      <c r="H7">
        <v>2E+20</v>
      </c>
      <c r="I7">
        <v>0</v>
      </c>
      <c r="J7">
        <v>2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1.1651284575258001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1.3728647611032301</v>
      </c>
      <c r="U7">
        <f>IF((ContinuousStatsTable[[#This Row],[RepsRequested]]&gt;1),ContinuousStatsTable[[#This Row],[HalfWidth]],ContinuousStatsTable[[#This Row],[BatchMeansHalfWidth]])</f>
        <v>1.9698000600160998E-2</v>
      </c>
    </row>
    <row r="8" spans="1:21" x14ac:dyDescent="0.2">
      <c r="A8" t="s">
        <v>67</v>
      </c>
      <c r="B8" t="s">
        <v>70</v>
      </c>
      <c r="C8">
        <v>1</v>
      </c>
      <c r="D8" t="s">
        <v>99</v>
      </c>
      <c r="E8" t="s">
        <v>97</v>
      </c>
      <c r="F8" t="s">
        <v>95</v>
      </c>
      <c r="G8">
        <v>2</v>
      </c>
      <c r="H8">
        <v>2E+20</v>
      </c>
      <c r="I8">
        <v>2</v>
      </c>
      <c r="J8">
        <v>2</v>
      </c>
      <c r="K8">
        <v>2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2</v>
      </c>
      <c r="U8">
        <f>IF((ContinuousStatsTable[[#This Row],[RepsRequested]]&gt;1),ContinuousStatsTable[[#This Row],[HalfWidth]],ContinuousStatsTable[[#This Row],[BatchMeansHalfWidth]])</f>
        <v>0</v>
      </c>
    </row>
    <row r="9" spans="1:21" x14ac:dyDescent="0.2">
      <c r="A9" t="s">
        <v>67</v>
      </c>
      <c r="B9" t="s">
        <v>70</v>
      </c>
      <c r="C9">
        <v>1</v>
      </c>
      <c r="D9" t="s">
        <v>74</v>
      </c>
      <c r="E9" t="s">
        <v>100</v>
      </c>
      <c r="F9" t="s">
        <v>76</v>
      </c>
      <c r="G9">
        <v>15.6116149179656</v>
      </c>
      <c r="H9">
        <v>1.1908460742990099</v>
      </c>
      <c r="I9">
        <v>3</v>
      </c>
      <c r="J9">
        <v>35</v>
      </c>
      <c r="K9">
        <v>14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14.4112589759764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16.972707717517899</v>
      </c>
      <c r="U9">
        <f>IF((ContinuousStatsTable[[#This Row],[RepsRequested]]&gt;1),ContinuousStatsTable[[#This Row],[HalfWidth]],ContinuousStatsTable[[#This Row],[BatchMeansHalfWidth]])</f>
        <v>0.25870181881670146</v>
      </c>
    </row>
    <row r="10" spans="1:21" x14ac:dyDescent="0.2">
      <c r="A10" t="s">
        <v>67</v>
      </c>
      <c r="B10" t="s">
        <v>70</v>
      </c>
      <c r="C10">
        <v>1</v>
      </c>
      <c r="D10" t="s">
        <v>82</v>
      </c>
      <c r="E10" t="s">
        <v>98</v>
      </c>
      <c r="F10" t="s">
        <v>73</v>
      </c>
      <c r="G10">
        <v>0.20847875113051101</v>
      </c>
      <c r="H10">
        <v>2E+20</v>
      </c>
      <c r="I10">
        <v>0</v>
      </c>
      <c r="J10">
        <v>4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7.4406608295854798E-2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0.29874320707386398</v>
      </c>
      <c r="U10">
        <f>IF((ContinuousStatsTable[[#This Row],[RepsRequested]]&gt;1),ContinuousStatsTable[[#This Row],[HalfWidth]],ContinuousStatsTable[[#This Row],[BatchMeansHalfWidth]])</f>
        <v>2.0058204231149332E-2</v>
      </c>
    </row>
    <row r="11" spans="1:21" x14ac:dyDescent="0.2">
      <c r="A11" t="s">
        <v>67</v>
      </c>
      <c r="B11" t="s">
        <v>70</v>
      </c>
      <c r="C11">
        <v>1</v>
      </c>
      <c r="D11" t="s">
        <v>101</v>
      </c>
      <c r="E11" t="s">
        <v>94</v>
      </c>
      <c r="F11" t="s">
        <v>95</v>
      </c>
      <c r="G11">
        <v>1.9462719298245601E-3</v>
      </c>
      <c r="H11">
        <v>1.8781943168344299E-4</v>
      </c>
      <c r="I11">
        <v>0</v>
      </c>
      <c r="J11">
        <v>3.7499999999999999E-2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1.70504385964912E-3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2.17031677925951E-3</v>
      </c>
      <c r="U11">
        <f>IF((ContinuousStatsTable[[#This Row],[RepsRequested]]&gt;1),ContinuousStatsTable[[#This Row],[HalfWidth]],ContinuousStatsTable[[#This Row],[BatchMeansHalfWidth]])</f>
        <v>4.4865881583116605E-5</v>
      </c>
    </row>
    <row r="12" spans="1:21" x14ac:dyDescent="0.2">
      <c r="A12" t="s">
        <v>67</v>
      </c>
      <c r="B12" t="s">
        <v>70</v>
      </c>
      <c r="C12">
        <v>1</v>
      </c>
      <c r="D12" t="s">
        <v>101</v>
      </c>
      <c r="E12" t="s">
        <v>96</v>
      </c>
      <c r="F12" t="s">
        <v>95</v>
      </c>
      <c r="G12">
        <v>0.15570175438596501</v>
      </c>
      <c r="H12">
        <v>1.50255545346755E-2</v>
      </c>
      <c r="I12">
        <v>0</v>
      </c>
      <c r="J12">
        <v>3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0.13640350877193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0.17362534234076099</v>
      </c>
      <c r="U12">
        <f>IF((ContinuousStatsTable[[#This Row],[RepsRequested]]&gt;1),ContinuousStatsTable[[#This Row],[HalfWidth]],ContinuousStatsTable[[#This Row],[BatchMeansHalfWidth]])</f>
        <v>3.5892705266493139E-3</v>
      </c>
    </row>
    <row r="13" spans="1:21" x14ac:dyDescent="0.2">
      <c r="A13" t="s">
        <v>67</v>
      </c>
      <c r="B13" t="s">
        <v>70</v>
      </c>
      <c r="C13">
        <v>1</v>
      </c>
      <c r="D13" t="s">
        <v>101</v>
      </c>
      <c r="E13" t="s">
        <v>97</v>
      </c>
      <c r="F13" t="s">
        <v>95</v>
      </c>
      <c r="G13">
        <v>80</v>
      </c>
      <c r="H13">
        <v>2E+20</v>
      </c>
      <c r="I13">
        <v>80</v>
      </c>
      <c r="J13">
        <v>80</v>
      </c>
      <c r="K13">
        <v>80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80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80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80</v>
      </c>
      <c r="U13">
        <f>IF((ContinuousStatsTable[[#This Row],[RepsRequested]]&gt;1),ContinuousStatsTable[[#This Row],[HalfWidth]],ContinuousStatsTable[[#This Row],[BatchMeansHalfWidth]])</f>
        <v>0</v>
      </c>
    </row>
    <row r="14" spans="1:21" x14ac:dyDescent="0.2">
      <c r="A14" t="s">
        <v>67</v>
      </c>
      <c r="B14" t="s">
        <v>70</v>
      </c>
      <c r="C14">
        <v>1</v>
      </c>
      <c r="D14" t="s">
        <v>86</v>
      </c>
      <c r="E14" t="s">
        <v>98</v>
      </c>
      <c r="F14" t="s">
        <v>73</v>
      </c>
      <c r="G14">
        <v>0</v>
      </c>
      <c r="H14">
        <v>2E+20</v>
      </c>
      <c r="I14">
        <v>0</v>
      </c>
      <c r="J14">
        <v>0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0</v>
      </c>
      <c r="U14">
        <f>IF((ContinuousStatsTable[[#This Row],[RepsRequested]]&gt;1),ContinuousStatsTable[[#This Row],[HalfWidth]],ContinuousStatsTable[[#This Row],[BatchMeansHalfWidth]])</f>
        <v>0</v>
      </c>
    </row>
    <row r="15" spans="1:21" x14ac:dyDescent="0.2">
      <c r="A15" t="s">
        <v>67</v>
      </c>
      <c r="B15" t="s">
        <v>70</v>
      </c>
      <c r="C15">
        <v>1</v>
      </c>
      <c r="D15" t="s">
        <v>87</v>
      </c>
      <c r="E15" t="s">
        <v>98</v>
      </c>
      <c r="F15" t="s">
        <v>73</v>
      </c>
      <c r="G15">
        <v>0</v>
      </c>
      <c r="H15">
        <v>2E+20</v>
      </c>
      <c r="I15">
        <v>0</v>
      </c>
      <c r="J15">
        <v>0</v>
      </c>
      <c r="K15">
        <v>0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0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0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0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2">
      <c r="A16" t="s">
        <v>67</v>
      </c>
      <c r="B16" t="s">
        <v>70</v>
      </c>
      <c r="C16">
        <v>1</v>
      </c>
      <c r="D16" t="s">
        <v>88</v>
      </c>
      <c r="E16" t="s">
        <v>98</v>
      </c>
      <c r="F16" t="s">
        <v>73</v>
      </c>
      <c r="G16">
        <v>1.4867033749702101</v>
      </c>
      <c r="H16">
        <v>3E+20</v>
      </c>
      <c r="I16">
        <v>0</v>
      </c>
      <c r="J16">
        <v>4</v>
      </c>
      <c r="K16">
        <v>1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1.4062336911317099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1.5889769030929</v>
      </c>
      <c r="U16">
        <f>IF((ContinuousStatsTable[[#This Row],[RepsRequested]]&gt;1),ContinuousStatsTable[[#This Row],[HalfWidth]],ContinuousStatsTable[[#This Row],[BatchMeansHalfWidth]])</f>
        <v>1.602866983772662E-2</v>
      </c>
    </row>
    <row r="17" spans="1:21" x14ac:dyDescent="0.2">
      <c r="A17" t="s">
        <v>67</v>
      </c>
      <c r="B17" t="s">
        <v>70</v>
      </c>
      <c r="C17">
        <v>1</v>
      </c>
      <c r="D17" t="s">
        <v>102</v>
      </c>
      <c r="E17" t="s">
        <v>94</v>
      </c>
      <c r="F17" t="s">
        <v>95</v>
      </c>
      <c r="G17">
        <v>4.7149122807017604E-3</v>
      </c>
      <c r="H17">
        <v>7.7916759099776797E-4</v>
      </c>
      <c r="I17">
        <v>0</v>
      </c>
      <c r="J17">
        <v>0.15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4.4956140350877203E-3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5.5482456140350904E-3</v>
      </c>
      <c r="U17">
        <f>IF((ContinuousStatsTable[[#This Row],[RepsRequested]]&gt;1),ContinuousStatsTable[[#This Row],[HalfWidth]],ContinuousStatsTable[[#This Row],[BatchMeansHalfWidth]])</f>
        <v>1.0144486472958472E-4</v>
      </c>
    </row>
    <row r="18" spans="1:21" x14ac:dyDescent="0.2">
      <c r="A18" t="s">
        <v>67</v>
      </c>
      <c r="B18" t="s">
        <v>70</v>
      </c>
      <c r="C18">
        <v>1</v>
      </c>
      <c r="D18" t="s">
        <v>102</v>
      </c>
      <c r="E18" t="s">
        <v>96</v>
      </c>
      <c r="F18" t="s">
        <v>95</v>
      </c>
      <c r="G18">
        <v>9.4298245614035103E-2</v>
      </c>
      <c r="H18">
        <v>1.5583351819955399E-2</v>
      </c>
      <c r="I18">
        <v>0</v>
      </c>
      <c r="J18">
        <v>3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8.9912280701754305E-2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0.110964912280702</v>
      </c>
      <c r="U18">
        <f>IF((ContinuousStatsTable[[#This Row],[RepsRequested]]&gt;1),ContinuousStatsTable[[#This Row],[HalfWidth]],ContinuousStatsTable[[#This Row],[BatchMeansHalfWidth]])</f>
        <v>2.0288972945916956E-3</v>
      </c>
    </row>
    <row r="19" spans="1:21" x14ac:dyDescent="0.2">
      <c r="A19" t="s">
        <v>67</v>
      </c>
      <c r="B19" t="s">
        <v>70</v>
      </c>
      <c r="C19">
        <v>1</v>
      </c>
      <c r="D19" t="s">
        <v>102</v>
      </c>
      <c r="E19" t="s">
        <v>97</v>
      </c>
      <c r="F19" t="s">
        <v>95</v>
      </c>
      <c r="G19">
        <v>20</v>
      </c>
      <c r="H19">
        <v>2E+20</v>
      </c>
      <c r="I19">
        <v>20</v>
      </c>
      <c r="J19">
        <v>20</v>
      </c>
      <c r="K19">
        <v>20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20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20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20</v>
      </c>
      <c r="U19">
        <f>IF((ContinuousStatsTable[[#This Row],[RepsRequested]]&gt;1),ContinuousStatsTable[[#This Row],[HalfWidth]],ContinuousStatsTable[[#This Row],[BatchMeansHalfWidth]])</f>
        <v>0</v>
      </c>
    </row>
    <row r="20" spans="1:21" x14ac:dyDescent="0.2">
      <c r="A20" t="s">
        <v>67</v>
      </c>
      <c r="B20" t="s">
        <v>70</v>
      </c>
      <c r="C20">
        <v>1</v>
      </c>
      <c r="D20" t="s">
        <v>90</v>
      </c>
      <c r="E20" t="s">
        <v>98</v>
      </c>
      <c r="F20" t="s">
        <v>73</v>
      </c>
      <c r="G20">
        <v>0</v>
      </c>
      <c r="H20">
        <v>2E+20</v>
      </c>
      <c r="I20">
        <v>0</v>
      </c>
      <c r="J20">
        <v>0</v>
      </c>
      <c r="K20">
        <v>0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0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0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0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2">
      <c r="A21" t="s">
        <v>67</v>
      </c>
      <c r="B21" t="s">
        <v>70</v>
      </c>
      <c r="C21">
        <v>1</v>
      </c>
      <c r="D21" t="s">
        <v>91</v>
      </c>
      <c r="E21" t="s">
        <v>98</v>
      </c>
      <c r="F21" t="s">
        <v>73</v>
      </c>
      <c r="G21">
        <v>0</v>
      </c>
      <c r="H21">
        <v>2E+20</v>
      </c>
      <c r="I21">
        <v>0</v>
      </c>
      <c r="J21">
        <v>0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0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0</v>
      </c>
      <c r="U21">
        <f>IF((ContinuousStatsTable[[#This Row],[RepsRequested]]&gt;1),ContinuousStatsTable[[#This Row],[HalfWidth]],ContinuousStatsTable[[#This Row],[BatchMeansHalfWidth]])</f>
        <v>0</v>
      </c>
    </row>
    <row r="22" spans="1:21" x14ac:dyDescent="0.2">
      <c r="A22" t="s">
        <v>67</v>
      </c>
      <c r="B22" t="s">
        <v>70</v>
      </c>
      <c r="C22">
        <v>1</v>
      </c>
      <c r="D22" t="s">
        <v>92</v>
      </c>
      <c r="E22" t="s">
        <v>98</v>
      </c>
      <c r="F22" t="s">
        <v>73</v>
      </c>
      <c r="G22">
        <v>0</v>
      </c>
      <c r="H22">
        <v>2E+20</v>
      </c>
      <c r="I22">
        <v>0</v>
      </c>
      <c r="J22">
        <v>0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0</v>
      </c>
      <c r="U22">
        <f>IF((ContinuousStatsTable[[#This Row],[RepsRequested]]&gt;1),ContinuousStatsTable[[#This Row],[HalfWidth]],ContinuousStatsTable[[#This Row],[BatchMeansHalfWidth]])</f>
        <v>0</v>
      </c>
    </row>
    <row r="23" spans="1:21" x14ac:dyDescent="0.2">
      <c r="A23" t="s">
        <v>67</v>
      </c>
      <c r="B23" t="s">
        <v>70</v>
      </c>
      <c r="C23">
        <v>1</v>
      </c>
      <c r="D23" t="s">
        <v>103</v>
      </c>
      <c r="E23" t="s">
        <v>94</v>
      </c>
      <c r="F23" t="s">
        <v>95</v>
      </c>
      <c r="G23">
        <v>8.3000031811691202E-2</v>
      </c>
      <c r="H23">
        <v>2E+20</v>
      </c>
      <c r="I23">
        <v>0</v>
      </c>
      <c r="J23">
        <v>0.66666666666666696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7.7176470357846902E-2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9.2534326714405896E-2</v>
      </c>
      <c r="U23">
        <f>IF((ContinuousStatsTable[[#This Row],[RepsRequested]]&gt;1),ContinuousStatsTable[[#This Row],[HalfWidth]],ContinuousStatsTable[[#This Row],[BatchMeansHalfWidth]])</f>
        <v>1.3238327186697659E-3</v>
      </c>
    </row>
    <row r="24" spans="1:21" x14ac:dyDescent="0.2">
      <c r="A24" t="s">
        <v>67</v>
      </c>
      <c r="B24" t="s">
        <v>70</v>
      </c>
      <c r="C24">
        <v>1</v>
      </c>
      <c r="D24" t="s">
        <v>103</v>
      </c>
      <c r="E24" t="s">
        <v>96</v>
      </c>
      <c r="F24" t="s">
        <v>95</v>
      </c>
      <c r="G24">
        <v>0.24900009543507401</v>
      </c>
      <c r="H24">
        <v>2E+20</v>
      </c>
      <c r="I24">
        <v>0</v>
      </c>
      <c r="J24">
        <v>2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0.231529411073541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0.27760298014321699</v>
      </c>
      <c r="U24">
        <f>IF((ContinuousStatsTable[[#This Row],[RepsRequested]]&gt;1),ContinuousStatsTable[[#This Row],[HalfWidth]],ContinuousStatsTable[[#This Row],[BatchMeansHalfWidth]])</f>
        <v>3.9714981560092996E-3</v>
      </c>
    </row>
    <row r="25" spans="1:21" x14ac:dyDescent="0.2">
      <c r="A25" t="s">
        <v>67</v>
      </c>
      <c r="B25" t="s">
        <v>70</v>
      </c>
      <c r="C25">
        <v>1</v>
      </c>
      <c r="D25" t="s">
        <v>103</v>
      </c>
      <c r="E25" t="s">
        <v>97</v>
      </c>
      <c r="F25" t="s">
        <v>95</v>
      </c>
      <c r="G25">
        <v>3</v>
      </c>
      <c r="H25">
        <v>2E+20</v>
      </c>
      <c r="I25">
        <v>3</v>
      </c>
      <c r="J25">
        <v>3</v>
      </c>
      <c r="K25">
        <v>3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3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3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3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2">
      <c r="A26" t="s">
        <v>67</v>
      </c>
      <c r="B26" t="s">
        <v>70</v>
      </c>
      <c r="C26">
        <v>2</v>
      </c>
      <c r="D26" t="s">
        <v>93</v>
      </c>
      <c r="E26" t="s">
        <v>94</v>
      </c>
      <c r="F26" t="s">
        <v>95</v>
      </c>
      <c r="G26">
        <v>0.25535692401649401</v>
      </c>
      <c r="H26">
        <v>2.4063283700201998E-2</v>
      </c>
      <c r="I26">
        <v>0</v>
      </c>
      <c r="J26">
        <v>1</v>
      </c>
      <c r="K26">
        <v>1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0.233333333333333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0.27905535859326402</v>
      </c>
      <c r="U26">
        <f>IF((ContinuousStatsTable[[#This Row],[RepsRequested]]&gt;1),ContinuousStatsTable[[#This Row],[HalfWidth]],ContinuousStatsTable[[#This Row],[BatchMeansHalfWidth]])</f>
        <v>4.2029769261323026E-3</v>
      </c>
    </row>
    <row r="27" spans="1:21" x14ac:dyDescent="0.2">
      <c r="A27" t="s">
        <v>67</v>
      </c>
      <c r="B27" t="s">
        <v>70</v>
      </c>
      <c r="C27">
        <v>2</v>
      </c>
      <c r="D27" t="s">
        <v>93</v>
      </c>
      <c r="E27" t="s">
        <v>96</v>
      </c>
      <c r="F27" t="s">
        <v>95</v>
      </c>
      <c r="G27">
        <v>0.25535692401649401</v>
      </c>
      <c r="H27">
        <v>2.4063283700201998E-2</v>
      </c>
      <c r="I27">
        <v>0</v>
      </c>
      <c r="J27">
        <v>1</v>
      </c>
      <c r="K27">
        <v>1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0.233333333333333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0.27905535859326402</v>
      </c>
      <c r="U27">
        <f>IF((ContinuousStatsTable[[#This Row],[RepsRequested]]&gt;1),ContinuousStatsTable[[#This Row],[HalfWidth]],ContinuousStatsTable[[#This Row],[BatchMeansHalfWidth]])</f>
        <v>4.2029769261323026E-3</v>
      </c>
    </row>
    <row r="28" spans="1:21" x14ac:dyDescent="0.2">
      <c r="A28" t="s">
        <v>67</v>
      </c>
      <c r="B28" t="s">
        <v>70</v>
      </c>
      <c r="C28">
        <v>2</v>
      </c>
      <c r="D28" t="s">
        <v>93</v>
      </c>
      <c r="E28" t="s">
        <v>97</v>
      </c>
      <c r="F28" t="s">
        <v>95</v>
      </c>
      <c r="G28">
        <v>1</v>
      </c>
      <c r="H28">
        <v>2E+20</v>
      </c>
      <c r="I28">
        <v>1</v>
      </c>
      <c r="J28">
        <v>1</v>
      </c>
      <c r="K28">
        <v>1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1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0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1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1</v>
      </c>
      <c r="U28">
        <f>IF((ContinuousStatsTable[[#This Row],[RepsRequested]]&gt;1),ContinuousStatsTable[[#This Row],[HalfWidth]],ContinuousStatsTable[[#This Row],[BatchMeansHalfWidth]])</f>
        <v>0</v>
      </c>
    </row>
    <row r="29" spans="1:21" x14ac:dyDescent="0.2">
      <c r="A29" t="s">
        <v>67</v>
      </c>
      <c r="B29" t="s">
        <v>70</v>
      </c>
      <c r="C29">
        <v>2</v>
      </c>
      <c r="D29" t="s">
        <v>71</v>
      </c>
      <c r="E29" t="s">
        <v>98</v>
      </c>
      <c r="F29" t="s">
        <v>73</v>
      </c>
      <c r="G29">
        <v>3.1934225509355298E-2</v>
      </c>
      <c r="H29">
        <v>2E+20</v>
      </c>
      <c r="I29">
        <v>0</v>
      </c>
      <c r="J29">
        <v>2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1.9664517785186901E-2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3.9738966906982302E-2</v>
      </c>
      <c r="U29">
        <f>IF((ContinuousStatsTable[[#This Row],[RepsRequested]]&gt;1),ContinuousStatsTable[[#This Row],[HalfWidth]],ContinuousStatsTable[[#This Row],[BatchMeansHalfWidth]])</f>
        <v>1.6627262085570247E-3</v>
      </c>
    </row>
    <row r="30" spans="1:21" x14ac:dyDescent="0.2">
      <c r="A30" t="s">
        <v>67</v>
      </c>
      <c r="B30" t="s">
        <v>70</v>
      </c>
      <c r="C30">
        <v>2</v>
      </c>
      <c r="D30" t="s">
        <v>99</v>
      </c>
      <c r="E30" t="s">
        <v>94</v>
      </c>
      <c r="F30" t="s">
        <v>95</v>
      </c>
      <c r="G30">
        <v>0.63596717797976898</v>
      </c>
      <c r="H30">
        <v>2E+20</v>
      </c>
      <c r="I30">
        <v>0</v>
      </c>
      <c r="J30">
        <v>1</v>
      </c>
      <c r="K30">
        <v>0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0.58256422876290004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0.68643238055161704</v>
      </c>
      <c r="U30">
        <f>IF((ContinuousStatsTable[[#This Row],[RepsRequested]]&gt;1),ContinuousStatsTable[[#This Row],[HalfWidth]],ContinuousStatsTable[[#This Row],[BatchMeansHalfWidth]])</f>
        <v>9.8490003000806757E-3</v>
      </c>
    </row>
    <row r="31" spans="1:21" x14ac:dyDescent="0.2">
      <c r="A31" t="s">
        <v>67</v>
      </c>
      <c r="B31" t="s">
        <v>70</v>
      </c>
      <c r="C31">
        <v>2</v>
      </c>
      <c r="D31" t="s">
        <v>99</v>
      </c>
      <c r="E31" t="s">
        <v>96</v>
      </c>
      <c r="F31" t="s">
        <v>95</v>
      </c>
      <c r="G31">
        <v>1.27193435595954</v>
      </c>
      <c r="H31">
        <v>2E+20</v>
      </c>
      <c r="I31">
        <v>0</v>
      </c>
      <c r="J31">
        <v>2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1.1651284575258001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1.3728647611032301</v>
      </c>
      <c r="U31">
        <f>IF((ContinuousStatsTable[[#This Row],[RepsRequested]]&gt;1),ContinuousStatsTable[[#This Row],[HalfWidth]],ContinuousStatsTable[[#This Row],[BatchMeansHalfWidth]])</f>
        <v>1.9698000600160998E-2</v>
      </c>
    </row>
    <row r="32" spans="1:21" x14ac:dyDescent="0.2">
      <c r="A32" t="s">
        <v>67</v>
      </c>
      <c r="B32" t="s">
        <v>70</v>
      </c>
      <c r="C32">
        <v>2</v>
      </c>
      <c r="D32" t="s">
        <v>99</v>
      </c>
      <c r="E32" t="s">
        <v>97</v>
      </c>
      <c r="F32" t="s">
        <v>95</v>
      </c>
      <c r="G32">
        <v>2</v>
      </c>
      <c r="H32">
        <v>2E+20</v>
      </c>
      <c r="I32">
        <v>2</v>
      </c>
      <c r="J32">
        <v>2</v>
      </c>
      <c r="K32">
        <v>2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2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2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2</v>
      </c>
      <c r="U32">
        <f>IF((ContinuousStatsTable[[#This Row],[RepsRequested]]&gt;1),ContinuousStatsTable[[#This Row],[HalfWidth]],ContinuousStatsTable[[#This Row],[BatchMeansHalfWidth]])</f>
        <v>0</v>
      </c>
    </row>
    <row r="33" spans="1:21" x14ac:dyDescent="0.2">
      <c r="A33" t="s">
        <v>67</v>
      </c>
      <c r="B33" t="s">
        <v>70</v>
      </c>
      <c r="C33">
        <v>2</v>
      </c>
      <c r="D33" t="s">
        <v>74</v>
      </c>
      <c r="E33" t="s">
        <v>100</v>
      </c>
      <c r="F33" t="s">
        <v>76</v>
      </c>
      <c r="G33">
        <v>15.7079283200289</v>
      </c>
      <c r="H33">
        <v>1.16843016585085</v>
      </c>
      <c r="I33">
        <v>3</v>
      </c>
      <c r="J33">
        <v>32</v>
      </c>
      <c r="K33">
        <v>20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14.4112589759764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16.972707717517899</v>
      </c>
      <c r="U33">
        <f>IF((ContinuousStatsTable[[#This Row],[RepsRequested]]&gt;1),ContinuousStatsTable[[#This Row],[HalfWidth]],ContinuousStatsTable[[#This Row],[BatchMeansHalfWidth]])</f>
        <v>0.25870181881670146</v>
      </c>
    </row>
    <row r="34" spans="1:21" x14ac:dyDescent="0.2">
      <c r="A34" t="s">
        <v>67</v>
      </c>
      <c r="B34" t="s">
        <v>70</v>
      </c>
      <c r="C34">
        <v>2</v>
      </c>
      <c r="D34" t="s">
        <v>82</v>
      </c>
      <c r="E34" t="s">
        <v>98</v>
      </c>
      <c r="F34" t="s">
        <v>73</v>
      </c>
      <c r="G34">
        <v>0.13695304083771001</v>
      </c>
      <c r="H34">
        <v>2E+20</v>
      </c>
      <c r="I34">
        <v>0</v>
      </c>
      <c r="J34">
        <v>3</v>
      </c>
      <c r="K34">
        <v>0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7.4406608295854798E-2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0.29874320707386398</v>
      </c>
      <c r="U34">
        <f>IF((ContinuousStatsTable[[#This Row],[RepsRequested]]&gt;1),ContinuousStatsTable[[#This Row],[HalfWidth]],ContinuousStatsTable[[#This Row],[BatchMeansHalfWidth]])</f>
        <v>2.0058204231149332E-2</v>
      </c>
    </row>
    <row r="35" spans="1:21" x14ac:dyDescent="0.2">
      <c r="A35" t="s">
        <v>67</v>
      </c>
      <c r="B35" t="s">
        <v>70</v>
      </c>
      <c r="C35">
        <v>2</v>
      </c>
      <c r="D35" t="s">
        <v>101</v>
      </c>
      <c r="E35" t="s">
        <v>94</v>
      </c>
      <c r="F35" t="s">
        <v>95</v>
      </c>
      <c r="G35">
        <v>1.85028430171782E-3</v>
      </c>
      <c r="H35">
        <v>1.9927568741426701E-4</v>
      </c>
      <c r="I35">
        <v>0</v>
      </c>
      <c r="J35">
        <v>3.7499999999999999E-2</v>
      </c>
      <c r="K35">
        <v>0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1.70504385964912E-3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2.17031677925951E-3</v>
      </c>
      <c r="U35">
        <f>IF((ContinuousStatsTable[[#This Row],[RepsRequested]]&gt;1),ContinuousStatsTable[[#This Row],[HalfWidth]],ContinuousStatsTable[[#This Row],[BatchMeansHalfWidth]])</f>
        <v>4.4865881583116605E-5</v>
      </c>
    </row>
    <row r="36" spans="1:21" x14ac:dyDescent="0.2">
      <c r="A36" t="s">
        <v>67</v>
      </c>
      <c r="B36" t="s">
        <v>70</v>
      </c>
      <c r="C36">
        <v>2</v>
      </c>
      <c r="D36" t="s">
        <v>101</v>
      </c>
      <c r="E36" t="s">
        <v>96</v>
      </c>
      <c r="F36" t="s">
        <v>95</v>
      </c>
      <c r="G36">
        <v>0.148022744137426</v>
      </c>
      <c r="H36">
        <v>1.5942054993141299E-2</v>
      </c>
      <c r="I36">
        <v>0</v>
      </c>
      <c r="J36">
        <v>3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0.13640350877193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0.17362534234076099</v>
      </c>
      <c r="U36">
        <f>IF((ContinuousStatsTable[[#This Row],[RepsRequested]]&gt;1),ContinuousStatsTable[[#This Row],[HalfWidth]],ContinuousStatsTable[[#This Row],[BatchMeansHalfWidth]])</f>
        <v>3.5892705266493139E-3</v>
      </c>
    </row>
    <row r="37" spans="1:21" x14ac:dyDescent="0.2">
      <c r="A37" t="s">
        <v>67</v>
      </c>
      <c r="B37" t="s">
        <v>70</v>
      </c>
      <c r="C37">
        <v>2</v>
      </c>
      <c r="D37" t="s">
        <v>101</v>
      </c>
      <c r="E37" t="s">
        <v>97</v>
      </c>
      <c r="F37" t="s">
        <v>95</v>
      </c>
      <c r="G37">
        <v>80</v>
      </c>
      <c r="H37">
        <v>2E+20</v>
      </c>
      <c r="I37">
        <v>80</v>
      </c>
      <c r="J37">
        <v>80</v>
      </c>
      <c r="K37">
        <v>80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80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80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80</v>
      </c>
      <c r="U37">
        <f>IF((ContinuousStatsTable[[#This Row],[RepsRequested]]&gt;1),ContinuousStatsTable[[#This Row],[HalfWidth]],ContinuousStatsTable[[#This Row],[BatchMeansHalfWidth]])</f>
        <v>0</v>
      </c>
    </row>
    <row r="38" spans="1:21" x14ac:dyDescent="0.2">
      <c r="A38" t="s">
        <v>67</v>
      </c>
      <c r="B38" t="s">
        <v>70</v>
      </c>
      <c r="C38">
        <v>2</v>
      </c>
      <c r="D38" t="s">
        <v>86</v>
      </c>
      <c r="E38" t="s">
        <v>98</v>
      </c>
      <c r="F38" t="s">
        <v>73</v>
      </c>
      <c r="G38">
        <v>0</v>
      </c>
      <c r="H38">
        <v>2E+20</v>
      </c>
      <c r="I38">
        <v>0</v>
      </c>
      <c r="J38">
        <v>0</v>
      </c>
      <c r="K38">
        <v>0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0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</v>
      </c>
      <c r="U38">
        <f>IF((ContinuousStatsTable[[#This Row],[RepsRequested]]&gt;1),ContinuousStatsTable[[#This Row],[HalfWidth]],ContinuousStatsTable[[#This Row],[BatchMeansHalfWidth]])</f>
        <v>0</v>
      </c>
    </row>
    <row r="39" spans="1:21" x14ac:dyDescent="0.2">
      <c r="A39" t="s">
        <v>67</v>
      </c>
      <c r="B39" t="s">
        <v>70</v>
      </c>
      <c r="C39">
        <v>2</v>
      </c>
      <c r="D39" t="s">
        <v>87</v>
      </c>
      <c r="E39" t="s">
        <v>98</v>
      </c>
      <c r="F39" t="s">
        <v>73</v>
      </c>
      <c r="G39">
        <v>0</v>
      </c>
      <c r="H39">
        <v>2E+20</v>
      </c>
      <c r="I39">
        <v>0</v>
      </c>
      <c r="J39">
        <v>0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0</v>
      </c>
      <c r="U39">
        <f>IF((ContinuousStatsTable[[#This Row],[RepsRequested]]&gt;1),ContinuousStatsTable[[#This Row],[HalfWidth]],ContinuousStatsTable[[#This Row],[BatchMeansHalfWidth]])</f>
        <v>0</v>
      </c>
    </row>
    <row r="40" spans="1:21" x14ac:dyDescent="0.2">
      <c r="A40" t="s">
        <v>67</v>
      </c>
      <c r="B40" t="s">
        <v>70</v>
      </c>
      <c r="C40">
        <v>2</v>
      </c>
      <c r="D40" t="s">
        <v>88</v>
      </c>
      <c r="E40" t="s">
        <v>98</v>
      </c>
      <c r="F40" t="s">
        <v>73</v>
      </c>
      <c r="G40">
        <v>1.5145275098162401</v>
      </c>
      <c r="H40">
        <v>9.4002061517540203E-2</v>
      </c>
      <c r="I40">
        <v>0</v>
      </c>
      <c r="J40">
        <v>4</v>
      </c>
      <c r="K40">
        <v>2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1.4062336911317099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1.5889769030929</v>
      </c>
      <c r="U40">
        <f>IF((ContinuousStatsTable[[#This Row],[RepsRequested]]&gt;1),ContinuousStatsTable[[#This Row],[HalfWidth]],ContinuousStatsTable[[#This Row],[BatchMeansHalfWidth]])</f>
        <v>1.602866983772662E-2</v>
      </c>
    </row>
    <row r="41" spans="1:21" x14ac:dyDescent="0.2">
      <c r="A41" t="s">
        <v>67</v>
      </c>
      <c r="B41" t="s">
        <v>70</v>
      </c>
      <c r="C41">
        <v>2</v>
      </c>
      <c r="D41" t="s">
        <v>102</v>
      </c>
      <c r="E41" t="s">
        <v>94</v>
      </c>
      <c r="F41" t="s">
        <v>95</v>
      </c>
      <c r="G41">
        <v>5.3728070175438599E-3</v>
      </c>
      <c r="H41">
        <v>6.6719733117871901E-4</v>
      </c>
      <c r="I41">
        <v>0</v>
      </c>
      <c r="J41">
        <v>0.15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4.4956140350877203E-3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5.5482456140350904E-3</v>
      </c>
      <c r="U41">
        <f>IF((ContinuousStatsTable[[#This Row],[RepsRequested]]&gt;1),ContinuousStatsTable[[#This Row],[HalfWidth]],ContinuousStatsTable[[#This Row],[BatchMeansHalfWidth]])</f>
        <v>1.0144486472958472E-4</v>
      </c>
    </row>
    <row r="42" spans="1:21" x14ac:dyDescent="0.2">
      <c r="A42" t="s">
        <v>67</v>
      </c>
      <c r="B42" t="s">
        <v>70</v>
      </c>
      <c r="C42">
        <v>2</v>
      </c>
      <c r="D42" t="s">
        <v>102</v>
      </c>
      <c r="E42" t="s">
        <v>96</v>
      </c>
      <c r="F42" t="s">
        <v>95</v>
      </c>
      <c r="G42">
        <v>0.107456140350877</v>
      </c>
      <c r="H42">
        <v>1.3343946623574399E-2</v>
      </c>
      <c r="I42">
        <v>0</v>
      </c>
      <c r="J42">
        <v>3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8.9912280701754305E-2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0.110964912280702</v>
      </c>
      <c r="U42">
        <f>IF((ContinuousStatsTable[[#This Row],[RepsRequested]]&gt;1),ContinuousStatsTable[[#This Row],[HalfWidth]],ContinuousStatsTable[[#This Row],[BatchMeansHalfWidth]])</f>
        <v>2.0288972945916956E-3</v>
      </c>
    </row>
    <row r="43" spans="1:21" x14ac:dyDescent="0.2">
      <c r="A43" t="s">
        <v>67</v>
      </c>
      <c r="B43" t="s">
        <v>70</v>
      </c>
      <c r="C43">
        <v>2</v>
      </c>
      <c r="D43" t="s">
        <v>102</v>
      </c>
      <c r="E43" t="s">
        <v>97</v>
      </c>
      <c r="F43" t="s">
        <v>95</v>
      </c>
      <c r="G43">
        <v>20</v>
      </c>
      <c r="H43">
        <v>2E+20</v>
      </c>
      <c r="I43">
        <v>20</v>
      </c>
      <c r="J43">
        <v>20</v>
      </c>
      <c r="K43">
        <v>20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20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0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20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20</v>
      </c>
      <c r="U43">
        <f>IF((ContinuousStatsTable[[#This Row],[RepsRequested]]&gt;1),ContinuousStatsTable[[#This Row],[HalfWidth]],ContinuousStatsTable[[#This Row],[BatchMeansHalfWidth]])</f>
        <v>0</v>
      </c>
    </row>
    <row r="44" spans="1:21" x14ac:dyDescent="0.2">
      <c r="A44" t="s">
        <v>67</v>
      </c>
      <c r="B44" t="s">
        <v>70</v>
      </c>
      <c r="C44">
        <v>2</v>
      </c>
      <c r="D44" t="s">
        <v>90</v>
      </c>
      <c r="E44" t="s">
        <v>98</v>
      </c>
      <c r="F44" t="s">
        <v>73</v>
      </c>
      <c r="G44">
        <v>0</v>
      </c>
      <c r="H44">
        <v>2E+20</v>
      </c>
      <c r="I44">
        <v>0</v>
      </c>
      <c r="J44">
        <v>0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0</v>
      </c>
      <c r="U44">
        <f>IF((ContinuousStatsTable[[#This Row],[RepsRequested]]&gt;1),ContinuousStatsTable[[#This Row],[HalfWidth]],ContinuousStatsTable[[#This Row],[BatchMeansHalfWidth]])</f>
        <v>0</v>
      </c>
    </row>
    <row r="45" spans="1:21" x14ac:dyDescent="0.2">
      <c r="A45" t="s">
        <v>67</v>
      </c>
      <c r="B45" t="s">
        <v>70</v>
      </c>
      <c r="C45">
        <v>2</v>
      </c>
      <c r="D45" t="s">
        <v>91</v>
      </c>
      <c r="E45" t="s">
        <v>98</v>
      </c>
      <c r="F45" t="s">
        <v>73</v>
      </c>
      <c r="G45">
        <v>0</v>
      </c>
      <c r="H45">
        <v>2E+20</v>
      </c>
      <c r="I45">
        <v>0</v>
      </c>
      <c r="J45">
        <v>0</v>
      </c>
      <c r="K45">
        <v>0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0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0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0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2">
      <c r="A46" t="s">
        <v>67</v>
      </c>
      <c r="B46" t="s">
        <v>70</v>
      </c>
      <c r="C46">
        <v>2</v>
      </c>
      <c r="D46" t="s">
        <v>92</v>
      </c>
      <c r="E46" t="s">
        <v>98</v>
      </c>
      <c r="F46" t="s">
        <v>73</v>
      </c>
      <c r="G46">
        <v>0</v>
      </c>
      <c r="H46">
        <v>2E+20</v>
      </c>
      <c r="I46">
        <v>0</v>
      </c>
      <c r="J46">
        <v>0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0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0</v>
      </c>
      <c r="U46">
        <f>IF((ContinuousStatsTable[[#This Row],[RepsRequested]]&gt;1),ContinuousStatsTable[[#This Row],[HalfWidth]],ContinuousStatsTable[[#This Row],[BatchMeansHalfWidth]])</f>
        <v>0</v>
      </c>
    </row>
    <row r="47" spans="1:21" x14ac:dyDescent="0.2">
      <c r="A47" t="s">
        <v>67</v>
      </c>
      <c r="B47" t="s">
        <v>70</v>
      </c>
      <c r="C47">
        <v>2</v>
      </c>
      <c r="D47" t="s">
        <v>103</v>
      </c>
      <c r="E47" t="s">
        <v>94</v>
      </c>
      <c r="F47" t="s">
        <v>95</v>
      </c>
      <c r="G47">
        <v>8.61721786576886E-2</v>
      </c>
      <c r="H47">
        <v>2E+20</v>
      </c>
      <c r="I47">
        <v>0</v>
      </c>
      <c r="J47">
        <v>0.66666666666666696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7.7176470357846902E-2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9.2534326714405896E-2</v>
      </c>
      <c r="U47">
        <f>IF((ContinuousStatsTable[[#This Row],[RepsRequested]]&gt;1),ContinuousStatsTable[[#This Row],[HalfWidth]],ContinuousStatsTable[[#This Row],[BatchMeansHalfWidth]])</f>
        <v>1.3238327186697659E-3</v>
      </c>
    </row>
    <row r="48" spans="1:21" x14ac:dyDescent="0.2">
      <c r="A48" t="s">
        <v>67</v>
      </c>
      <c r="B48" t="s">
        <v>70</v>
      </c>
      <c r="C48">
        <v>2</v>
      </c>
      <c r="D48" t="s">
        <v>103</v>
      </c>
      <c r="E48" t="s">
        <v>96</v>
      </c>
      <c r="F48" t="s">
        <v>95</v>
      </c>
      <c r="G48">
        <v>0.25851653597306601</v>
      </c>
      <c r="H48">
        <v>2E+20</v>
      </c>
      <c r="I48">
        <v>0</v>
      </c>
      <c r="J48">
        <v>2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0.231529411073541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0.27760298014321699</v>
      </c>
      <c r="U48">
        <f>IF((ContinuousStatsTable[[#This Row],[RepsRequested]]&gt;1),ContinuousStatsTable[[#This Row],[HalfWidth]],ContinuousStatsTable[[#This Row],[BatchMeansHalfWidth]])</f>
        <v>3.9714981560092996E-3</v>
      </c>
    </row>
    <row r="49" spans="1:21" x14ac:dyDescent="0.2">
      <c r="A49" t="s">
        <v>67</v>
      </c>
      <c r="B49" t="s">
        <v>70</v>
      </c>
      <c r="C49">
        <v>2</v>
      </c>
      <c r="D49" t="s">
        <v>103</v>
      </c>
      <c r="E49" t="s">
        <v>97</v>
      </c>
      <c r="F49" t="s">
        <v>95</v>
      </c>
      <c r="G49">
        <v>3</v>
      </c>
      <c r="H49">
        <v>2E+20</v>
      </c>
      <c r="I49">
        <v>3</v>
      </c>
      <c r="J49">
        <v>3</v>
      </c>
      <c r="K49">
        <v>3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3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3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3</v>
      </c>
      <c r="U49">
        <f>IF((ContinuousStatsTable[[#This Row],[RepsRequested]]&gt;1),ContinuousStatsTable[[#This Row],[HalfWidth]],ContinuousStatsTable[[#This Row],[BatchMeansHalfWidth]])</f>
        <v>0</v>
      </c>
    </row>
    <row r="50" spans="1:21" x14ac:dyDescent="0.2">
      <c r="A50" t="s">
        <v>67</v>
      </c>
      <c r="B50" t="s">
        <v>70</v>
      </c>
      <c r="C50">
        <v>3</v>
      </c>
      <c r="D50" t="s">
        <v>93</v>
      </c>
      <c r="E50" t="s">
        <v>94</v>
      </c>
      <c r="F50" t="s">
        <v>95</v>
      </c>
      <c r="G50">
        <v>0.24561403508771901</v>
      </c>
      <c r="H50">
        <v>1.9884065535705299E-2</v>
      </c>
      <c r="I50">
        <v>0</v>
      </c>
      <c r="J50">
        <v>1</v>
      </c>
      <c r="K50">
        <v>0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0.233333333333333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0.27905535859326402</v>
      </c>
      <c r="U50">
        <f>IF((ContinuousStatsTable[[#This Row],[RepsRequested]]&gt;1),ContinuousStatsTable[[#This Row],[HalfWidth]],ContinuousStatsTable[[#This Row],[BatchMeansHalfWidth]])</f>
        <v>4.2029769261323026E-3</v>
      </c>
    </row>
    <row r="51" spans="1:21" x14ac:dyDescent="0.2">
      <c r="A51" t="s">
        <v>67</v>
      </c>
      <c r="B51" t="s">
        <v>70</v>
      </c>
      <c r="C51">
        <v>3</v>
      </c>
      <c r="D51" t="s">
        <v>93</v>
      </c>
      <c r="E51" t="s">
        <v>96</v>
      </c>
      <c r="F51" t="s">
        <v>95</v>
      </c>
      <c r="G51">
        <v>0.24561403508771901</v>
      </c>
      <c r="H51">
        <v>1.9884065535705299E-2</v>
      </c>
      <c r="I51">
        <v>0</v>
      </c>
      <c r="J51">
        <v>1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0.233333333333333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0.27905535859326402</v>
      </c>
      <c r="U51">
        <f>IF((ContinuousStatsTable[[#This Row],[RepsRequested]]&gt;1),ContinuousStatsTable[[#This Row],[HalfWidth]],ContinuousStatsTable[[#This Row],[BatchMeansHalfWidth]])</f>
        <v>4.2029769261323026E-3</v>
      </c>
    </row>
    <row r="52" spans="1:21" x14ac:dyDescent="0.2">
      <c r="A52" t="s">
        <v>67</v>
      </c>
      <c r="B52" t="s">
        <v>70</v>
      </c>
      <c r="C52">
        <v>3</v>
      </c>
      <c r="D52" t="s">
        <v>93</v>
      </c>
      <c r="E52" t="s">
        <v>97</v>
      </c>
      <c r="F52" t="s">
        <v>95</v>
      </c>
      <c r="G52">
        <v>1</v>
      </c>
      <c r="H52">
        <v>2E+20</v>
      </c>
      <c r="I52">
        <v>1</v>
      </c>
      <c r="J52">
        <v>1</v>
      </c>
      <c r="K52">
        <v>1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1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1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</v>
      </c>
      <c r="U52">
        <f>IF((ContinuousStatsTable[[#This Row],[RepsRequested]]&gt;1),ContinuousStatsTable[[#This Row],[HalfWidth]],ContinuousStatsTable[[#This Row],[BatchMeansHalfWidth]])</f>
        <v>0</v>
      </c>
    </row>
    <row r="53" spans="1:21" x14ac:dyDescent="0.2">
      <c r="A53" t="s">
        <v>67</v>
      </c>
      <c r="B53" t="s">
        <v>70</v>
      </c>
      <c r="C53">
        <v>3</v>
      </c>
      <c r="D53" t="s">
        <v>71</v>
      </c>
      <c r="E53" t="s">
        <v>98</v>
      </c>
      <c r="F53" t="s">
        <v>73</v>
      </c>
      <c r="G53">
        <v>2.86287694338218E-2</v>
      </c>
      <c r="H53">
        <v>2E+20</v>
      </c>
      <c r="I53">
        <v>0</v>
      </c>
      <c r="J53">
        <v>2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1.9664517785186901E-2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3.9738966906982302E-2</v>
      </c>
      <c r="U53">
        <f>IF((ContinuousStatsTable[[#This Row],[RepsRequested]]&gt;1),ContinuousStatsTable[[#This Row],[HalfWidth]],ContinuousStatsTable[[#This Row],[BatchMeansHalfWidth]])</f>
        <v>1.6627262085570247E-3</v>
      </c>
    </row>
    <row r="54" spans="1:21" x14ac:dyDescent="0.2">
      <c r="A54" t="s">
        <v>67</v>
      </c>
      <c r="B54" t="s">
        <v>70</v>
      </c>
      <c r="C54">
        <v>3</v>
      </c>
      <c r="D54" t="s">
        <v>99</v>
      </c>
      <c r="E54" t="s">
        <v>94</v>
      </c>
      <c r="F54" t="s">
        <v>95</v>
      </c>
      <c r="G54">
        <v>0.62199892977198901</v>
      </c>
      <c r="H54">
        <v>2E+20</v>
      </c>
      <c r="I54">
        <v>0</v>
      </c>
      <c r="J54">
        <v>1</v>
      </c>
      <c r="K54">
        <v>1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0.58256422876290004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0.68643238055161704</v>
      </c>
      <c r="U54">
        <f>IF((ContinuousStatsTable[[#This Row],[RepsRequested]]&gt;1),ContinuousStatsTable[[#This Row],[HalfWidth]],ContinuousStatsTable[[#This Row],[BatchMeansHalfWidth]])</f>
        <v>9.8490003000806757E-3</v>
      </c>
    </row>
    <row r="55" spans="1:21" x14ac:dyDescent="0.2">
      <c r="A55" t="s">
        <v>67</v>
      </c>
      <c r="B55" t="s">
        <v>70</v>
      </c>
      <c r="C55">
        <v>3</v>
      </c>
      <c r="D55" t="s">
        <v>99</v>
      </c>
      <c r="E55" t="s">
        <v>96</v>
      </c>
      <c r="F55" t="s">
        <v>95</v>
      </c>
      <c r="G55">
        <v>1.24399785954398</v>
      </c>
      <c r="H55">
        <v>2E+20</v>
      </c>
      <c r="I55">
        <v>0</v>
      </c>
      <c r="J55">
        <v>2</v>
      </c>
      <c r="K55">
        <v>2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1.1651284575258001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1.3728647611032301</v>
      </c>
      <c r="U55">
        <f>IF((ContinuousStatsTable[[#This Row],[RepsRequested]]&gt;1),ContinuousStatsTable[[#This Row],[HalfWidth]],ContinuousStatsTable[[#This Row],[BatchMeansHalfWidth]])</f>
        <v>1.9698000600160998E-2</v>
      </c>
    </row>
    <row r="56" spans="1:21" x14ac:dyDescent="0.2">
      <c r="A56" t="s">
        <v>67</v>
      </c>
      <c r="B56" t="s">
        <v>70</v>
      </c>
      <c r="C56">
        <v>3</v>
      </c>
      <c r="D56" t="s">
        <v>99</v>
      </c>
      <c r="E56" t="s">
        <v>97</v>
      </c>
      <c r="F56" t="s">
        <v>95</v>
      </c>
      <c r="G56">
        <v>2</v>
      </c>
      <c r="H56">
        <v>2E+20</v>
      </c>
      <c r="I56">
        <v>2</v>
      </c>
      <c r="J56">
        <v>2</v>
      </c>
      <c r="K56">
        <v>2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2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2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2</v>
      </c>
      <c r="U56">
        <f>IF((ContinuousStatsTable[[#This Row],[RepsRequested]]&gt;1),ContinuousStatsTable[[#This Row],[HalfWidth]],ContinuousStatsTable[[#This Row],[BatchMeansHalfWidth]])</f>
        <v>0</v>
      </c>
    </row>
    <row r="57" spans="1:21" x14ac:dyDescent="0.2">
      <c r="A57" t="s">
        <v>67</v>
      </c>
      <c r="B57" t="s">
        <v>70</v>
      </c>
      <c r="C57">
        <v>3</v>
      </c>
      <c r="D57" t="s">
        <v>74</v>
      </c>
      <c r="E57" t="s">
        <v>100</v>
      </c>
      <c r="F57" t="s">
        <v>76</v>
      </c>
      <c r="G57">
        <v>15.1907261691422</v>
      </c>
      <c r="H57">
        <v>1.1847295901143899</v>
      </c>
      <c r="I57">
        <v>3</v>
      </c>
      <c r="J57">
        <v>31</v>
      </c>
      <c r="K57">
        <v>20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14.4112589759764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16.972707717517899</v>
      </c>
      <c r="U57">
        <f>IF((ContinuousStatsTable[[#This Row],[RepsRequested]]&gt;1),ContinuousStatsTable[[#This Row],[HalfWidth]],ContinuousStatsTable[[#This Row],[BatchMeansHalfWidth]])</f>
        <v>0.25870181881670146</v>
      </c>
    </row>
    <row r="58" spans="1:21" x14ac:dyDescent="0.2">
      <c r="A58" t="s">
        <v>67</v>
      </c>
      <c r="B58" t="s">
        <v>70</v>
      </c>
      <c r="C58">
        <v>3</v>
      </c>
      <c r="D58" t="s">
        <v>82</v>
      </c>
      <c r="E58" t="s">
        <v>98</v>
      </c>
      <c r="F58" t="s">
        <v>73</v>
      </c>
      <c r="G58">
        <v>0.17570448141535699</v>
      </c>
      <c r="H58">
        <v>2E+20</v>
      </c>
      <c r="I58">
        <v>0</v>
      </c>
      <c r="J58">
        <v>3</v>
      </c>
      <c r="K58">
        <v>0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7.4406608295854798E-2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0.29874320707386398</v>
      </c>
      <c r="U58">
        <f>IF((ContinuousStatsTable[[#This Row],[RepsRequested]]&gt;1),ContinuousStatsTable[[#This Row],[HalfWidth]],ContinuousStatsTable[[#This Row],[BatchMeansHalfWidth]])</f>
        <v>2.0058204231149332E-2</v>
      </c>
    </row>
    <row r="59" spans="1:21" x14ac:dyDescent="0.2">
      <c r="A59" t="s">
        <v>67</v>
      </c>
      <c r="B59" t="s">
        <v>70</v>
      </c>
      <c r="C59">
        <v>3</v>
      </c>
      <c r="D59" t="s">
        <v>101</v>
      </c>
      <c r="E59" t="s">
        <v>94</v>
      </c>
      <c r="F59" t="s">
        <v>95</v>
      </c>
      <c r="G59">
        <v>1.93275207382834E-3</v>
      </c>
      <c r="H59">
        <v>2.0762865633844701E-4</v>
      </c>
      <c r="I59">
        <v>0</v>
      </c>
      <c r="J59">
        <v>3.7499999999999999E-2</v>
      </c>
      <c r="K59">
        <v>1.2500000000000001E-2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1.70504385964912E-3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2.17031677925951E-3</v>
      </c>
      <c r="U59">
        <f>IF((ContinuousStatsTable[[#This Row],[RepsRequested]]&gt;1),ContinuousStatsTable[[#This Row],[HalfWidth]],ContinuousStatsTable[[#This Row],[BatchMeansHalfWidth]])</f>
        <v>4.4865881583116605E-5</v>
      </c>
    </row>
    <row r="60" spans="1:21" x14ac:dyDescent="0.2">
      <c r="A60" t="s">
        <v>67</v>
      </c>
      <c r="B60" t="s">
        <v>70</v>
      </c>
      <c r="C60">
        <v>3</v>
      </c>
      <c r="D60" t="s">
        <v>101</v>
      </c>
      <c r="E60" t="s">
        <v>96</v>
      </c>
      <c r="F60" t="s">
        <v>95</v>
      </c>
      <c r="G60">
        <v>0.15462016590626701</v>
      </c>
      <c r="H60">
        <v>1.66102925070758E-2</v>
      </c>
      <c r="I60">
        <v>0</v>
      </c>
      <c r="J60">
        <v>3</v>
      </c>
      <c r="K60">
        <v>1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0.13640350877193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0.17362534234076099</v>
      </c>
      <c r="U60">
        <f>IF((ContinuousStatsTable[[#This Row],[RepsRequested]]&gt;1),ContinuousStatsTable[[#This Row],[HalfWidth]],ContinuousStatsTable[[#This Row],[BatchMeansHalfWidth]])</f>
        <v>3.5892705266493139E-3</v>
      </c>
    </row>
    <row r="61" spans="1:21" x14ac:dyDescent="0.2">
      <c r="A61" t="s">
        <v>67</v>
      </c>
      <c r="B61" t="s">
        <v>70</v>
      </c>
      <c r="C61">
        <v>3</v>
      </c>
      <c r="D61" t="s">
        <v>101</v>
      </c>
      <c r="E61" t="s">
        <v>97</v>
      </c>
      <c r="F61" t="s">
        <v>95</v>
      </c>
      <c r="G61">
        <v>80</v>
      </c>
      <c r="H61">
        <v>2E+20</v>
      </c>
      <c r="I61">
        <v>80</v>
      </c>
      <c r="J61">
        <v>80</v>
      </c>
      <c r="K61">
        <v>80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80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80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80</v>
      </c>
      <c r="U61">
        <f>IF((ContinuousStatsTable[[#This Row],[RepsRequested]]&gt;1),ContinuousStatsTable[[#This Row],[HalfWidth]],ContinuousStatsTable[[#This Row],[BatchMeansHalfWidth]])</f>
        <v>0</v>
      </c>
    </row>
    <row r="62" spans="1:21" x14ac:dyDescent="0.2">
      <c r="A62" t="s">
        <v>67</v>
      </c>
      <c r="B62" t="s">
        <v>70</v>
      </c>
      <c r="C62">
        <v>3</v>
      </c>
      <c r="D62" t="s">
        <v>86</v>
      </c>
      <c r="E62" t="s">
        <v>98</v>
      </c>
      <c r="F62" t="s">
        <v>73</v>
      </c>
      <c r="G62">
        <v>0</v>
      </c>
      <c r="H62">
        <v>2E+20</v>
      </c>
      <c r="I62">
        <v>0</v>
      </c>
      <c r="J62">
        <v>0</v>
      </c>
      <c r="K62">
        <v>0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0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0</v>
      </c>
      <c r="U62">
        <f>IF((ContinuousStatsTable[[#This Row],[RepsRequested]]&gt;1),ContinuousStatsTable[[#This Row],[HalfWidth]],ContinuousStatsTable[[#This Row],[BatchMeansHalfWidth]])</f>
        <v>0</v>
      </c>
    </row>
    <row r="63" spans="1:21" x14ac:dyDescent="0.2">
      <c r="A63" t="s">
        <v>67</v>
      </c>
      <c r="B63" t="s">
        <v>70</v>
      </c>
      <c r="C63">
        <v>3</v>
      </c>
      <c r="D63" t="s">
        <v>87</v>
      </c>
      <c r="E63" t="s">
        <v>98</v>
      </c>
      <c r="F63" t="s">
        <v>73</v>
      </c>
      <c r="G63">
        <v>0</v>
      </c>
      <c r="H63">
        <v>2E+20</v>
      </c>
      <c r="I63">
        <v>0</v>
      </c>
      <c r="J63">
        <v>0</v>
      </c>
      <c r="K63">
        <v>0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0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</v>
      </c>
      <c r="U63">
        <f>IF((ContinuousStatsTable[[#This Row],[RepsRequested]]&gt;1),ContinuousStatsTable[[#This Row],[HalfWidth]],ContinuousStatsTable[[#This Row],[BatchMeansHalfWidth]])</f>
        <v>0</v>
      </c>
    </row>
    <row r="64" spans="1:21" x14ac:dyDescent="0.2">
      <c r="A64" t="s">
        <v>67</v>
      </c>
      <c r="B64" t="s">
        <v>70</v>
      </c>
      <c r="C64">
        <v>3</v>
      </c>
      <c r="D64" t="s">
        <v>88</v>
      </c>
      <c r="E64" t="s">
        <v>98</v>
      </c>
      <c r="F64" t="s">
        <v>73</v>
      </c>
      <c r="G64">
        <v>1.4894161390115299</v>
      </c>
      <c r="H64">
        <v>0.114303878123901</v>
      </c>
      <c r="I64">
        <v>0</v>
      </c>
      <c r="J64">
        <v>4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1.4062336911317099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1.5889769030929</v>
      </c>
      <c r="U64">
        <f>IF((ContinuousStatsTable[[#This Row],[RepsRequested]]&gt;1),ContinuousStatsTable[[#This Row],[HalfWidth]],ContinuousStatsTable[[#This Row],[BatchMeansHalfWidth]])</f>
        <v>1.602866983772662E-2</v>
      </c>
    </row>
    <row r="65" spans="1:21" x14ac:dyDescent="0.2">
      <c r="A65" t="s">
        <v>67</v>
      </c>
      <c r="B65" t="s">
        <v>70</v>
      </c>
      <c r="C65">
        <v>3</v>
      </c>
      <c r="D65" t="s">
        <v>102</v>
      </c>
      <c r="E65" t="s">
        <v>94</v>
      </c>
      <c r="F65" t="s">
        <v>95</v>
      </c>
      <c r="G65">
        <v>4.6271929824561403E-3</v>
      </c>
      <c r="H65">
        <v>3E+20</v>
      </c>
      <c r="I65">
        <v>0</v>
      </c>
      <c r="J65">
        <v>0.15</v>
      </c>
      <c r="K65">
        <v>0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4.4956140350877203E-3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5.5482456140350904E-3</v>
      </c>
      <c r="U65">
        <f>IF((ContinuousStatsTable[[#This Row],[RepsRequested]]&gt;1),ContinuousStatsTable[[#This Row],[HalfWidth]],ContinuousStatsTable[[#This Row],[BatchMeansHalfWidth]])</f>
        <v>1.0144486472958472E-4</v>
      </c>
    </row>
    <row r="66" spans="1:21" x14ac:dyDescent="0.2">
      <c r="A66" t="s">
        <v>67</v>
      </c>
      <c r="B66" t="s">
        <v>70</v>
      </c>
      <c r="C66">
        <v>3</v>
      </c>
      <c r="D66" t="s">
        <v>102</v>
      </c>
      <c r="E66" t="s">
        <v>96</v>
      </c>
      <c r="F66" t="s">
        <v>95</v>
      </c>
      <c r="G66">
        <v>9.2543859649122803E-2</v>
      </c>
      <c r="H66">
        <v>3E+20</v>
      </c>
      <c r="I66">
        <v>0</v>
      </c>
      <c r="J66">
        <v>3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8.9912280701754305E-2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0.110964912280702</v>
      </c>
      <c r="U66">
        <f>IF((ContinuousStatsTable[[#This Row],[RepsRequested]]&gt;1),ContinuousStatsTable[[#This Row],[HalfWidth]],ContinuousStatsTable[[#This Row],[BatchMeansHalfWidth]])</f>
        <v>2.0288972945916956E-3</v>
      </c>
    </row>
    <row r="67" spans="1:21" x14ac:dyDescent="0.2">
      <c r="A67" t="s">
        <v>67</v>
      </c>
      <c r="B67" t="s">
        <v>70</v>
      </c>
      <c r="C67">
        <v>3</v>
      </c>
      <c r="D67" t="s">
        <v>102</v>
      </c>
      <c r="E67" t="s">
        <v>97</v>
      </c>
      <c r="F67" t="s">
        <v>95</v>
      </c>
      <c r="G67">
        <v>20</v>
      </c>
      <c r="H67">
        <v>2E+20</v>
      </c>
      <c r="I67">
        <v>20</v>
      </c>
      <c r="J67">
        <v>20</v>
      </c>
      <c r="K67">
        <v>20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20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20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20</v>
      </c>
      <c r="U67">
        <f>IF((ContinuousStatsTable[[#This Row],[RepsRequested]]&gt;1),ContinuousStatsTable[[#This Row],[HalfWidth]],ContinuousStatsTable[[#This Row],[BatchMeansHalfWidth]])</f>
        <v>0</v>
      </c>
    </row>
    <row r="68" spans="1:21" x14ac:dyDescent="0.2">
      <c r="A68" t="s">
        <v>67</v>
      </c>
      <c r="B68" t="s">
        <v>70</v>
      </c>
      <c r="C68">
        <v>3</v>
      </c>
      <c r="D68" t="s">
        <v>90</v>
      </c>
      <c r="E68" t="s">
        <v>98</v>
      </c>
      <c r="F68" t="s">
        <v>73</v>
      </c>
      <c r="G68">
        <v>0</v>
      </c>
      <c r="H68">
        <v>2E+20</v>
      </c>
      <c r="I68">
        <v>0</v>
      </c>
      <c r="J68">
        <v>0</v>
      </c>
      <c r="K68">
        <v>0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0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</v>
      </c>
      <c r="U68">
        <f>IF((ContinuousStatsTable[[#This Row],[RepsRequested]]&gt;1),ContinuousStatsTable[[#This Row],[HalfWidth]],ContinuousStatsTable[[#This Row],[BatchMeansHalfWidth]])</f>
        <v>0</v>
      </c>
    </row>
    <row r="69" spans="1:21" x14ac:dyDescent="0.2">
      <c r="A69" t="s">
        <v>67</v>
      </c>
      <c r="B69" t="s">
        <v>70</v>
      </c>
      <c r="C69">
        <v>3</v>
      </c>
      <c r="D69" t="s">
        <v>91</v>
      </c>
      <c r="E69" t="s">
        <v>98</v>
      </c>
      <c r="F69" t="s">
        <v>73</v>
      </c>
      <c r="G69">
        <v>0</v>
      </c>
      <c r="H69">
        <v>2E+20</v>
      </c>
      <c r="I69">
        <v>0</v>
      </c>
      <c r="J69">
        <v>0</v>
      </c>
      <c r="K69">
        <v>0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0</v>
      </c>
      <c r="U69">
        <f>IF((ContinuousStatsTable[[#This Row],[RepsRequested]]&gt;1),ContinuousStatsTable[[#This Row],[HalfWidth]],ContinuousStatsTable[[#This Row],[BatchMeansHalfWidth]])</f>
        <v>0</v>
      </c>
    </row>
    <row r="70" spans="1:21" x14ac:dyDescent="0.2">
      <c r="A70" t="s">
        <v>67</v>
      </c>
      <c r="B70" t="s">
        <v>70</v>
      </c>
      <c r="C70">
        <v>3</v>
      </c>
      <c r="D70" t="s">
        <v>92</v>
      </c>
      <c r="E70" t="s">
        <v>98</v>
      </c>
      <c r="F70" t="s">
        <v>73</v>
      </c>
      <c r="G70">
        <v>0</v>
      </c>
      <c r="H70">
        <v>2E+20</v>
      </c>
      <c r="I70">
        <v>0</v>
      </c>
      <c r="J70">
        <v>0</v>
      </c>
      <c r="K70">
        <v>0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0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0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0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2">
      <c r="A71" t="s">
        <v>67</v>
      </c>
      <c r="B71" t="s">
        <v>70</v>
      </c>
      <c r="C71">
        <v>3</v>
      </c>
      <c r="D71" t="s">
        <v>103</v>
      </c>
      <c r="E71" t="s">
        <v>94</v>
      </c>
      <c r="F71" t="s">
        <v>95</v>
      </c>
      <c r="G71">
        <v>8.3531569820383497E-2</v>
      </c>
      <c r="H71">
        <v>2E+20</v>
      </c>
      <c r="I71">
        <v>0</v>
      </c>
      <c r="J71">
        <v>0.66666666666666696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7.7176470357846902E-2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9.2534326714405896E-2</v>
      </c>
      <c r="U71">
        <f>IF((ContinuousStatsTable[[#This Row],[RepsRequested]]&gt;1),ContinuousStatsTable[[#This Row],[HalfWidth]],ContinuousStatsTable[[#This Row],[BatchMeansHalfWidth]])</f>
        <v>1.3238327186697659E-3</v>
      </c>
    </row>
    <row r="72" spans="1:21" x14ac:dyDescent="0.2">
      <c r="A72" t="s">
        <v>67</v>
      </c>
      <c r="B72" t="s">
        <v>70</v>
      </c>
      <c r="C72">
        <v>3</v>
      </c>
      <c r="D72" t="s">
        <v>103</v>
      </c>
      <c r="E72" t="s">
        <v>96</v>
      </c>
      <c r="F72" t="s">
        <v>95</v>
      </c>
      <c r="G72">
        <v>0.25059470946114998</v>
      </c>
      <c r="H72">
        <v>2E+20</v>
      </c>
      <c r="I72">
        <v>0</v>
      </c>
      <c r="J72">
        <v>2</v>
      </c>
      <c r="K72">
        <v>0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0.231529411073541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0.27760298014321699</v>
      </c>
      <c r="U72">
        <f>IF((ContinuousStatsTable[[#This Row],[RepsRequested]]&gt;1),ContinuousStatsTable[[#This Row],[HalfWidth]],ContinuousStatsTable[[#This Row],[BatchMeansHalfWidth]])</f>
        <v>3.9714981560092996E-3</v>
      </c>
    </row>
    <row r="73" spans="1:21" x14ac:dyDescent="0.2">
      <c r="A73" t="s">
        <v>67</v>
      </c>
      <c r="B73" t="s">
        <v>70</v>
      </c>
      <c r="C73">
        <v>3</v>
      </c>
      <c r="D73" t="s">
        <v>103</v>
      </c>
      <c r="E73" t="s">
        <v>97</v>
      </c>
      <c r="F73" t="s">
        <v>95</v>
      </c>
      <c r="G73">
        <v>3</v>
      </c>
      <c r="H73">
        <v>2E+20</v>
      </c>
      <c r="I73">
        <v>3</v>
      </c>
      <c r="J73">
        <v>3</v>
      </c>
      <c r="K73">
        <v>3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3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0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3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3</v>
      </c>
      <c r="U73">
        <f>IF((ContinuousStatsTable[[#This Row],[RepsRequested]]&gt;1),ContinuousStatsTable[[#This Row],[HalfWidth]],ContinuousStatsTable[[#This Row],[BatchMeansHalfWidth]])</f>
        <v>0</v>
      </c>
    </row>
    <row r="74" spans="1:21" x14ac:dyDescent="0.2">
      <c r="A74" t="s">
        <v>67</v>
      </c>
      <c r="B74" t="s">
        <v>70</v>
      </c>
      <c r="C74">
        <v>4</v>
      </c>
      <c r="D74" t="s">
        <v>93</v>
      </c>
      <c r="E74" t="s">
        <v>94</v>
      </c>
      <c r="F74" t="s">
        <v>95</v>
      </c>
      <c r="G74">
        <v>0.27192982456140302</v>
      </c>
      <c r="H74">
        <v>1.81523432421354E-2</v>
      </c>
      <c r="I74">
        <v>0</v>
      </c>
      <c r="J74">
        <v>1</v>
      </c>
      <c r="K74">
        <v>0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0.233333333333333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0.27905535859326402</v>
      </c>
      <c r="U74">
        <f>IF((ContinuousStatsTable[[#This Row],[RepsRequested]]&gt;1),ContinuousStatsTable[[#This Row],[HalfWidth]],ContinuousStatsTable[[#This Row],[BatchMeansHalfWidth]])</f>
        <v>4.2029769261323026E-3</v>
      </c>
    </row>
    <row r="75" spans="1:21" x14ac:dyDescent="0.2">
      <c r="A75" t="s">
        <v>67</v>
      </c>
      <c r="B75" t="s">
        <v>70</v>
      </c>
      <c r="C75">
        <v>4</v>
      </c>
      <c r="D75" t="s">
        <v>93</v>
      </c>
      <c r="E75" t="s">
        <v>96</v>
      </c>
      <c r="F75" t="s">
        <v>95</v>
      </c>
      <c r="G75">
        <v>0.27192982456140302</v>
      </c>
      <c r="H75">
        <v>1.81523432421354E-2</v>
      </c>
      <c r="I75">
        <v>0</v>
      </c>
      <c r="J75">
        <v>1</v>
      </c>
      <c r="K75">
        <v>0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0.233333333333333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0.27905535859326402</v>
      </c>
      <c r="U75">
        <f>IF((ContinuousStatsTable[[#This Row],[RepsRequested]]&gt;1),ContinuousStatsTable[[#This Row],[HalfWidth]],ContinuousStatsTable[[#This Row],[BatchMeansHalfWidth]])</f>
        <v>4.2029769261323026E-3</v>
      </c>
    </row>
    <row r="76" spans="1:21" x14ac:dyDescent="0.2">
      <c r="A76" t="s">
        <v>67</v>
      </c>
      <c r="B76" t="s">
        <v>70</v>
      </c>
      <c r="C76">
        <v>4</v>
      </c>
      <c r="D76" t="s">
        <v>93</v>
      </c>
      <c r="E76" t="s">
        <v>97</v>
      </c>
      <c r="F76" t="s">
        <v>95</v>
      </c>
      <c r="G76">
        <v>1</v>
      </c>
      <c r="H76">
        <v>2E+20</v>
      </c>
      <c r="I76">
        <v>1</v>
      </c>
      <c r="J76">
        <v>1</v>
      </c>
      <c r="K76">
        <v>1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1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1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1</v>
      </c>
      <c r="U76">
        <f>IF((ContinuousStatsTable[[#This Row],[RepsRequested]]&gt;1),ContinuousStatsTable[[#This Row],[HalfWidth]],ContinuousStatsTable[[#This Row],[BatchMeansHalfWidth]])</f>
        <v>0</v>
      </c>
    </row>
    <row r="77" spans="1:21" x14ac:dyDescent="0.2">
      <c r="A77" t="s">
        <v>67</v>
      </c>
      <c r="B77" t="s">
        <v>70</v>
      </c>
      <c r="C77">
        <v>4</v>
      </c>
      <c r="D77" t="s">
        <v>71</v>
      </c>
      <c r="E77" t="s">
        <v>98</v>
      </c>
      <c r="F77" t="s">
        <v>73</v>
      </c>
      <c r="G77">
        <v>3.6133235658555599E-2</v>
      </c>
      <c r="H77">
        <v>2E+20</v>
      </c>
      <c r="I77">
        <v>0</v>
      </c>
      <c r="J77">
        <v>2</v>
      </c>
      <c r="K77">
        <v>0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1.9664517785186901E-2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3.9738966906982302E-2</v>
      </c>
      <c r="U77">
        <f>IF((ContinuousStatsTable[[#This Row],[RepsRequested]]&gt;1),ContinuousStatsTable[[#This Row],[HalfWidth]],ContinuousStatsTable[[#This Row],[BatchMeansHalfWidth]])</f>
        <v>1.6627262085570247E-3</v>
      </c>
    </row>
    <row r="78" spans="1:21" x14ac:dyDescent="0.2">
      <c r="A78" t="s">
        <v>67</v>
      </c>
      <c r="B78" t="s">
        <v>70</v>
      </c>
      <c r="C78">
        <v>4</v>
      </c>
      <c r="D78" t="s">
        <v>99</v>
      </c>
      <c r="E78" t="s">
        <v>94</v>
      </c>
      <c r="F78" t="s">
        <v>95</v>
      </c>
      <c r="G78">
        <v>0.68643238055161704</v>
      </c>
      <c r="H78">
        <v>2E+20</v>
      </c>
      <c r="I78">
        <v>0</v>
      </c>
      <c r="J78">
        <v>1</v>
      </c>
      <c r="K78">
        <v>1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0.58256422876290004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0.68643238055161704</v>
      </c>
      <c r="U78">
        <f>IF((ContinuousStatsTable[[#This Row],[RepsRequested]]&gt;1),ContinuousStatsTable[[#This Row],[HalfWidth]],ContinuousStatsTable[[#This Row],[BatchMeansHalfWidth]])</f>
        <v>9.8490003000806757E-3</v>
      </c>
    </row>
    <row r="79" spans="1:21" x14ac:dyDescent="0.2">
      <c r="A79" t="s">
        <v>67</v>
      </c>
      <c r="B79" t="s">
        <v>70</v>
      </c>
      <c r="C79">
        <v>4</v>
      </c>
      <c r="D79" t="s">
        <v>99</v>
      </c>
      <c r="E79" t="s">
        <v>96</v>
      </c>
      <c r="F79" t="s">
        <v>95</v>
      </c>
      <c r="G79">
        <v>1.3728647611032301</v>
      </c>
      <c r="H79">
        <v>2E+20</v>
      </c>
      <c r="I79">
        <v>0</v>
      </c>
      <c r="J79">
        <v>2</v>
      </c>
      <c r="K79">
        <v>2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1.1651284575258001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1.3728647611032301</v>
      </c>
      <c r="U79">
        <f>IF((ContinuousStatsTable[[#This Row],[RepsRequested]]&gt;1),ContinuousStatsTable[[#This Row],[HalfWidth]],ContinuousStatsTable[[#This Row],[BatchMeansHalfWidth]])</f>
        <v>1.9698000600160998E-2</v>
      </c>
    </row>
    <row r="80" spans="1:21" x14ac:dyDescent="0.2">
      <c r="A80" t="s">
        <v>67</v>
      </c>
      <c r="B80" t="s">
        <v>70</v>
      </c>
      <c r="C80">
        <v>4</v>
      </c>
      <c r="D80" t="s">
        <v>99</v>
      </c>
      <c r="E80" t="s">
        <v>97</v>
      </c>
      <c r="F80" t="s">
        <v>95</v>
      </c>
      <c r="G80">
        <v>2</v>
      </c>
      <c r="H80">
        <v>2E+20</v>
      </c>
      <c r="I80">
        <v>2</v>
      </c>
      <c r="J80">
        <v>2</v>
      </c>
      <c r="K80">
        <v>2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2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2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2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2">
      <c r="A81" t="s">
        <v>67</v>
      </c>
      <c r="B81" t="s">
        <v>70</v>
      </c>
      <c r="C81">
        <v>4</v>
      </c>
      <c r="D81" t="s">
        <v>74</v>
      </c>
      <c r="E81" t="s">
        <v>100</v>
      </c>
      <c r="F81" t="s">
        <v>76</v>
      </c>
      <c r="G81">
        <v>16.787853024655298</v>
      </c>
      <c r="H81">
        <v>1.10209392966092</v>
      </c>
      <c r="I81">
        <v>6</v>
      </c>
      <c r="J81">
        <v>31</v>
      </c>
      <c r="K81">
        <v>24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14.4112589759764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16.972707717517899</v>
      </c>
      <c r="U81">
        <f>IF((ContinuousStatsTable[[#This Row],[RepsRequested]]&gt;1),ContinuousStatsTable[[#This Row],[HalfWidth]],ContinuousStatsTable[[#This Row],[BatchMeansHalfWidth]])</f>
        <v>0.25870181881670146</v>
      </c>
    </row>
    <row r="82" spans="1:21" x14ac:dyDescent="0.2">
      <c r="A82" t="s">
        <v>67</v>
      </c>
      <c r="B82" t="s">
        <v>70</v>
      </c>
      <c r="C82">
        <v>4</v>
      </c>
      <c r="D82" t="s">
        <v>82</v>
      </c>
      <c r="E82" t="s">
        <v>98</v>
      </c>
      <c r="F82" t="s">
        <v>73</v>
      </c>
      <c r="G82">
        <v>0.230431069808293</v>
      </c>
      <c r="H82">
        <v>2E+20</v>
      </c>
      <c r="I82">
        <v>0</v>
      </c>
      <c r="J82">
        <v>4</v>
      </c>
      <c r="K82">
        <v>0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7.4406608295854798E-2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0.29874320707386398</v>
      </c>
      <c r="U82">
        <f>IF((ContinuousStatsTable[[#This Row],[RepsRequested]]&gt;1),ContinuousStatsTable[[#This Row],[HalfWidth]],ContinuousStatsTable[[#This Row],[BatchMeansHalfWidth]])</f>
        <v>2.0058204231149332E-2</v>
      </c>
    </row>
    <row r="83" spans="1:21" x14ac:dyDescent="0.2">
      <c r="A83" t="s">
        <v>67</v>
      </c>
      <c r="B83" t="s">
        <v>70</v>
      </c>
      <c r="C83">
        <v>4</v>
      </c>
      <c r="D83" t="s">
        <v>101</v>
      </c>
      <c r="E83" t="s">
        <v>94</v>
      </c>
      <c r="F83" t="s">
        <v>95</v>
      </c>
      <c r="G83">
        <v>2.17031677925951E-3</v>
      </c>
      <c r="H83">
        <v>2.05945646202929E-4</v>
      </c>
      <c r="I83">
        <v>0</v>
      </c>
      <c r="J83">
        <v>3.7499999999999999E-2</v>
      </c>
      <c r="K83">
        <v>1.2500000000000001E-2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1.70504385964912E-3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2.17031677925951E-3</v>
      </c>
      <c r="U83">
        <f>IF((ContinuousStatsTable[[#This Row],[RepsRequested]]&gt;1),ContinuousStatsTable[[#This Row],[HalfWidth]],ContinuousStatsTable[[#This Row],[BatchMeansHalfWidth]])</f>
        <v>4.4865881583116605E-5</v>
      </c>
    </row>
    <row r="84" spans="1:21" x14ac:dyDescent="0.2">
      <c r="A84" t="s">
        <v>67</v>
      </c>
      <c r="B84" t="s">
        <v>70</v>
      </c>
      <c r="C84">
        <v>4</v>
      </c>
      <c r="D84" t="s">
        <v>101</v>
      </c>
      <c r="E84" t="s">
        <v>96</v>
      </c>
      <c r="F84" t="s">
        <v>95</v>
      </c>
      <c r="G84">
        <v>0.17362534234076099</v>
      </c>
      <c r="H84">
        <v>1.64756516962343E-2</v>
      </c>
      <c r="I84">
        <v>0</v>
      </c>
      <c r="J84">
        <v>3</v>
      </c>
      <c r="K84">
        <v>1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0.13640350877193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0.17362534234076099</v>
      </c>
      <c r="U84">
        <f>IF((ContinuousStatsTable[[#This Row],[RepsRequested]]&gt;1),ContinuousStatsTable[[#This Row],[HalfWidth]],ContinuousStatsTable[[#This Row],[BatchMeansHalfWidth]])</f>
        <v>3.5892705266493139E-3</v>
      </c>
    </row>
    <row r="85" spans="1:21" x14ac:dyDescent="0.2">
      <c r="A85" t="s">
        <v>67</v>
      </c>
      <c r="B85" t="s">
        <v>70</v>
      </c>
      <c r="C85">
        <v>4</v>
      </c>
      <c r="D85" t="s">
        <v>101</v>
      </c>
      <c r="E85" t="s">
        <v>97</v>
      </c>
      <c r="F85" t="s">
        <v>95</v>
      </c>
      <c r="G85">
        <v>80</v>
      </c>
      <c r="H85">
        <v>2E+20</v>
      </c>
      <c r="I85">
        <v>80</v>
      </c>
      <c r="J85">
        <v>80</v>
      </c>
      <c r="K85">
        <v>80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80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80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80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2">
      <c r="A86" t="s">
        <v>67</v>
      </c>
      <c r="B86" t="s">
        <v>70</v>
      </c>
      <c r="C86">
        <v>4</v>
      </c>
      <c r="D86" t="s">
        <v>86</v>
      </c>
      <c r="E86" t="s">
        <v>98</v>
      </c>
      <c r="F86" t="s">
        <v>73</v>
      </c>
      <c r="G86">
        <v>0</v>
      </c>
      <c r="H86">
        <v>2E+20</v>
      </c>
      <c r="I86">
        <v>0</v>
      </c>
      <c r="J86">
        <v>0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0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0</v>
      </c>
      <c r="U86">
        <f>IF((ContinuousStatsTable[[#This Row],[RepsRequested]]&gt;1),ContinuousStatsTable[[#This Row],[HalfWidth]],ContinuousStatsTable[[#This Row],[BatchMeansHalfWidth]])</f>
        <v>0</v>
      </c>
    </row>
    <row r="87" spans="1:21" x14ac:dyDescent="0.2">
      <c r="A87" t="s">
        <v>67</v>
      </c>
      <c r="B87" t="s">
        <v>70</v>
      </c>
      <c r="C87">
        <v>4</v>
      </c>
      <c r="D87" t="s">
        <v>87</v>
      </c>
      <c r="E87" t="s">
        <v>98</v>
      </c>
      <c r="F87" t="s">
        <v>73</v>
      </c>
      <c r="G87">
        <v>0</v>
      </c>
      <c r="H87">
        <v>2E+20</v>
      </c>
      <c r="I87">
        <v>0</v>
      </c>
      <c r="J87">
        <v>0</v>
      </c>
      <c r="K87">
        <v>0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0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0</v>
      </c>
      <c r="U87">
        <f>IF((ContinuousStatsTable[[#This Row],[RepsRequested]]&gt;1),ContinuousStatsTable[[#This Row],[HalfWidth]],ContinuousStatsTable[[#This Row],[BatchMeansHalfWidth]])</f>
        <v>0</v>
      </c>
    </row>
    <row r="88" spans="1:21" x14ac:dyDescent="0.2">
      <c r="A88" t="s">
        <v>67</v>
      </c>
      <c r="B88" t="s">
        <v>70</v>
      </c>
      <c r="C88">
        <v>4</v>
      </c>
      <c r="D88" t="s">
        <v>88</v>
      </c>
      <c r="E88" t="s">
        <v>98</v>
      </c>
      <c r="F88" t="s">
        <v>73</v>
      </c>
      <c r="G88">
        <v>1.53279600128958</v>
      </c>
      <c r="H88">
        <v>7.8200034759240797E-2</v>
      </c>
      <c r="I88">
        <v>0</v>
      </c>
      <c r="J88">
        <v>4</v>
      </c>
      <c r="K88">
        <v>0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1.4062336911317099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1.5889769030929</v>
      </c>
      <c r="U88">
        <f>IF((ContinuousStatsTable[[#This Row],[RepsRequested]]&gt;1),ContinuousStatsTable[[#This Row],[HalfWidth]],ContinuousStatsTable[[#This Row],[BatchMeansHalfWidth]])</f>
        <v>1.602866983772662E-2</v>
      </c>
    </row>
    <row r="89" spans="1:21" x14ac:dyDescent="0.2">
      <c r="A89" t="s">
        <v>67</v>
      </c>
      <c r="B89" t="s">
        <v>70</v>
      </c>
      <c r="C89">
        <v>4</v>
      </c>
      <c r="D89" t="s">
        <v>102</v>
      </c>
      <c r="E89" t="s">
        <v>94</v>
      </c>
      <c r="F89" t="s">
        <v>95</v>
      </c>
      <c r="G89">
        <v>5.0219298245613997E-3</v>
      </c>
      <c r="H89">
        <v>5.70044363518909E-4</v>
      </c>
      <c r="I89">
        <v>0</v>
      </c>
      <c r="J89">
        <v>0.15</v>
      </c>
      <c r="K89">
        <v>0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4.4956140350877203E-3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5.5482456140350904E-3</v>
      </c>
      <c r="U89">
        <f>IF((ContinuousStatsTable[[#This Row],[RepsRequested]]&gt;1),ContinuousStatsTable[[#This Row],[HalfWidth]],ContinuousStatsTable[[#This Row],[BatchMeansHalfWidth]])</f>
        <v>1.0144486472958472E-4</v>
      </c>
    </row>
    <row r="90" spans="1:21" x14ac:dyDescent="0.2">
      <c r="A90" t="s">
        <v>67</v>
      </c>
      <c r="B90" t="s">
        <v>70</v>
      </c>
      <c r="C90">
        <v>4</v>
      </c>
      <c r="D90" t="s">
        <v>102</v>
      </c>
      <c r="E90" t="s">
        <v>96</v>
      </c>
      <c r="F90" t="s">
        <v>95</v>
      </c>
      <c r="G90">
        <v>0.10043859649122799</v>
      </c>
      <c r="H90">
        <v>1.1400887270378199E-2</v>
      </c>
      <c r="I90">
        <v>0</v>
      </c>
      <c r="J90">
        <v>3</v>
      </c>
      <c r="K90">
        <v>0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8.9912280701754305E-2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0.110964912280702</v>
      </c>
      <c r="U90">
        <f>IF((ContinuousStatsTable[[#This Row],[RepsRequested]]&gt;1),ContinuousStatsTable[[#This Row],[HalfWidth]],ContinuousStatsTable[[#This Row],[BatchMeansHalfWidth]])</f>
        <v>2.0288972945916956E-3</v>
      </c>
    </row>
    <row r="91" spans="1:21" x14ac:dyDescent="0.2">
      <c r="A91" t="s">
        <v>67</v>
      </c>
      <c r="B91" t="s">
        <v>70</v>
      </c>
      <c r="C91">
        <v>4</v>
      </c>
      <c r="D91" t="s">
        <v>102</v>
      </c>
      <c r="E91" t="s">
        <v>97</v>
      </c>
      <c r="F91" t="s">
        <v>95</v>
      </c>
      <c r="G91">
        <v>20</v>
      </c>
      <c r="H91">
        <v>2E+20</v>
      </c>
      <c r="I91">
        <v>20</v>
      </c>
      <c r="J91">
        <v>20</v>
      </c>
      <c r="K91">
        <v>20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20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20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20</v>
      </c>
      <c r="U91">
        <f>IF((ContinuousStatsTable[[#This Row],[RepsRequested]]&gt;1),ContinuousStatsTable[[#This Row],[HalfWidth]],ContinuousStatsTable[[#This Row],[BatchMeansHalfWidth]])</f>
        <v>0</v>
      </c>
    </row>
    <row r="92" spans="1:21" x14ac:dyDescent="0.2">
      <c r="A92" t="s">
        <v>67</v>
      </c>
      <c r="B92" t="s">
        <v>70</v>
      </c>
      <c r="C92">
        <v>4</v>
      </c>
      <c r="D92" t="s">
        <v>90</v>
      </c>
      <c r="E92" t="s">
        <v>98</v>
      </c>
      <c r="F92" t="s">
        <v>73</v>
      </c>
      <c r="G92">
        <v>0</v>
      </c>
      <c r="H92">
        <v>2E+20</v>
      </c>
      <c r="I92">
        <v>0</v>
      </c>
      <c r="J92">
        <v>0</v>
      </c>
      <c r="K92">
        <v>0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0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0</v>
      </c>
      <c r="U92">
        <f>IF((ContinuousStatsTable[[#This Row],[RepsRequested]]&gt;1),ContinuousStatsTable[[#This Row],[HalfWidth]],ContinuousStatsTable[[#This Row],[BatchMeansHalfWidth]])</f>
        <v>0</v>
      </c>
    </row>
    <row r="93" spans="1:21" x14ac:dyDescent="0.2">
      <c r="A93" t="s">
        <v>67</v>
      </c>
      <c r="B93" t="s">
        <v>70</v>
      </c>
      <c r="C93">
        <v>4</v>
      </c>
      <c r="D93" t="s">
        <v>91</v>
      </c>
      <c r="E93" t="s">
        <v>98</v>
      </c>
      <c r="F93" t="s">
        <v>73</v>
      </c>
      <c r="G93">
        <v>0</v>
      </c>
      <c r="H93">
        <v>2E+20</v>
      </c>
      <c r="I93">
        <v>0</v>
      </c>
      <c r="J93">
        <v>0</v>
      </c>
      <c r="K93">
        <v>0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0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</v>
      </c>
      <c r="U93">
        <f>IF((ContinuousStatsTable[[#This Row],[RepsRequested]]&gt;1),ContinuousStatsTable[[#This Row],[HalfWidth]],ContinuousStatsTable[[#This Row],[BatchMeansHalfWidth]])</f>
        <v>0</v>
      </c>
    </row>
    <row r="94" spans="1:21" x14ac:dyDescent="0.2">
      <c r="A94" t="s">
        <v>67</v>
      </c>
      <c r="B94" t="s">
        <v>70</v>
      </c>
      <c r="C94">
        <v>4</v>
      </c>
      <c r="D94" t="s">
        <v>92</v>
      </c>
      <c r="E94" t="s">
        <v>98</v>
      </c>
      <c r="F94" t="s">
        <v>73</v>
      </c>
      <c r="G94">
        <v>0</v>
      </c>
      <c r="H94">
        <v>2E+20</v>
      </c>
      <c r="I94">
        <v>0</v>
      </c>
      <c r="J94">
        <v>0</v>
      </c>
      <c r="K94">
        <v>0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0</v>
      </c>
      <c r="U94">
        <f>IF((ContinuousStatsTable[[#This Row],[RepsRequested]]&gt;1),ContinuousStatsTable[[#This Row],[HalfWidth]],ContinuousStatsTable[[#This Row],[BatchMeansHalfWidth]])</f>
        <v>0</v>
      </c>
    </row>
    <row r="95" spans="1:21" x14ac:dyDescent="0.2">
      <c r="A95" t="s">
        <v>67</v>
      </c>
      <c r="B95" t="s">
        <v>70</v>
      </c>
      <c r="C95">
        <v>4</v>
      </c>
      <c r="D95" t="s">
        <v>103</v>
      </c>
      <c r="E95" t="s">
        <v>94</v>
      </c>
      <c r="F95" t="s">
        <v>95</v>
      </c>
      <c r="G95">
        <v>8.7594820116079594E-2</v>
      </c>
      <c r="H95">
        <v>2E+20</v>
      </c>
      <c r="I95">
        <v>0</v>
      </c>
      <c r="J95">
        <v>0.66666666666666696</v>
      </c>
      <c r="K95">
        <v>0.33333333333333298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7.7176470357846902E-2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9.2534326714405896E-2</v>
      </c>
      <c r="U95">
        <f>IF((ContinuousStatsTable[[#This Row],[RepsRequested]]&gt;1),ContinuousStatsTable[[#This Row],[HalfWidth]],ContinuousStatsTable[[#This Row],[BatchMeansHalfWidth]])</f>
        <v>1.3238327186697659E-3</v>
      </c>
    </row>
    <row r="96" spans="1:21" x14ac:dyDescent="0.2">
      <c r="A96" t="s">
        <v>67</v>
      </c>
      <c r="B96" t="s">
        <v>70</v>
      </c>
      <c r="C96">
        <v>4</v>
      </c>
      <c r="D96" t="s">
        <v>103</v>
      </c>
      <c r="E96" t="s">
        <v>96</v>
      </c>
      <c r="F96" t="s">
        <v>95</v>
      </c>
      <c r="G96">
        <v>0.26278446034823899</v>
      </c>
      <c r="H96">
        <v>2E+20</v>
      </c>
      <c r="I96">
        <v>0</v>
      </c>
      <c r="J96">
        <v>2</v>
      </c>
      <c r="K96">
        <v>1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0.231529411073541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0.27760298014321699</v>
      </c>
      <c r="U96">
        <f>IF((ContinuousStatsTable[[#This Row],[RepsRequested]]&gt;1),ContinuousStatsTable[[#This Row],[HalfWidth]],ContinuousStatsTable[[#This Row],[BatchMeansHalfWidth]])</f>
        <v>3.9714981560092996E-3</v>
      </c>
    </row>
    <row r="97" spans="1:21" x14ac:dyDescent="0.2">
      <c r="A97" t="s">
        <v>67</v>
      </c>
      <c r="B97" t="s">
        <v>70</v>
      </c>
      <c r="C97">
        <v>4</v>
      </c>
      <c r="D97" t="s">
        <v>103</v>
      </c>
      <c r="E97" t="s">
        <v>97</v>
      </c>
      <c r="F97" t="s">
        <v>95</v>
      </c>
      <c r="G97">
        <v>3</v>
      </c>
      <c r="H97">
        <v>2E+20</v>
      </c>
      <c r="I97">
        <v>3</v>
      </c>
      <c r="J97">
        <v>3</v>
      </c>
      <c r="K97">
        <v>3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3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3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3</v>
      </c>
      <c r="U97">
        <f>IF((ContinuousStatsTable[[#This Row],[RepsRequested]]&gt;1),ContinuousStatsTable[[#This Row],[HalfWidth]],ContinuousStatsTable[[#This Row],[BatchMeansHalfWidth]])</f>
        <v>0</v>
      </c>
    </row>
    <row r="98" spans="1:21" x14ac:dyDescent="0.2">
      <c r="A98" t="s">
        <v>67</v>
      </c>
      <c r="B98" t="s">
        <v>70</v>
      </c>
      <c r="C98">
        <v>5</v>
      </c>
      <c r="D98" t="s">
        <v>93</v>
      </c>
      <c r="E98" t="s">
        <v>94</v>
      </c>
      <c r="F98" t="s">
        <v>95</v>
      </c>
      <c r="G98">
        <v>0.25</v>
      </c>
      <c r="H98">
        <v>2.58888304602032E-2</v>
      </c>
      <c r="I98">
        <v>0</v>
      </c>
      <c r="J98">
        <v>1</v>
      </c>
      <c r="K98">
        <v>0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0.233333333333333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0.27905535859326402</v>
      </c>
      <c r="U98">
        <f>IF((ContinuousStatsTable[[#This Row],[RepsRequested]]&gt;1),ContinuousStatsTable[[#This Row],[HalfWidth]],ContinuousStatsTable[[#This Row],[BatchMeansHalfWidth]])</f>
        <v>4.2029769261323026E-3</v>
      </c>
    </row>
    <row r="99" spans="1:21" x14ac:dyDescent="0.2">
      <c r="A99" t="s">
        <v>67</v>
      </c>
      <c r="B99" t="s">
        <v>70</v>
      </c>
      <c r="C99">
        <v>5</v>
      </c>
      <c r="D99" t="s">
        <v>93</v>
      </c>
      <c r="E99" t="s">
        <v>96</v>
      </c>
      <c r="F99" t="s">
        <v>95</v>
      </c>
      <c r="G99">
        <v>0.25</v>
      </c>
      <c r="H99">
        <v>2.58888304602032E-2</v>
      </c>
      <c r="I99">
        <v>0</v>
      </c>
      <c r="J99">
        <v>1</v>
      </c>
      <c r="K99">
        <v>0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0.233333333333333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0.27905535859326402</v>
      </c>
      <c r="U99">
        <f>IF((ContinuousStatsTable[[#This Row],[RepsRequested]]&gt;1),ContinuousStatsTable[[#This Row],[HalfWidth]],ContinuousStatsTable[[#This Row],[BatchMeansHalfWidth]])</f>
        <v>4.2029769261323026E-3</v>
      </c>
    </row>
    <row r="100" spans="1:21" x14ac:dyDescent="0.2">
      <c r="A100" t="s">
        <v>67</v>
      </c>
      <c r="B100" t="s">
        <v>70</v>
      </c>
      <c r="C100">
        <v>5</v>
      </c>
      <c r="D100" t="s">
        <v>93</v>
      </c>
      <c r="E100" t="s">
        <v>97</v>
      </c>
      <c r="F100" t="s">
        <v>95</v>
      </c>
      <c r="G100">
        <v>1</v>
      </c>
      <c r="H100">
        <v>2E+20</v>
      </c>
      <c r="I100">
        <v>1</v>
      </c>
      <c r="J100">
        <v>1</v>
      </c>
      <c r="K100">
        <v>1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1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1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1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2">
      <c r="A101" t="s">
        <v>67</v>
      </c>
      <c r="B101" t="s">
        <v>70</v>
      </c>
      <c r="C101">
        <v>5</v>
      </c>
      <c r="D101" t="s">
        <v>71</v>
      </c>
      <c r="E101" t="s">
        <v>98</v>
      </c>
      <c r="F101" t="s">
        <v>73</v>
      </c>
      <c r="G101">
        <v>3.1051864806197801E-2</v>
      </c>
      <c r="H101">
        <v>2E+20</v>
      </c>
      <c r="I101">
        <v>0</v>
      </c>
      <c r="J101">
        <v>2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1.9664517785186901E-2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3.9738966906982302E-2</v>
      </c>
      <c r="U101">
        <f>IF((ContinuousStatsTable[[#This Row],[RepsRequested]]&gt;1),ContinuousStatsTable[[#This Row],[HalfWidth]],ContinuousStatsTable[[#This Row],[BatchMeansHalfWidth]])</f>
        <v>1.6627262085570247E-3</v>
      </c>
    </row>
    <row r="102" spans="1:21" x14ac:dyDescent="0.2">
      <c r="A102" t="s">
        <v>67</v>
      </c>
      <c r="B102" t="s">
        <v>70</v>
      </c>
      <c r="C102">
        <v>5</v>
      </c>
      <c r="D102" t="s">
        <v>99</v>
      </c>
      <c r="E102" t="s">
        <v>94</v>
      </c>
      <c r="F102" t="s">
        <v>95</v>
      </c>
      <c r="G102">
        <v>0.62099308409866405</v>
      </c>
      <c r="H102">
        <v>2E+20</v>
      </c>
      <c r="I102">
        <v>0</v>
      </c>
      <c r="J102">
        <v>1</v>
      </c>
      <c r="K102">
        <v>1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0.58256422876290004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0.68643238055161704</v>
      </c>
      <c r="U102">
        <f>IF((ContinuousStatsTable[[#This Row],[RepsRequested]]&gt;1),ContinuousStatsTable[[#This Row],[HalfWidth]],ContinuousStatsTable[[#This Row],[BatchMeansHalfWidth]])</f>
        <v>9.8490003000806757E-3</v>
      </c>
    </row>
    <row r="103" spans="1:21" x14ac:dyDescent="0.2">
      <c r="A103" t="s">
        <v>67</v>
      </c>
      <c r="B103" t="s">
        <v>70</v>
      </c>
      <c r="C103">
        <v>5</v>
      </c>
      <c r="D103" t="s">
        <v>99</v>
      </c>
      <c r="E103" t="s">
        <v>96</v>
      </c>
      <c r="F103" t="s">
        <v>95</v>
      </c>
      <c r="G103">
        <v>1.2419861681973301</v>
      </c>
      <c r="H103">
        <v>2E+20</v>
      </c>
      <c r="I103">
        <v>0</v>
      </c>
      <c r="J103">
        <v>2</v>
      </c>
      <c r="K103">
        <v>2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1.1651284575258001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1.3728647611032301</v>
      </c>
      <c r="U103">
        <f>IF((ContinuousStatsTable[[#This Row],[RepsRequested]]&gt;1),ContinuousStatsTable[[#This Row],[HalfWidth]],ContinuousStatsTable[[#This Row],[BatchMeansHalfWidth]])</f>
        <v>1.9698000600160998E-2</v>
      </c>
    </row>
    <row r="104" spans="1:21" x14ac:dyDescent="0.2">
      <c r="A104" t="s">
        <v>67</v>
      </c>
      <c r="B104" t="s">
        <v>70</v>
      </c>
      <c r="C104">
        <v>5</v>
      </c>
      <c r="D104" t="s">
        <v>99</v>
      </c>
      <c r="E104" t="s">
        <v>97</v>
      </c>
      <c r="F104" t="s">
        <v>95</v>
      </c>
      <c r="G104">
        <v>2</v>
      </c>
      <c r="H104">
        <v>2E+20</v>
      </c>
      <c r="I104">
        <v>2</v>
      </c>
      <c r="J104">
        <v>2</v>
      </c>
      <c r="K104">
        <v>2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2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2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2</v>
      </c>
      <c r="U104">
        <f>IF((ContinuousStatsTable[[#This Row],[RepsRequested]]&gt;1),ContinuousStatsTable[[#This Row],[HalfWidth]],ContinuousStatsTable[[#This Row],[BatchMeansHalfWidth]])</f>
        <v>0</v>
      </c>
    </row>
    <row r="105" spans="1:21" x14ac:dyDescent="0.2">
      <c r="A105" t="s">
        <v>67</v>
      </c>
      <c r="B105" t="s">
        <v>70</v>
      </c>
      <c r="C105">
        <v>5</v>
      </c>
      <c r="D105" t="s">
        <v>74</v>
      </c>
      <c r="E105" t="s">
        <v>100</v>
      </c>
      <c r="F105" t="s">
        <v>76</v>
      </c>
      <c r="G105">
        <v>16.048925666082202</v>
      </c>
      <c r="H105">
        <v>3E+20</v>
      </c>
      <c r="I105">
        <v>1</v>
      </c>
      <c r="J105">
        <v>40</v>
      </c>
      <c r="K105">
        <v>24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14.4112589759764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16.972707717517899</v>
      </c>
      <c r="U105">
        <f>IF((ContinuousStatsTable[[#This Row],[RepsRequested]]&gt;1),ContinuousStatsTable[[#This Row],[HalfWidth]],ContinuousStatsTable[[#This Row],[BatchMeansHalfWidth]])</f>
        <v>0.25870181881670146</v>
      </c>
    </row>
    <row r="106" spans="1:21" x14ac:dyDescent="0.2">
      <c r="A106" t="s">
        <v>67</v>
      </c>
      <c r="B106" t="s">
        <v>70</v>
      </c>
      <c r="C106">
        <v>5</v>
      </c>
      <c r="D106" t="s">
        <v>82</v>
      </c>
      <c r="E106" t="s">
        <v>98</v>
      </c>
      <c r="F106" t="s">
        <v>73</v>
      </c>
      <c r="G106">
        <v>0.26592230388304999</v>
      </c>
      <c r="H106">
        <v>2E+20</v>
      </c>
      <c r="I106">
        <v>0</v>
      </c>
      <c r="J106">
        <v>4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7.4406608295854798E-2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0.29874320707386398</v>
      </c>
      <c r="U106">
        <f>IF((ContinuousStatsTable[[#This Row],[RepsRequested]]&gt;1),ContinuousStatsTable[[#This Row],[HalfWidth]],ContinuousStatsTable[[#This Row],[BatchMeansHalfWidth]])</f>
        <v>2.0058204231149332E-2</v>
      </c>
    </row>
    <row r="107" spans="1:21" x14ac:dyDescent="0.2">
      <c r="A107" t="s">
        <v>67</v>
      </c>
      <c r="B107" t="s">
        <v>70</v>
      </c>
      <c r="C107">
        <v>5</v>
      </c>
      <c r="D107" t="s">
        <v>101</v>
      </c>
      <c r="E107" t="s">
        <v>94</v>
      </c>
      <c r="F107" t="s">
        <v>95</v>
      </c>
      <c r="G107">
        <v>1.9441180007558499E-3</v>
      </c>
      <c r="H107">
        <v>2.3434599003798601E-4</v>
      </c>
      <c r="I107">
        <v>0</v>
      </c>
      <c r="J107">
        <v>3.7499999999999999E-2</v>
      </c>
      <c r="K107">
        <v>0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1.70504385964912E-3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2.17031677925951E-3</v>
      </c>
      <c r="U107">
        <f>IF((ContinuousStatsTable[[#This Row],[RepsRequested]]&gt;1),ContinuousStatsTable[[#This Row],[HalfWidth]],ContinuousStatsTable[[#This Row],[BatchMeansHalfWidth]])</f>
        <v>4.4865881583116605E-5</v>
      </c>
    </row>
    <row r="108" spans="1:21" x14ac:dyDescent="0.2">
      <c r="A108" t="s">
        <v>67</v>
      </c>
      <c r="B108" t="s">
        <v>70</v>
      </c>
      <c r="C108">
        <v>5</v>
      </c>
      <c r="D108" t="s">
        <v>101</v>
      </c>
      <c r="E108" t="s">
        <v>96</v>
      </c>
      <c r="F108" t="s">
        <v>95</v>
      </c>
      <c r="G108">
        <v>0.15552944006046801</v>
      </c>
      <c r="H108">
        <v>1.8747679203038901E-2</v>
      </c>
      <c r="I108">
        <v>0</v>
      </c>
      <c r="J108">
        <v>3</v>
      </c>
      <c r="K108">
        <v>0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0.13640350877193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0.17362534234076099</v>
      </c>
      <c r="U108">
        <f>IF((ContinuousStatsTable[[#This Row],[RepsRequested]]&gt;1),ContinuousStatsTable[[#This Row],[HalfWidth]],ContinuousStatsTable[[#This Row],[BatchMeansHalfWidth]])</f>
        <v>3.5892705266493139E-3</v>
      </c>
    </row>
    <row r="109" spans="1:21" x14ac:dyDescent="0.2">
      <c r="A109" t="s">
        <v>67</v>
      </c>
      <c r="B109" t="s">
        <v>70</v>
      </c>
      <c r="C109">
        <v>5</v>
      </c>
      <c r="D109" t="s">
        <v>101</v>
      </c>
      <c r="E109" t="s">
        <v>97</v>
      </c>
      <c r="F109" t="s">
        <v>95</v>
      </c>
      <c r="G109">
        <v>80</v>
      </c>
      <c r="H109">
        <v>2E+20</v>
      </c>
      <c r="I109">
        <v>80</v>
      </c>
      <c r="J109">
        <v>80</v>
      </c>
      <c r="K109">
        <v>80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80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80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80</v>
      </c>
      <c r="U109">
        <f>IF((ContinuousStatsTable[[#This Row],[RepsRequested]]&gt;1),ContinuousStatsTable[[#This Row],[HalfWidth]],ContinuousStatsTable[[#This Row],[BatchMeansHalfWidth]])</f>
        <v>0</v>
      </c>
    </row>
    <row r="110" spans="1:21" x14ac:dyDescent="0.2">
      <c r="A110" t="s">
        <v>67</v>
      </c>
      <c r="B110" t="s">
        <v>70</v>
      </c>
      <c r="C110">
        <v>5</v>
      </c>
      <c r="D110" t="s">
        <v>86</v>
      </c>
      <c r="E110" t="s">
        <v>98</v>
      </c>
      <c r="F110" t="s">
        <v>73</v>
      </c>
      <c r="G110">
        <v>0</v>
      </c>
      <c r="H110">
        <v>2E+20</v>
      </c>
      <c r="I110">
        <v>0</v>
      </c>
      <c r="J110">
        <v>0</v>
      </c>
      <c r="K110">
        <v>0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0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0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0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2">
      <c r="A111" t="s">
        <v>67</v>
      </c>
      <c r="B111" t="s">
        <v>70</v>
      </c>
      <c r="C111">
        <v>5</v>
      </c>
      <c r="D111" t="s">
        <v>87</v>
      </c>
      <c r="E111" t="s">
        <v>98</v>
      </c>
      <c r="F111" t="s">
        <v>73</v>
      </c>
      <c r="G111">
        <v>0</v>
      </c>
      <c r="H111">
        <v>2E+20</v>
      </c>
      <c r="I111">
        <v>0</v>
      </c>
      <c r="J111">
        <v>0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0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0</v>
      </c>
      <c r="U111">
        <f>IF((ContinuousStatsTable[[#This Row],[RepsRequested]]&gt;1),ContinuousStatsTable[[#This Row],[HalfWidth]],ContinuousStatsTable[[#This Row],[BatchMeansHalfWidth]])</f>
        <v>0</v>
      </c>
    </row>
    <row r="112" spans="1:21" x14ac:dyDescent="0.2">
      <c r="A112" t="s">
        <v>67</v>
      </c>
      <c r="B112" t="s">
        <v>70</v>
      </c>
      <c r="C112">
        <v>5</v>
      </c>
      <c r="D112" t="s">
        <v>88</v>
      </c>
      <c r="E112" t="s">
        <v>98</v>
      </c>
      <c r="F112" t="s">
        <v>73</v>
      </c>
      <c r="G112">
        <v>1.4062336911317099</v>
      </c>
      <c r="H112">
        <v>9.1609522636242294E-2</v>
      </c>
      <c r="I112">
        <v>0</v>
      </c>
      <c r="J112">
        <v>4</v>
      </c>
      <c r="K112">
        <v>1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1.4062336911317099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1.5889769030929</v>
      </c>
      <c r="U112">
        <f>IF((ContinuousStatsTable[[#This Row],[RepsRequested]]&gt;1),ContinuousStatsTable[[#This Row],[HalfWidth]],ContinuousStatsTable[[#This Row],[BatchMeansHalfWidth]])</f>
        <v>1.602866983772662E-2</v>
      </c>
    </row>
    <row r="113" spans="1:21" x14ac:dyDescent="0.2">
      <c r="A113" t="s">
        <v>67</v>
      </c>
      <c r="B113" t="s">
        <v>70</v>
      </c>
      <c r="C113">
        <v>5</v>
      </c>
      <c r="D113" t="s">
        <v>102</v>
      </c>
      <c r="E113" t="s">
        <v>94</v>
      </c>
      <c r="F113" t="s">
        <v>95</v>
      </c>
      <c r="G113">
        <v>4.7128271015709003E-3</v>
      </c>
      <c r="H113">
        <v>7.5418009268807501E-4</v>
      </c>
      <c r="I113">
        <v>0</v>
      </c>
      <c r="J113">
        <v>0.15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4.4956140350877203E-3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5.5482456140350904E-3</v>
      </c>
      <c r="U113">
        <f>IF((ContinuousStatsTable[[#This Row],[RepsRequested]]&gt;1),ContinuousStatsTable[[#This Row],[HalfWidth]],ContinuousStatsTable[[#This Row],[BatchMeansHalfWidth]])</f>
        <v>1.0144486472958472E-4</v>
      </c>
    </row>
    <row r="114" spans="1:21" x14ac:dyDescent="0.2">
      <c r="A114" t="s">
        <v>67</v>
      </c>
      <c r="B114" t="s">
        <v>70</v>
      </c>
      <c r="C114">
        <v>5</v>
      </c>
      <c r="D114" t="s">
        <v>102</v>
      </c>
      <c r="E114" t="s">
        <v>96</v>
      </c>
      <c r="F114" t="s">
        <v>95</v>
      </c>
      <c r="G114">
        <v>9.4256542031418006E-2</v>
      </c>
      <c r="H114">
        <v>1.5083601853761499E-2</v>
      </c>
      <c r="I114">
        <v>0</v>
      </c>
      <c r="J114">
        <v>3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8.9912280701754305E-2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0.110964912280702</v>
      </c>
      <c r="U114">
        <f>IF((ContinuousStatsTable[[#This Row],[RepsRequested]]&gt;1),ContinuousStatsTable[[#This Row],[HalfWidth]],ContinuousStatsTable[[#This Row],[BatchMeansHalfWidth]])</f>
        <v>2.0288972945916956E-3</v>
      </c>
    </row>
    <row r="115" spans="1:21" x14ac:dyDescent="0.2">
      <c r="A115" t="s">
        <v>67</v>
      </c>
      <c r="B115" t="s">
        <v>70</v>
      </c>
      <c r="C115">
        <v>5</v>
      </c>
      <c r="D115" t="s">
        <v>102</v>
      </c>
      <c r="E115" t="s">
        <v>97</v>
      </c>
      <c r="F115" t="s">
        <v>95</v>
      </c>
      <c r="G115">
        <v>20</v>
      </c>
      <c r="H115">
        <v>2E+20</v>
      </c>
      <c r="I115">
        <v>20</v>
      </c>
      <c r="J115">
        <v>20</v>
      </c>
      <c r="K115">
        <v>20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20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20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20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2">
      <c r="A116" t="s">
        <v>67</v>
      </c>
      <c r="B116" t="s">
        <v>70</v>
      </c>
      <c r="C116">
        <v>5</v>
      </c>
      <c r="D116" t="s">
        <v>90</v>
      </c>
      <c r="E116" t="s">
        <v>98</v>
      </c>
      <c r="F116" t="s">
        <v>73</v>
      </c>
      <c r="G116">
        <v>0</v>
      </c>
      <c r="H116">
        <v>2E+20</v>
      </c>
      <c r="I116">
        <v>0</v>
      </c>
      <c r="J116">
        <v>0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0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0</v>
      </c>
      <c r="U116">
        <f>IF((ContinuousStatsTable[[#This Row],[RepsRequested]]&gt;1),ContinuousStatsTable[[#This Row],[HalfWidth]],ContinuousStatsTable[[#This Row],[BatchMeansHalfWidth]])</f>
        <v>0</v>
      </c>
    </row>
    <row r="117" spans="1:21" x14ac:dyDescent="0.2">
      <c r="A117" t="s">
        <v>67</v>
      </c>
      <c r="B117" t="s">
        <v>70</v>
      </c>
      <c r="C117">
        <v>5</v>
      </c>
      <c r="D117" t="s">
        <v>91</v>
      </c>
      <c r="E117" t="s">
        <v>98</v>
      </c>
      <c r="F117" t="s">
        <v>73</v>
      </c>
      <c r="G117">
        <v>0</v>
      </c>
      <c r="H117">
        <v>2E+20</v>
      </c>
      <c r="I117">
        <v>0</v>
      </c>
      <c r="J117">
        <v>0</v>
      </c>
      <c r="K117">
        <v>0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0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0</v>
      </c>
      <c r="U117">
        <f>IF((ContinuousStatsTable[[#This Row],[RepsRequested]]&gt;1),ContinuousStatsTable[[#This Row],[HalfWidth]],ContinuousStatsTable[[#This Row],[BatchMeansHalfWidth]])</f>
        <v>0</v>
      </c>
    </row>
    <row r="118" spans="1:21" x14ac:dyDescent="0.2">
      <c r="A118" t="s">
        <v>67</v>
      </c>
      <c r="B118" t="s">
        <v>70</v>
      </c>
      <c r="C118">
        <v>5</v>
      </c>
      <c r="D118" t="s">
        <v>92</v>
      </c>
      <c r="E118" t="s">
        <v>98</v>
      </c>
      <c r="F118" t="s">
        <v>73</v>
      </c>
      <c r="G118">
        <v>0</v>
      </c>
      <c r="H118">
        <v>2E+20</v>
      </c>
      <c r="I118">
        <v>0</v>
      </c>
      <c r="J118">
        <v>0</v>
      </c>
      <c r="K118">
        <v>0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0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</v>
      </c>
      <c r="U118">
        <f>IF((ContinuousStatsTable[[#This Row],[RepsRequested]]&gt;1),ContinuousStatsTable[[#This Row],[HalfWidth]],ContinuousStatsTable[[#This Row],[BatchMeansHalfWidth]])</f>
        <v>0</v>
      </c>
    </row>
    <row r="119" spans="1:21" x14ac:dyDescent="0.2">
      <c r="A119" t="s">
        <v>67</v>
      </c>
      <c r="B119" t="s">
        <v>70</v>
      </c>
      <c r="C119">
        <v>5</v>
      </c>
      <c r="D119" t="s">
        <v>103</v>
      </c>
      <c r="E119" t="s">
        <v>94</v>
      </c>
      <c r="F119" t="s">
        <v>95</v>
      </c>
      <c r="G119">
        <v>8.2255271148324496E-2</v>
      </c>
      <c r="H119">
        <v>2E+20</v>
      </c>
      <c r="I119">
        <v>0</v>
      </c>
      <c r="J119">
        <v>0.66666666666666696</v>
      </c>
      <c r="K119">
        <v>0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7.7176470357846902E-2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9.2534326714405896E-2</v>
      </c>
      <c r="U119">
        <f>IF((ContinuousStatsTable[[#This Row],[RepsRequested]]&gt;1),ContinuousStatsTable[[#This Row],[HalfWidth]],ContinuousStatsTable[[#This Row],[BatchMeansHalfWidth]])</f>
        <v>1.3238327186697659E-3</v>
      </c>
    </row>
    <row r="120" spans="1:21" x14ac:dyDescent="0.2">
      <c r="A120" t="s">
        <v>67</v>
      </c>
      <c r="B120" t="s">
        <v>70</v>
      </c>
      <c r="C120">
        <v>5</v>
      </c>
      <c r="D120" t="s">
        <v>103</v>
      </c>
      <c r="E120" t="s">
        <v>96</v>
      </c>
      <c r="F120" t="s">
        <v>95</v>
      </c>
      <c r="G120">
        <v>0.246765813444973</v>
      </c>
      <c r="H120">
        <v>2E+20</v>
      </c>
      <c r="I120">
        <v>0</v>
      </c>
      <c r="J120">
        <v>2</v>
      </c>
      <c r="K120">
        <v>0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0.231529411073541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0.27760298014321699</v>
      </c>
      <c r="U120">
        <f>IF((ContinuousStatsTable[[#This Row],[RepsRequested]]&gt;1),ContinuousStatsTable[[#This Row],[HalfWidth]],ContinuousStatsTable[[#This Row],[BatchMeansHalfWidth]])</f>
        <v>3.9714981560092996E-3</v>
      </c>
    </row>
    <row r="121" spans="1:21" x14ac:dyDescent="0.2">
      <c r="A121" t="s">
        <v>67</v>
      </c>
      <c r="B121" t="s">
        <v>70</v>
      </c>
      <c r="C121">
        <v>5</v>
      </c>
      <c r="D121" t="s">
        <v>103</v>
      </c>
      <c r="E121" t="s">
        <v>97</v>
      </c>
      <c r="F121" t="s">
        <v>95</v>
      </c>
      <c r="G121">
        <v>3</v>
      </c>
      <c r="H121">
        <v>2E+20</v>
      </c>
      <c r="I121">
        <v>3</v>
      </c>
      <c r="J121">
        <v>3</v>
      </c>
      <c r="K121">
        <v>3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3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3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3</v>
      </c>
      <c r="U121">
        <f>IF((ContinuousStatsTable[[#This Row],[RepsRequested]]&gt;1),ContinuousStatsTable[[#This Row],[HalfWidth]],ContinuousStatsTable[[#This Row],[BatchMeansHalfWidth]])</f>
        <v>0</v>
      </c>
    </row>
    <row r="122" spans="1:21" x14ac:dyDescent="0.2">
      <c r="A122" t="s">
        <v>67</v>
      </c>
      <c r="B122" t="s">
        <v>70</v>
      </c>
      <c r="C122">
        <v>6</v>
      </c>
      <c r="D122" t="s">
        <v>93</v>
      </c>
      <c r="E122" t="s">
        <v>94</v>
      </c>
      <c r="F122" t="s">
        <v>95</v>
      </c>
      <c r="G122">
        <v>0.27905535859326402</v>
      </c>
      <c r="H122">
        <v>2.0157208187539799E-2</v>
      </c>
      <c r="I122">
        <v>0</v>
      </c>
      <c r="J122">
        <v>1</v>
      </c>
      <c r="K122">
        <v>1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0.233333333333333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0.27905535859326402</v>
      </c>
      <c r="U122">
        <f>IF((ContinuousStatsTable[[#This Row],[RepsRequested]]&gt;1),ContinuousStatsTable[[#This Row],[HalfWidth]],ContinuousStatsTable[[#This Row],[BatchMeansHalfWidth]])</f>
        <v>4.2029769261323026E-3</v>
      </c>
    </row>
    <row r="123" spans="1:21" x14ac:dyDescent="0.2">
      <c r="A123" t="s">
        <v>67</v>
      </c>
      <c r="B123" t="s">
        <v>70</v>
      </c>
      <c r="C123">
        <v>6</v>
      </c>
      <c r="D123" t="s">
        <v>93</v>
      </c>
      <c r="E123" t="s">
        <v>96</v>
      </c>
      <c r="F123" t="s">
        <v>95</v>
      </c>
      <c r="G123">
        <v>0.27905535859326402</v>
      </c>
      <c r="H123">
        <v>2.0157208187539799E-2</v>
      </c>
      <c r="I123">
        <v>0</v>
      </c>
      <c r="J123">
        <v>1</v>
      </c>
      <c r="K123">
        <v>1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0.233333333333333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0.27905535859326402</v>
      </c>
      <c r="U123">
        <f>IF((ContinuousStatsTable[[#This Row],[RepsRequested]]&gt;1),ContinuousStatsTable[[#This Row],[HalfWidth]],ContinuousStatsTable[[#This Row],[BatchMeansHalfWidth]])</f>
        <v>4.2029769261323026E-3</v>
      </c>
    </row>
    <row r="124" spans="1:21" x14ac:dyDescent="0.2">
      <c r="A124" t="s">
        <v>67</v>
      </c>
      <c r="B124" t="s">
        <v>70</v>
      </c>
      <c r="C124">
        <v>6</v>
      </c>
      <c r="D124" t="s">
        <v>93</v>
      </c>
      <c r="E124" t="s">
        <v>97</v>
      </c>
      <c r="F124" t="s">
        <v>95</v>
      </c>
      <c r="G124">
        <v>1</v>
      </c>
      <c r="H124">
        <v>2E+20</v>
      </c>
      <c r="I124">
        <v>1</v>
      </c>
      <c r="J124">
        <v>1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1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1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</v>
      </c>
      <c r="U124">
        <f>IF((ContinuousStatsTable[[#This Row],[RepsRequested]]&gt;1),ContinuousStatsTable[[#This Row],[HalfWidth]],ContinuousStatsTable[[#This Row],[BatchMeansHalfWidth]])</f>
        <v>0</v>
      </c>
    </row>
    <row r="125" spans="1:21" x14ac:dyDescent="0.2">
      <c r="A125" t="s">
        <v>67</v>
      </c>
      <c r="B125" t="s">
        <v>70</v>
      </c>
      <c r="C125">
        <v>6</v>
      </c>
      <c r="D125" t="s">
        <v>71</v>
      </c>
      <c r="E125" t="s">
        <v>98</v>
      </c>
      <c r="F125" t="s">
        <v>73</v>
      </c>
      <c r="G125">
        <v>3.0759921575549E-2</v>
      </c>
      <c r="H125">
        <v>2E+20</v>
      </c>
      <c r="I125">
        <v>0</v>
      </c>
      <c r="J125">
        <v>1</v>
      </c>
      <c r="K125">
        <v>1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1.9664517785186901E-2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3.9738966906982302E-2</v>
      </c>
      <c r="U125">
        <f>IF((ContinuousStatsTable[[#This Row],[RepsRequested]]&gt;1),ContinuousStatsTable[[#This Row],[HalfWidth]],ContinuousStatsTable[[#This Row],[BatchMeansHalfWidth]])</f>
        <v>1.6627262085570247E-3</v>
      </c>
    </row>
    <row r="126" spans="1:21" x14ac:dyDescent="0.2">
      <c r="A126" t="s">
        <v>67</v>
      </c>
      <c r="B126" t="s">
        <v>70</v>
      </c>
      <c r="C126">
        <v>6</v>
      </c>
      <c r="D126" t="s">
        <v>99</v>
      </c>
      <c r="E126" t="s">
        <v>94</v>
      </c>
      <c r="F126" t="s">
        <v>95</v>
      </c>
      <c r="G126">
        <v>0.68450730949604099</v>
      </c>
      <c r="H126">
        <v>2E+20</v>
      </c>
      <c r="I126">
        <v>0</v>
      </c>
      <c r="J126">
        <v>1</v>
      </c>
      <c r="K126">
        <v>1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0.58256422876290004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0.68643238055161704</v>
      </c>
      <c r="U126">
        <f>IF((ContinuousStatsTable[[#This Row],[RepsRequested]]&gt;1),ContinuousStatsTable[[#This Row],[HalfWidth]],ContinuousStatsTable[[#This Row],[BatchMeansHalfWidth]])</f>
        <v>9.8490003000806757E-3</v>
      </c>
    </row>
    <row r="127" spans="1:21" x14ac:dyDescent="0.2">
      <c r="A127" t="s">
        <v>67</v>
      </c>
      <c r="B127" t="s">
        <v>70</v>
      </c>
      <c r="C127">
        <v>6</v>
      </c>
      <c r="D127" t="s">
        <v>99</v>
      </c>
      <c r="E127" t="s">
        <v>96</v>
      </c>
      <c r="F127" t="s">
        <v>95</v>
      </c>
      <c r="G127">
        <v>1.36901461899208</v>
      </c>
      <c r="H127">
        <v>2E+20</v>
      </c>
      <c r="I127">
        <v>0</v>
      </c>
      <c r="J127">
        <v>2</v>
      </c>
      <c r="K127">
        <v>2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1.1651284575258001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1.3728647611032301</v>
      </c>
      <c r="U127">
        <f>IF((ContinuousStatsTable[[#This Row],[RepsRequested]]&gt;1),ContinuousStatsTable[[#This Row],[HalfWidth]],ContinuousStatsTable[[#This Row],[BatchMeansHalfWidth]])</f>
        <v>1.9698000600160998E-2</v>
      </c>
    </row>
    <row r="128" spans="1:21" x14ac:dyDescent="0.2">
      <c r="A128" t="s">
        <v>67</v>
      </c>
      <c r="B128" t="s">
        <v>70</v>
      </c>
      <c r="C128">
        <v>6</v>
      </c>
      <c r="D128" t="s">
        <v>99</v>
      </c>
      <c r="E128" t="s">
        <v>97</v>
      </c>
      <c r="F128" t="s">
        <v>95</v>
      </c>
      <c r="G128">
        <v>2</v>
      </c>
      <c r="H128">
        <v>2E+20</v>
      </c>
      <c r="I128">
        <v>2</v>
      </c>
      <c r="J128">
        <v>2</v>
      </c>
      <c r="K128">
        <v>2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2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0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2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2</v>
      </c>
      <c r="U128">
        <f>IF((ContinuousStatsTable[[#This Row],[RepsRequested]]&gt;1),ContinuousStatsTable[[#This Row],[HalfWidth]],ContinuousStatsTable[[#This Row],[BatchMeansHalfWidth]])</f>
        <v>0</v>
      </c>
    </row>
    <row r="129" spans="1:21" x14ac:dyDescent="0.2">
      <c r="A129" t="s">
        <v>67</v>
      </c>
      <c r="B129" t="s">
        <v>70</v>
      </c>
      <c r="C129">
        <v>6</v>
      </c>
      <c r="D129" t="s">
        <v>74</v>
      </c>
      <c r="E129" t="s">
        <v>100</v>
      </c>
      <c r="F129" t="s">
        <v>76</v>
      </c>
      <c r="G129">
        <v>16.972707717517899</v>
      </c>
      <c r="H129">
        <v>1.1040887770260801</v>
      </c>
      <c r="I129">
        <v>5</v>
      </c>
      <c r="J129">
        <v>33</v>
      </c>
      <c r="K129">
        <v>20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14.4112589759764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16.972707717517899</v>
      </c>
      <c r="U129">
        <f>IF((ContinuousStatsTable[[#This Row],[RepsRequested]]&gt;1),ContinuousStatsTable[[#This Row],[HalfWidth]],ContinuousStatsTable[[#This Row],[BatchMeansHalfWidth]])</f>
        <v>0.25870181881670146</v>
      </c>
    </row>
    <row r="130" spans="1:21" x14ac:dyDescent="0.2">
      <c r="A130" t="s">
        <v>67</v>
      </c>
      <c r="B130" t="s">
        <v>70</v>
      </c>
      <c r="C130">
        <v>6</v>
      </c>
      <c r="D130" t="s">
        <v>82</v>
      </c>
      <c r="E130" t="s">
        <v>98</v>
      </c>
      <c r="F130" t="s">
        <v>73</v>
      </c>
      <c r="G130">
        <v>0.29874320707386398</v>
      </c>
      <c r="H130">
        <v>2E+20</v>
      </c>
      <c r="I130">
        <v>0</v>
      </c>
      <c r="J130">
        <v>4</v>
      </c>
      <c r="K130">
        <v>0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7.4406608295854798E-2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0.29874320707386398</v>
      </c>
      <c r="U130">
        <f>IF((ContinuousStatsTable[[#This Row],[RepsRequested]]&gt;1),ContinuousStatsTable[[#This Row],[HalfWidth]],ContinuousStatsTable[[#This Row],[BatchMeansHalfWidth]])</f>
        <v>2.0058204231149332E-2</v>
      </c>
    </row>
    <row r="131" spans="1:21" x14ac:dyDescent="0.2">
      <c r="A131" t="s">
        <v>67</v>
      </c>
      <c r="B131" t="s">
        <v>70</v>
      </c>
      <c r="C131">
        <v>6</v>
      </c>
      <c r="D131" t="s">
        <v>101</v>
      </c>
      <c r="E131" t="s">
        <v>94</v>
      </c>
      <c r="F131" t="s">
        <v>95</v>
      </c>
      <c r="G131">
        <v>2.1546052631579E-3</v>
      </c>
      <c r="H131">
        <v>1.79826170586253E-4</v>
      </c>
      <c r="I131">
        <v>0</v>
      </c>
      <c r="J131">
        <v>3.7499999999999999E-2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1.70504385964912E-3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2.17031677925951E-3</v>
      </c>
      <c r="U131">
        <f>IF((ContinuousStatsTable[[#This Row],[RepsRequested]]&gt;1),ContinuousStatsTable[[#This Row],[HalfWidth]],ContinuousStatsTable[[#This Row],[BatchMeansHalfWidth]])</f>
        <v>4.4865881583116605E-5</v>
      </c>
    </row>
    <row r="132" spans="1:21" x14ac:dyDescent="0.2">
      <c r="A132" t="s">
        <v>67</v>
      </c>
      <c r="B132" t="s">
        <v>70</v>
      </c>
      <c r="C132">
        <v>6</v>
      </c>
      <c r="D132" t="s">
        <v>101</v>
      </c>
      <c r="E132" t="s">
        <v>96</v>
      </c>
      <c r="F132" t="s">
        <v>95</v>
      </c>
      <c r="G132">
        <v>0.172368421052632</v>
      </c>
      <c r="H132">
        <v>1.43860936469003E-2</v>
      </c>
      <c r="I132">
        <v>0</v>
      </c>
      <c r="J132">
        <v>3</v>
      </c>
      <c r="K132">
        <v>0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0.13640350877193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0.17362534234076099</v>
      </c>
      <c r="U132">
        <f>IF((ContinuousStatsTable[[#This Row],[RepsRequested]]&gt;1),ContinuousStatsTable[[#This Row],[HalfWidth]],ContinuousStatsTable[[#This Row],[BatchMeansHalfWidth]])</f>
        <v>3.5892705266493139E-3</v>
      </c>
    </row>
    <row r="133" spans="1:21" x14ac:dyDescent="0.2">
      <c r="A133" t="s">
        <v>67</v>
      </c>
      <c r="B133" t="s">
        <v>70</v>
      </c>
      <c r="C133">
        <v>6</v>
      </c>
      <c r="D133" t="s">
        <v>101</v>
      </c>
      <c r="E133" t="s">
        <v>97</v>
      </c>
      <c r="F133" t="s">
        <v>95</v>
      </c>
      <c r="G133">
        <v>80</v>
      </c>
      <c r="H133">
        <v>2E+20</v>
      </c>
      <c r="I133">
        <v>80</v>
      </c>
      <c r="J133">
        <v>80</v>
      </c>
      <c r="K133">
        <v>80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80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0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80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80</v>
      </c>
      <c r="U133">
        <f>IF((ContinuousStatsTable[[#This Row],[RepsRequested]]&gt;1),ContinuousStatsTable[[#This Row],[HalfWidth]],ContinuousStatsTable[[#This Row],[BatchMeansHalfWidth]])</f>
        <v>0</v>
      </c>
    </row>
    <row r="134" spans="1:21" x14ac:dyDescent="0.2">
      <c r="A134" t="s">
        <v>67</v>
      </c>
      <c r="B134" t="s">
        <v>70</v>
      </c>
      <c r="C134">
        <v>6</v>
      </c>
      <c r="D134" t="s">
        <v>86</v>
      </c>
      <c r="E134" t="s">
        <v>98</v>
      </c>
      <c r="F134" t="s">
        <v>73</v>
      </c>
      <c r="G134">
        <v>0</v>
      </c>
      <c r="H134">
        <v>2E+20</v>
      </c>
      <c r="I134">
        <v>0</v>
      </c>
      <c r="J134">
        <v>0</v>
      </c>
      <c r="K134">
        <v>0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0</v>
      </c>
      <c r="U134">
        <f>IF((ContinuousStatsTable[[#This Row],[RepsRequested]]&gt;1),ContinuousStatsTable[[#This Row],[HalfWidth]],ContinuousStatsTable[[#This Row],[BatchMeansHalfWidth]])</f>
        <v>0</v>
      </c>
    </row>
    <row r="135" spans="1:21" x14ac:dyDescent="0.2">
      <c r="A135" t="s">
        <v>67</v>
      </c>
      <c r="B135" t="s">
        <v>70</v>
      </c>
      <c r="C135">
        <v>6</v>
      </c>
      <c r="D135" t="s">
        <v>87</v>
      </c>
      <c r="E135" t="s">
        <v>98</v>
      </c>
      <c r="F135" t="s">
        <v>73</v>
      </c>
      <c r="G135">
        <v>0</v>
      </c>
      <c r="H135">
        <v>2E+20</v>
      </c>
      <c r="I135">
        <v>0</v>
      </c>
      <c r="J135">
        <v>0</v>
      </c>
      <c r="K135">
        <v>0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0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0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0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2">
      <c r="A136" t="s">
        <v>67</v>
      </c>
      <c r="B136" t="s">
        <v>70</v>
      </c>
      <c r="C136">
        <v>6</v>
      </c>
      <c r="D136" t="s">
        <v>88</v>
      </c>
      <c r="E136" t="s">
        <v>98</v>
      </c>
      <c r="F136" t="s">
        <v>73</v>
      </c>
      <c r="G136">
        <v>1.56588572422381</v>
      </c>
      <c r="H136">
        <v>9.8056822775687794E-2</v>
      </c>
      <c r="I136">
        <v>0</v>
      </c>
      <c r="J136">
        <v>4</v>
      </c>
      <c r="K136">
        <v>1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1.4062336911317099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1.5889769030929</v>
      </c>
      <c r="U136">
        <f>IF((ContinuousStatsTable[[#This Row],[RepsRequested]]&gt;1),ContinuousStatsTable[[#This Row],[HalfWidth]],ContinuousStatsTable[[#This Row],[BatchMeansHalfWidth]])</f>
        <v>1.602866983772662E-2</v>
      </c>
    </row>
    <row r="137" spans="1:21" x14ac:dyDescent="0.2">
      <c r="A137" t="s">
        <v>67</v>
      </c>
      <c r="B137" t="s">
        <v>70</v>
      </c>
      <c r="C137">
        <v>6</v>
      </c>
      <c r="D137" t="s">
        <v>102</v>
      </c>
      <c r="E137" t="s">
        <v>94</v>
      </c>
      <c r="F137" t="s">
        <v>95</v>
      </c>
      <c r="G137">
        <v>5.3660199612322402E-3</v>
      </c>
      <c r="H137">
        <v>3E+20</v>
      </c>
      <c r="I137">
        <v>0</v>
      </c>
      <c r="J137">
        <v>0.15</v>
      </c>
      <c r="K137">
        <v>0.05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4.4956140350877203E-3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5.5482456140350904E-3</v>
      </c>
      <c r="U137">
        <f>IF((ContinuousStatsTable[[#This Row],[RepsRequested]]&gt;1),ContinuousStatsTable[[#This Row],[HalfWidth]],ContinuousStatsTable[[#This Row],[BatchMeansHalfWidth]])</f>
        <v>1.0144486472958472E-4</v>
      </c>
    </row>
    <row r="138" spans="1:21" x14ac:dyDescent="0.2">
      <c r="A138" t="s">
        <v>67</v>
      </c>
      <c r="B138" t="s">
        <v>70</v>
      </c>
      <c r="C138">
        <v>6</v>
      </c>
      <c r="D138" t="s">
        <v>102</v>
      </c>
      <c r="E138" t="s">
        <v>96</v>
      </c>
      <c r="F138" t="s">
        <v>95</v>
      </c>
      <c r="G138">
        <v>0.10732039922464499</v>
      </c>
      <c r="H138">
        <v>3E+20</v>
      </c>
      <c r="I138">
        <v>0</v>
      </c>
      <c r="J138">
        <v>3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8.9912280701754305E-2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0.110964912280702</v>
      </c>
      <c r="U138">
        <f>IF((ContinuousStatsTable[[#This Row],[RepsRequested]]&gt;1),ContinuousStatsTable[[#This Row],[HalfWidth]],ContinuousStatsTable[[#This Row],[BatchMeansHalfWidth]])</f>
        <v>2.0288972945916956E-3</v>
      </c>
    </row>
    <row r="139" spans="1:21" x14ac:dyDescent="0.2">
      <c r="A139" t="s">
        <v>67</v>
      </c>
      <c r="B139" t="s">
        <v>70</v>
      </c>
      <c r="C139">
        <v>6</v>
      </c>
      <c r="D139" t="s">
        <v>102</v>
      </c>
      <c r="E139" t="s">
        <v>97</v>
      </c>
      <c r="F139" t="s">
        <v>95</v>
      </c>
      <c r="G139">
        <v>20</v>
      </c>
      <c r="H139">
        <v>2E+20</v>
      </c>
      <c r="I139">
        <v>20</v>
      </c>
      <c r="J139">
        <v>20</v>
      </c>
      <c r="K139">
        <v>20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20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20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20</v>
      </c>
      <c r="U139">
        <f>IF((ContinuousStatsTable[[#This Row],[RepsRequested]]&gt;1),ContinuousStatsTable[[#This Row],[HalfWidth]],ContinuousStatsTable[[#This Row],[BatchMeansHalfWidth]])</f>
        <v>0</v>
      </c>
    </row>
    <row r="140" spans="1:21" x14ac:dyDescent="0.2">
      <c r="A140" t="s">
        <v>67</v>
      </c>
      <c r="B140" t="s">
        <v>70</v>
      </c>
      <c r="C140">
        <v>6</v>
      </c>
      <c r="D140" t="s">
        <v>90</v>
      </c>
      <c r="E140" t="s">
        <v>98</v>
      </c>
      <c r="F140" t="s">
        <v>73</v>
      </c>
      <c r="G140">
        <v>0</v>
      </c>
      <c r="H140">
        <v>2E+20</v>
      </c>
      <c r="I140">
        <v>0</v>
      </c>
      <c r="J140">
        <v>0</v>
      </c>
      <c r="K140">
        <v>0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0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0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0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2">
      <c r="A141" t="s">
        <v>67</v>
      </c>
      <c r="B141" t="s">
        <v>70</v>
      </c>
      <c r="C141">
        <v>6</v>
      </c>
      <c r="D141" t="s">
        <v>91</v>
      </c>
      <c r="E141" t="s">
        <v>98</v>
      </c>
      <c r="F141" t="s">
        <v>73</v>
      </c>
      <c r="G141">
        <v>0</v>
      </c>
      <c r="H141">
        <v>2E+20</v>
      </c>
      <c r="I141">
        <v>0</v>
      </c>
      <c r="J141">
        <v>0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0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0</v>
      </c>
      <c r="U141">
        <f>IF((ContinuousStatsTable[[#This Row],[RepsRequested]]&gt;1),ContinuousStatsTable[[#This Row],[HalfWidth]],ContinuousStatsTable[[#This Row],[BatchMeansHalfWidth]])</f>
        <v>0</v>
      </c>
    </row>
    <row r="142" spans="1:21" x14ac:dyDescent="0.2">
      <c r="A142" t="s">
        <v>67</v>
      </c>
      <c r="B142" t="s">
        <v>70</v>
      </c>
      <c r="C142">
        <v>6</v>
      </c>
      <c r="D142" t="s">
        <v>92</v>
      </c>
      <c r="E142" t="s">
        <v>98</v>
      </c>
      <c r="F142" t="s">
        <v>73</v>
      </c>
      <c r="G142">
        <v>0</v>
      </c>
      <c r="H142">
        <v>2E+20</v>
      </c>
      <c r="I142">
        <v>0</v>
      </c>
      <c r="J142">
        <v>0</v>
      </c>
      <c r="K142">
        <v>0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0</v>
      </c>
      <c r="U142">
        <f>IF((ContinuousStatsTable[[#This Row],[RepsRequested]]&gt;1),ContinuousStatsTable[[#This Row],[HalfWidth]],ContinuousStatsTable[[#This Row],[BatchMeansHalfWidth]])</f>
        <v>0</v>
      </c>
    </row>
    <row r="143" spans="1:21" x14ac:dyDescent="0.2">
      <c r="A143" t="s">
        <v>67</v>
      </c>
      <c r="B143" t="s">
        <v>70</v>
      </c>
      <c r="C143">
        <v>6</v>
      </c>
      <c r="D143" t="s">
        <v>103</v>
      </c>
      <c r="E143" t="s">
        <v>94</v>
      </c>
      <c r="F143" t="s">
        <v>95</v>
      </c>
      <c r="G143">
        <v>9.2534326714405896E-2</v>
      </c>
      <c r="H143">
        <v>7.9280788439188895E-3</v>
      </c>
      <c r="I143">
        <v>0</v>
      </c>
      <c r="J143">
        <v>0.66666666666666696</v>
      </c>
      <c r="K143">
        <v>0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7.7176470357846902E-2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9.2534326714405896E-2</v>
      </c>
      <c r="U143">
        <f>IF((ContinuousStatsTable[[#This Row],[RepsRequested]]&gt;1),ContinuousStatsTable[[#This Row],[HalfWidth]],ContinuousStatsTable[[#This Row],[BatchMeansHalfWidth]])</f>
        <v>1.3238327186697659E-3</v>
      </c>
    </row>
    <row r="144" spans="1:21" x14ac:dyDescent="0.2">
      <c r="A144" t="s">
        <v>67</v>
      </c>
      <c r="B144" t="s">
        <v>70</v>
      </c>
      <c r="C144">
        <v>6</v>
      </c>
      <c r="D144" t="s">
        <v>103</v>
      </c>
      <c r="E144" t="s">
        <v>96</v>
      </c>
      <c r="F144" t="s">
        <v>95</v>
      </c>
      <c r="G144">
        <v>0.27760298014321699</v>
      </c>
      <c r="H144">
        <v>2.3784236531756701E-2</v>
      </c>
      <c r="I144">
        <v>0</v>
      </c>
      <c r="J144">
        <v>2</v>
      </c>
      <c r="K144">
        <v>0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0.231529411073541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0.27760298014321699</v>
      </c>
      <c r="U144">
        <f>IF((ContinuousStatsTable[[#This Row],[RepsRequested]]&gt;1),ContinuousStatsTable[[#This Row],[HalfWidth]],ContinuousStatsTable[[#This Row],[BatchMeansHalfWidth]])</f>
        <v>3.9714981560092996E-3</v>
      </c>
    </row>
    <row r="145" spans="1:21" x14ac:dyDescent="0.2">
      <c r="A145" t="s">
        <v>67</v>
      </c>
      <c r="B145" t="s">
        <v>70</v>
      </c>
      <c r="C145">
        <v>6</v>
      </c>
      <c r="D145" t="s">
        <v>103</v>
      </c>
      <c r="E145" t="s">
        <v>97</v>
      </c>
      <c r="F145" t="s">
        <v>95</v>
      </c>
      <c r="G145">
        <v>3</v>
      </c>
      <c r="H145">
        <v>2E+20</v>
      </c>
      <c r="I145">
        <v>3</v>
      </c>
      <c r="J145">
        <v>3</v>
      </c>
      <c r="K145">
        <v>3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3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3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3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2">
      <c r="A146" t="s">
        <v>67</v>
      </c>
      <c r="B146" t="s">
        <v>70</v>
      </c>
      <c r="C146">
        <v>7</v>
      </c>
      <c r="D146" t="s">
        <v>93</v>
      </c>
      <c r="E146" t="s">
        <v>94</v>
      </c>
      <c r="F146" t="s">
        <v>95</v>
      </c>
      <c r="G146">
        <v>0.233333333333333</v>
      </c>
      <c r="H146">
        <v>2.2138599824267899E-2</v>
      </c>
      <c r="I146">
        <v>0</v>
      </c>
      <c r="J146">
        <v>1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0.233333333333333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0.27905535859326402</v>
      </c>
      <c r="U146">
        <f>IF((ContinuousStatsTable[[#This Row],[RepsRequested]]&gt;1),ContinuousStatsTable[[#This Row],[HalfWidth]],ContinuousStatsTable[[#This Row],[BatchMeansHalfWidth]])</f>
        <v>4.2029769261323026E-3</v>
      </c>
    </row>
    <row r="147" spans="1:21" x14ac:dyDescent="0.2">
      <c r="A147" t="s">
        <v>67</v>
      </c>
      <c r="B147" t="s">
        <v>70</v>
      </c>
      <c r="C147">
        <v>7</v>
      </c>
      <c r="D147" t="s">
        <v>93</v>
      </c>
      <c r="E147" t="s">
        <v>96</v>
      </c>
      <c r="F147" t="s">
        <v>95</v>
      </c>
      <c r="G147">
        <v>0.233333333333333</v>
      </c>
      <c r="H147">
        <v>2.2138599824267899E-2</v>
      </c>
      <c r="I147">
        <v>0</v>
      </c>
      <c r="J147">
        <v>1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0.233333333333333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0.27905535859326402</v>
      </c>
      <c r="U147">
        <f>IF((ContinuousStatsTable[[#This Row],[RepsRequested]]&gt;1),ContinuousStatsTable[[#This Row],[HalfWidth]],ContinuousStatsTable[[#This Row],[BatchMeansHalfWidth]])</f>
        <v>4.2029769261323026E-3</v>
      </c>
    </row>
    <row r="148" spans="1:21" x14ac:dyDescent="0.2">
      <c r="A148" t="s">
        <v>67</v>
      </c>
      <c r="B148" t="s">
        <v>70</v>
      </c>
      <c r="C148">
        <v>7</v>
      </c>
      <c r="D148" t="s">
        <v>93</v>
      </c>
      <c r="E148" t="s">
        <v>97</v>
      </c>
      <c r="F148" t="s">
        <v>95</v>
      </c>
      <c r="G148">
        <v>1</v>
      </c>
      <c r="H148">
        <v>2E+20</v>
      </c>
      <c r="I148">
        <v>1</v>
      </c>
      <c r="J148">
        <v>1</v>
      </c>
      <c r="K148">
        <v>1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1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0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1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1</v>
      </c>
      <c r="U148">
        <f>IF((ContinuousStatsTable[[#This Row],[RepsRequested]]&gt;1),ContinuousStatsTable[[#This Row],[HalfWidth]],ContinuousStatsTable[[#This Row],[BatchMeansHalfWidth]])</f>
        <v>0</v>
      </c>
    </row>
    <row r="149" spans="1:21" x14ac:dyDescent="0.2">
      <c r="A149" t="s">
        <v>67</v>
      </c>
      <c r="B149" t="s">
        <v>70</v>
      </c>
      <c r="C149">
        <v>7</v>
      </c>
      <c r="D149" t="s">
        <v>71</v>
      </c>
      <c r="E149" t="s">
        <v>98</v>
      </c>
      <c r="F149" t="s">
        <v>73</v>
      </c>
      <c r="G149">
        <v>2.2946863419875702E-2</v>
      </c>
      <c r="H149">
        <v>2E+20</v>
      </c>
      <c r="I149">
        <v>0</v>
      </c>
      <c r="J149">
        <v>2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1.9664517785186901E-2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3.9738966906982302E-2</v>
      </c>
      <c r="U149">
        <f>IF((ContinuousStatsTable[[#This Row],[RepsRequested]]&gt;1),ContinuousStatsTable[[#This Row],[HalfWidth]],ContinuousStatsTable[[#This Row],[BatchMeansHalfWidth]])</f>
        <v>1.6627262085570247E-3</v>
      </c>
    </row>
    <row r="150" spans="1:21" x14ac:dyDescent="0.2">
      <c r="A150" t="s">
        <v>67</v>
      </c>
      <c r="B150" t="s">
        <v>70</v>
      </c>
      <c r="C150">
        <v>7</v>
      </c>
      <c r="D150" t="s">
        <v>99</v>
      </c>
      <c r="E150" t="s">
        <v>94</v>
      </c>
      <c r="F150" t="s">
        <v>95</v>
      </c>
      <c r="G150">
        <v>0.58256422876290004</v>
      </c>
      <c r="H150">
        <v>2E+20</v>
      </c>
      <c r="I150">
        <v>0</v>
      </c>
      <c r="J150">
        <v>1</v>
      </c>
      <c r="K150">
        <v>0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0.58256422876290004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0.68643238055161704</v>
      </c>
      <c r="U150">
        <f>IF((ContinuousStatsTable[[#This Row],[RepsRequested]]&gt;1),ContinuousStatsTable[[#This Row],[HalfWidth]],ContinuousStatsTable[[#This Row],[BatchMeansHalfWidth]])</f>
        <v>9.8490003000806757E-3</v>
      </c>
    </row>
    <row r="151" spans="1:21" x14ac:dyDescent="0.2">
      <c r="A151" t="s">
        <v>67</v>
      </c>
      <c r="B151" t="s">
        <v>70</v>
      </c>
      <c r="C151">
        <v>7</v>
      </c>
      <c r="D151" t="s">
        <v>99</v>
      </c>
      <c r="E151" t="s">
        <v>96</v>
      </c>
      <c r="F151" t="s">
        <v>95</v>
      </c>
      <c r="G151">
        <v>1.1651284575258001</v>
      </c>
      <c r="H151">
        <v>2E+20</v>
      </c>
      <c r="I151">
        <v>0</v>
      </c>
      <c r="J151">
        <v>2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1.1651284575258001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1.3728647611032301</v>
      </c>
      <c r="U151">
        <f>IF((ContinuousStatsTable[[#This Row],[RepsRequested]]&gt;1),ContinuousStatsTable[[#This Row],[HalfWidth]],ContinuousStatsTable[[#This Row],[BatchMeansHalfWidth]])</f>
        <v>1.9698000600160998E-2</v>
      </c>
    </row>
    <row r="152" spans="1:21" x14ac:dyDescent="0.2">
      <c r="A152" t="s">
        <v>67</v>
      </c>
      <c r="B152" t="s">
        <v>70</v>
      </c>
      <c r="C152">
        <v>7</v>
      </c>
      <c r="D152" t="s">
        <v>99</v>
      </c>
      <c r="E152" t="s">
        <v>97</v>
      </c>
      <c r="F152" t="s">
        <v>95</v>
      </c>
      <c r="G152">
        <v>2</v>
      </c>
      <c r="H152">
        <v>2E+20</v>
      </c>
      <c r="I152">
        <v>2</v>
      </c>
      <c r="J152">
        <v>2</v>
      </c>
      <c r="K152">
        <v>2</v>
      </c>
      <c r="L152">
        <v>0</v>
      </c>
      <c r="M152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152" cm="1">
        <f t="array" ref="N152">MAX(IF((ProjectInfoTable[ProjectName]=ContinuousStatsTable[[#This Row],[ProjectName]]),(ProjectInfoTable[ProjectName]=ContinuousStatsTable[[#This Row],[ProjectName]])*ProjectInfoTable[NumberOfReplications]))</f>
        <v>30</v>
      </c>
      <c r="O152" cm="1">
        <f t="array" ref="O152">IFERROR(AVERAGE(IF((ContinuousStatsTable[GroupByKey]=ContinuousStatsTable[[#This Row],[GroupByKey]]),(ContinuousStatsTable[GroupByKey]=ContinuousStatsTable[[#This Row],[GroupByKey]])*ContinuousStatsTable[Average])),0)</f>
        <v>2</v>
      </c>
      <c r="P152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0</v>
      </c>
      <c r="Q152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2" cm="1">
        <f t="array" ref="S152">MIN(IF((ContinuousStatsTable[GroupByKey]=ContinuousStatsTable[[#This Row],[GroupByKey]]),(ContinuousStatsTable[GroupByKey]=ContinuousStatsTable[[#This Row],[GroupByKey]])*ContinuousStatsTable[Average]))</f>
        <v>2</v>
      </c>
      <c r="T152" cm="1">
        <f t="array" ref="T152">MAX(IF((ContinuousStatsTable[GroupByKey]=ContinuousStatsTable[[#This Row],[GroupByKey]]),(ContinuousStatsTable[GroupByKey]=ContinuousStatsTable[[#This Row],[GroupByKey]])*ContinuousStatsTable[Average]))</f>
        <v>2</v>
      </c>
      <c r="U152">
        <f>IF((ContinuousStatsTable[[#This Row],[RepsRequested]]&gt;1),ContinuousStatsTable[[#This Row],[HalfWidth]],ContinuousStatsTable[[#This Row],[BatchMeansHalfWidth]])</f>
        <v>0</v>
      </c>
    </row>
    <row r="153" spans="1:21" x14ac:dyDescent="0.2">
      <c r="A153" t="s">
        <v>67</v>
      </c>
      <c r="B153" t="s">
        <v>70</v>
      </c>
      <c r="C153">
        <v>7</v>
      </c>
      <c r="D153" t="s">
        <v>74</v>
      </c>
      <c r="E153" t="s">
        <v>100</v>
      </c>
      <c r="F153" t="s">
        <v>76</v>
      </c>
      <c r="G153">
        <v>14.4112589759764</v>
      </c>
      <c r="H153">
        <v>1.07014177419594</v>
      </c>
      <c r="I153">
        <v>2</v>
      </c>
      <c r="J153">
        <v>31</v>
      </c>
      <c r="K153">
        <v>9</v>
      </c>
      <c r="L153">
        <v>0</v>
      </c>
      <c r="M153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53" cm="1">
        <f t="array" ref="N153">MAX(IF((ProjectInfoTable[ProjectName]=ContinuousStatsTable[[#This Row],[ProjectName]]),(ProjectInfoTable[ProjectName]=ContinuousStatsTable[[#This Row],[ProjectName]])*ProjectInfoTable[NumberOfReplications]))</f>
        <v>30</v>
      </c>
      <c r="O153" cm="1">
        <f t="array" ref="O153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153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153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153" cm="1">
        <f t="array" ref="S153">MIN(IF((ContinuousStatsTable[GroupByKey]=ContinuousStatsTable[[#This Row],[GroupByKey]]),(ContinuousStatsTable[GroupByKey]=ContinuousStatsTable[[#This Row],[GroupByKey]])*ContinuousStatsTable[Average]))</f>
        <v>14.4112589759764</v>
      </c>
      <c r="T153" cm="1">
        <f t="array" ref="T153">MAX(IF((ContinuousStatsTable[GroupByKey]=ContinuousStatsTable[[#This Row],[GroupByKey]]),(ContinuousStatsTable[GroupByKey]=ContinuousStatsTable[[#This Row],[GroupByKey]])*ContinuousStatsTable[Average]))</f>
        <v>16.972707717517899</v>
      </c>
      <c r="U153">
        <f>IF((ContinuousStatsTable[[#This Row],[RepsRequested]]&gt;1),ContinuousStatsTable[[#This Row],[HalfWidth]],ContinuousStatsTable[[#This Row],[BatchMeansHalfWidth]])</f>
        <v>0.25870181881670146</v>
      </c>
    </row>
    <row r="154" spans="1:21" x14ac:dyDescent="0.2">
      <c r="A154" t="s">
        <v>67</v>
      </c>
      <c r="B154" t="s">
        <v>70</v>
      </c>
      <c r="C154">
        <v>7</v>
      </c>
      <c r="D154" t="s">
        <v>82</v>
      </c>
      <c r="E154" t="s">
        <v>98</v>
      </c>
      <c r="F154" t="s">
        <v>73</v>
      </c>
      <c r="G154">
        <v>0.11705037425227</v>
      </c>
      <c r="H154">
        <v>2E+20</v>
      </c>
      <c r="I154">
        <v>0</v>
      </c>
      <c r="J154">
        <v>3</v>
      </c>
      <c r="K154">
        <v>0</v>
      </c>
      <c r="L154">
        <v>0</v>
      </c>
      <c r="M154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154" cm="1">
        <f t="array" ref="N154">MAX(IF((ProjectInfoTable[ProjectName]=ContinuousStatsTable[[#This Row],[ProjectName]]),(ProjectInfoTable[ProjectName]=ContinuousStatsTable[[#This Row],[ProjectName]])*ProjectInfoTable[NumberOfReplications]))</f>
        <v>30</v>
      </c>
      <c r="O154" cm="1">
        <f t="array" ref="O154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154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154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154" cm="1">
        <f t="array" ref="S154">MIN(IF((ContinuousStatsTable[GroupByKey]=ContinuousStatsTable[[#This Row],[GroupByKey]]),(ContinuousStatsTable[GroupByKey]=ContinuousStatsTable[[#This Row],[GroupByKey]])*ContinuousStatsTable[Average]))</f>
        <v>7.4406608295854798E-2</v>
      </c>
      <c r="T154" cm="1">
        <f t="array" ref="T154">MAX(IF((ContinuousStatsTable[GroupByKey]=ContinuousStatsTable[[#This Row],[GroupByKey]]),(ContinuousStatsTable[GroupByKey]=ContinuousStatsTable[[#This Row],[GroupByKey]])*ContinuousStatsTable[Average]))</f>
        <v>0.29874320707386398</v>
      </c>
      <c r="U154">
        <f>IF((ContinuousStatsTable[[#This Row],[RepsRequested]]&gt;1),ContinuousStatsTable[[#This Row],[HalfWidth]],ContinuousStatsTable[[#This Row],[BatchMeansHalfWidth]])</f>
        <v>2.0058204231149332E-2</v>
      </c>
    </row>
    <row r="155" spans="1:21" x14ac:dyDescent="0.2">
      <c r="A155" t="s">
        <v>67</v>
      </c>
      <c r="B155" t="s">
        <v>70</v>
      </c>
      <c r="C155">
        <v>7</v>
      </c>
      <c r="D155" t="s">
        <v>101</v>
      </c>
      <c r="E155" t="s">
        <v>94</v>
      </c>
      <c r="F155" t="s">
        <v>95</v>
      </c>
      <c r="G155">
        <v>1.7269736842105299E-3</v>
      </c>
      <c r="H155">
        <v>1.9020543178071799E-4</v>
      </c>
      <c r="I155">
        <v>0</v>
      </c>
      <c r="J155">
        <v>3.7499999999999999E-2</v>
      </c>
      <c r="K155">
        <v>0</v>
      </c>
      <c r="L155">
        <v>0</v>
      </c>
      <c r="M155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155" cm="1">
        <f t="array" ref="N155">MAX(IF((ProjectInfoTable[ProjectName]=ContinuousStatsTable[[#This Row],[ProjectName]]),(ProjectInfoTable[ProjectName]=ContinuousStatsTable[[#This Row],[ProjectName]])*ProjectInfoTable[NumberOfReplications]))</f>
        <v>30</v>
      </c>
      <c r="O155" cm="1">
        <f t="array" ref="O155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15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15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155" cm="1">
        <f t="array" ref="S155">MIN(IF((ContinuousStatsTable[GroupByKey]=ContinuousStatsTable[[#This Row],[GroupByKey]]),(ContinuousStatsTable[GroupByKey]=ContinuousStatsTable[[#This Row],[GroupByKey]])*ContinuousStatsTable[Average]))</f>
        <v>1.70504385964912E-3</v>
      </c>
      <c r="T155" cm="1">
        <f t="array" ref="T155">MAX(IF((ContinuousStatsTable[GroupByKey]=ContinuousStatsTable[[#This Row],[GroupByKey]]),(ContinuousStatsTable[GroupByKey]=ContinuousStatsTable[[#This Row],[GroupByKey]])*ContinuousStatsTable[Average]))</f>
        <v>2.17031677925951E-3</v>
      </c>
      <c r="U155">
        <f>IF((ContinuousStatsTable[[#This Row],[RepsRequested]]&gt;1),ContinuousStatsTable[[#This Row],[HalfWidth]],ContinuousStatsTable[[#This Row],[BatchMeansHalfWidth]])</f>
        <v>4.4865881583116605E-5</v>
      </c>
    </row>
    <row r="156" spans="1:21" x14ac:dyDescent="0.2">
      <c r="A156" t="s">
        <v>67</v>
      </c>
      <c r="B156" t="s">
        <v>70</v>
      </c>
      <c r="C156">
        <v>7</v>
      </c>
      <c r="D156" t="s">
        <v>101</v>
      </c>
      <c r="E156" t="s">
        <v>96</v>
      </c>
      <c r="F156" t="s">
        <v>95</v>
      </c>
      <c r="G156">
        <v>0.13815789473684201</v>
      </c>
      <c r="H156">
        <v>1.5216434542457399E-2</v>
      </c>
      <c r="I156">
        <v>0</v>
      </c>
      <c r="J156">
        <v>3</v>
      </c>
      <c r="K156">
        <v>0</v>
      </c>
      <c r="L156">
        <v>0</v>
      </c>
      <c r="M156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156" cm="1">
        <f t="array" ref="N156">MAX(IF((ProjectInfoTable[ProjectName]=ContinuousStatsTable[[#This Row],[ProjectName]]),(ProjectInfoTable[ProjectName]=ContinuousStatsTable[[#This Row],[ProjectName]])*ProjectInfoTable[NumberOfReplications]))</f>
        <v>30</v>
      </c>
      <c r="O156" cm="1">
        <f t="array" ref="O156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156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156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156" cm="1">
        <f t="array" ref="S156">MIN(IF((ContinuousStatsTable[GroupByKey]=ContinuousStatsTable[[#This Row],[GroupByKey]]),(ContinuousStatsTable[GroupByKey]=ContinuousStatsTable[[#This Row],[GroupByKey]])*ContinuousStatsTable[Average]))</f>
        <v>0.13640350877193</v>
      </c>
      <c r="T156" cm="1">
        <f t="array" ref="T156">MAX(IF((ContinuousStatsTable[GroupByKey]=ContinuousStatsTable[[#This Row],[GroupByKey]]),(ContinuousStatsTable[GroupByKey]=ContinuousStatsTable[[#This Row],[GroupByKey]])*ContinuousStatsTable[Average]))</f>
        <v>0.17362534234076099</v>
      </c>
      <c r="U156">
        <f>IF((ContinuousStatsTable[[#This Row],[RepsRequested]]&gt;1),ContinuousStatsTable[[#This Row],[HalfWidth]],ContinuousStatsTable[[#This Row],[BatchMeansHalfWidth]])</f>
        <v>3.5892705266493139E-3</v>
      </c>
    </row>
    <row r="157" spans="1:21" x14ac:dyDescent="0.2">
      <c r="A157" t="s">
        <v>67</v>
      </c>
      <c r="B157" t="s">
        <v>70</v>
      </c>
      <c r="C157">
        <v>7</v>
      </c>
      <c r="D157" t="s">
        <v>101</v>
      </c>
      <c r="E157" t="s">
        <v>97</v>
      </c>
      <c r="F157" t="s">
        <v>95</v>
      </c>
      <c r="G157">
        <v>80</v>
      </c>
      <c r="H157">
        <v>2E+20</v>
      </c>
      <c r="I157">
        <v>80</v>
      </c>
      <c r="J157">
        <v>80</v>
      </c>
      <c r="K157">
        <v>80</v>
      </c>
      <c r="L157">
        <v>0</v>
      </c>
      <c r="M157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157" cm="1">
        <f t="array" ref="N157">MAX(IF((ProjectInfoTable[ProjectName]=ContinuousStatsTable[[#This Row],[ProjectName]]),(ProjectInfoTable[ProjectName]=ContinuousStatsTable[[#This Row],[ProjectName]])*ProjectInfoTable[NumberOfReplications]))</f>
        <v>30</v>
      </c>
      <c r="O157" cm="1">
        <f t="array" ref="O157">IFERROR(AVERAGE(IF((ContinuousStatsTable[GroupByKey]=ContinuousStatsTable[[#This Row],[GroupByKey]]),(ContinuousStatsTable[GroupByKey]=ContinuousStatsTable[[#This Row],[GroupByKey]])*ContinuousStatsTable[Average])),0)</f>
        <v>80</v>
      </c>
      <c r="P157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0</v>
      </c>
      <c r="Q157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7" cm="1">
        <f t="array" ref="S157">MIN(IF((ContinuousStatsTable[GroupByKey]=ContinuousStatsTable[[#This Row],[GroupByKey]]),(ContinuousStatsTable[GroupByKey]=ContinuousStatsTable[[#This Row],[GroupByKey]])*ContinuousStatsTable[Average]))</f>
        <v>80</v>
      </c>
      <c r="T157" cm="1">
        <f t="array" ref="T157">MAX(IF((ContinuousStatsTable[GroupByKey]=ContinuousStatsTable[[#This Row],[GroupByKey]]),(ContinuousStatsTable[GroupByKey]=ContinuousStatsTable[[#This Row],[GroupByKey]])*ContinuousStatsTable[Average]))</f>
        <v>80</v>
      </c>
      <c r="U157">
        <f>IF((ContinuousStatsTable[[#This Row],[RepsRequested]]&gt;1),ContinuousStatsTable[[#This Row],[HalfWidth]],ContinuousStatsTable[[#This Row],[BatchMeansHalfWidth]])</f>
        <v>0</v>
      </c>
    </row>
    <row r="158" spans="1:21" x14ac:dyDescent="0.2">
      <c r="A158" t="s">
        <v>67</v>
      </c>
      <c r="B158" t="s">
        <v>70</v>
      </c>
      <c r="C158">
        <v>7</v>
      </c>
      <c r="D158" t="s">
        <v>86</v>
      </c>
      <c r="E158" t="s">
        <v>98</v>
      </c>
      <c r="F158" t="s">
        <v>73</v>
      </c>
      <c r="G158">
        <v>0</v>
      </c>
      <c r="H158">
        <v>2E+20</v>
      </c>
      <c r="I158">
        <v>0</v>
      </c>
      <c r="J158">
        <v>0</v>
      </c>
      <c r="K158">
        <v>0</v>
      </c>
      <c r="L158">
        <v>0</v>
      </c>
      <c r="M158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158" cm="1">
        <f t="array" ref="N158">MAX(IF((ProjectInfoTable[ProjectName]=ContinuousStatsTable[[#This Row],[ProjectName]]),(ProjectInfoTable[ProjectName]=ContinuousStatsTable[[#This Row],[ProjectName]])*ProjectInfoTable[NumberOfReplications]))</f>
        <v>30</v>
      </c>
      <c r="O158" cm="1">
        <f t="array" ref="O158">IFERROR(AVERAGE(IF((ContinuousStatsTable[GroupByKey]=ContinuousStatsTable[[#This Row],[GroupByKey]]),(ContinuousStatsTable[GroupByKey]=ContinuousStatsTable[[#This Row],[GroupByKey]])*ContinuousStatsTable[Average])),0)</f>
        <v>0</v>
      </c>
      <c r="P158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0</v>
      </c>
      <c r="Q158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8" cm="1">
        <f t="array" ref="S158">MIN(IF((ContinuousStatsTable[GroupByKey]=ContinuousStatsTable[[#This Row],[GroupByKey]]),(ContinuousStatsTable[GroupByKey]=ContinuousStatsTable[[#This Row],[GroupByKey]])*ContinuousStatsTable[Average]))</f>
        <v>0</v>
      </c>
      <c r="T158" cm="1">
        <f t="array" ref="T158">MAX(IF((ContinuousStatsTable[GroupByKey]=ContinuousStatsTable[[#This Row],[GroupByKey]]),(ContinuousStatsTable[GroupByKey]=ContinuousStatsTable[[#This Row],[GroupByKey]])*ContinuousStatsTable[Average]))</f>
        <v>0</v>
      </c>
      <c r="U158">
        <f>IF((ContinuousStatsTable[[#This Row],[RepsRequested]]&gt;1),ContinuousStatsTable[[#This Row],[HalfWidth]],ContinuousStatsTable[[#This Row],[BatchMeansHalfWidth]])</f>
        <v>0</v>
      </c>
    </row>
    <row r="159" spans="1:21" x14ac:dyDescent="0.2">
      <c r="A159" t="s">
        <v>67</v>
      </c>
      <c r="B159" t="s">
        <v>70</v>
      </c>
      <c r="C159">
        <v>7</v>
      </c>
      <c r="D159" t="s">
        <v>87</v>
      </c>
      <c r="E159" t="s">
        <v>98</v>
      </c>
      <c r="F159" t="s">
        <v>73</v>
      </c>
      <c r="G159">
        <v>0</v>
      </c>
      <c r="H159">
        <v>2E+20</v>
      </c>
      <c r="I159">
        <v>0</v>
      </c>
      <c r="J159">
        <v>0</v>
      </c>
      <c r="K159">
        <v>0</v>
      </c>
      <c r="L159">
        <v>0</v>
      </c>
      <c r="M159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159" cm="1">
        <f t="array" ref="N159">MAX(IF((ProjectInfoTable[ProjectName]=ContinuousStatsTable[[#This Row],[ProjectName]]),(ProjectInfoTable[ProjectName]=ContinuousStatsTable[[#This Row],[ProjectName]])*ProjectInfoTable[NumberOfReplications]))</f>
        <v>30</v>
      </c>
      <c r="O159" cm="1">
        <f t="array" ref="O159">IFERROR(AVERAGE(IF((ContinuousStatsTable[GroupByKey]=ContinuousStatsTable[[#This Row],[GroupByKey]]),(ContinuousStatsTable[GroupByKey]=ContinuousStatsTable[[#This Row],[GroupByKey]])*ContinuousStatsTable[Average])),0)</f>
        <v>0</v>
      </c>
      <c r="P159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</v>
      </c>
      <c r="Q159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9" cm="1">
        <f t="array" ref="S159">MIN(IF((ContinuousStatsTable[GroupByKey]=ContinuousStatsTable[[#This Row],[GroupByKey]]),(ContinuousStatsTable[GroupByKey]=ContinuousStatsTable[[#This Row],[GroupByKey]])*ContinuousStatsTable[Average]))</f>
        <v>0</v>
      </c>
      <c r="T159" cm="1">
        <f t="array" ref="T159">MAX(IF((ContinuousStatsTable[GroupByKey]=ContinuousStatsTable[[#This Row],[GroupByKey]]),(ContinuousStatsTable[GroupByKey]=ContinuousStatsTable[[#This Row],[GroupByKey]])*ContinuousStatsTable[Average]))</f>
        <v>0</v>
      </c>
      <c r="U159">
        <f>IF((ContinuousStatsTable[[#This Row],[RepsRequested]]&gt;1),ContinuousStatsTable[[#This Row],[HalfWidth]],ContinuousStatsTable[[#This Row],[BatchMeansHalfWidth]])</f>
        <v>0</v>
      </c>
    </row>
    <row r="160" spans="1:21" x14ac:dyDescent="0.2">
      <c r="A160" t="s">
        <v>67</v>
      </c>
      <c r="B160" t="s">
        <v>70</v>
      </c>
      <c r="C160">
        <v>7</v>
      </c>
      <c r="D160" t="s">
        <v>88</v>
      </c>
      <c r="E160" t="s">
        <v>98</v>
      </c>
      <c r="F160" t="s">
        <v>73</v>
      </c>
      <c r="G160">
        <v>1.44845781424575</v>
      </c>
      <c r="H160">
        <v>9.2998419160508605E-2</v>
      </c>
      <c r="I160">
        <v>0</v>
      </c>
      <c r="J160">
        <v>4</v>
      </c>
      <c r="K160">
        <v>3</v>
      </c>
      <c r="L160">
        <v>0</v>
      </c>
      <c r="M160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160" cm="1">
        <f t="array" ref="N160">MAX(IF((ProjectInfoTable[ProjectName]=ContinuousStatsTable[[#This Row],[ProjectName]]),(ProjectInfoTable[ProjectName]=ContinuousStatsTable[[#This Row],[ProjectName]])*ProjectInfoTable[NumberOfReplications]))</f>
        <v>30</v>
      </c>
      <c r="O160" cm="1">
        <f t="array" ref="O160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160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160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160" cm="1">
        <f t="array" ref="S160">MIN(IF((ContinuousStatsTable[GroupByKey]=ContinuousStatsTable[[#This Row],[GroupByKey]]),(ContinuousStatsTable[GroupByKey]=ContinuousStatsTable[[#This Row],[GroupByKey]])*ContinuousStatsTable[Average]))</f>
        <v>1.4062336911317099</v>
      </c>
      <c r="T160" cm="1">
        <f t="array" ref="T160">MAX(IF((ContinuousStatsTable[GroupByKey]=ContinuousStatsTable[[#This Row],[GroupByKey]]),(ContinuousStatsTable[GroupByKey]=ContinuousStatsTable[[#This Row],[GroupByKey]])*ContinuousStatsTable[Average]))</f>
        <v>1.5889769030929</v>
      </c>
      <c r="U160">
        <f>IF((ContinuousStatsTable[[#This Row],[RepsRequested]]&gt;1),ContinuousStatsTable[[#This Row],[HalfWidth]],ContinuousStatsTable[[#This Row],[BatchMeansHalfWidth]])</f>
        <v>1.602866983772662E-2</v>
      </c>
    </row>
    <row r="161" spans="1:21" x14ac:dyDescent="0.2">
      <c r="A161" t="s">
        <v>67</v>
      </c>
      <c r="B161" t="s">
        <v>70</v>
      </c>
      <c r="C161">
        <v>7</v>
      </c>
      <c r="D161" t="s">
        <v>102</v>
      </c>
      <c r="E161" t="s">
        <v>94</v>
      </c>
      <c r="F161" t="s">
        <v>95</v>
      </c>
      <c r="G161">
        <v>4.6710526315789404E-3</v>
      </c>
      <c r="H161">
        <v>7.38440559105464E-4</v>
      </c>
      <c r="I161">
        <v>0</v>
      </c>
      <c r="J161">
        <v>0.15</v>
      </c>
      <c r="K161">
        <v>0</v>
      </c>
      <c r="L161">
        <v>0</v>
      </c>
      <c r="M161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161" cm="1">
        <f t="array" ref="N161">MAX(IF((ProjectInfoTable[ProjectName]=ContinuousStatsTable[[#This Row],[ProjectName]]),(ProjectInfoTable[ProjectName]=ContinuousStatsTable[[#This Row],[ProjectName]])*ProjectInfoTable[NumberOfReplications]))</f>
        <v>30</v>
      </c>
      <c r="O161" cm="1">
        <f t="array" ref="O161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161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161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161" cm="1">
        <f t="array" ref="S161">MIN(IF((ContinuousStatsTable[GroupByKey]=ContinuousStatsTable[[#This Row],[GroupByKey]]),(ContinuousStatsTable[GroupByKey]=ContinuousStatsTable[[#This Row],[GroupByKey]])*ContinuousStatsTable[Average]))</f>
        <v>4.4956140350877203E-3</v>
      </c>
      <c r="T161" cm="1">
        <f t="array" ref="T161">MAX(IF((ContinuousStatsTable[GroupByKey]=ContinuousStatsTable[[#This Row],[GroupByKey]]),(ContinuousStatsTable[GroupByKey]=ContinuousStatsTable[[#This Row],[GroupByKey]])*ContinuousStatsTable[Average]))</f>
        <v>5.5482456140350904E-3</v>
      </c>
      <c r="U161">
        <f>IF((ContinuousStatsTable[[#This Row],[RepsRequested]]&gt;1),ContinuousStatsTable[[#This Row],[HalfWidth]],ContinuousStatsTable[[#This Row],[BatchMeansHalfWidth]])</f>
        <v>1.0144486472958472E-4</v>
      </c>
    </row>
    <row r="162" spans="1:21" x14ac:dyDescent="0.2">
      <c r="A162" t="s">
        <v>67</v>
      </c>
      <c r="B162" t="s">
        <v>70</v>
      </c>
      <c r="C162">
        <v>7</v>
      </c>
      <c r="D162" t="s">
        <v>102</v>
      </c>
      <c r="E162" t="s">
        <v>96</v>
      </c>
      <c r="F162" t="s">
        <v>95</v>
      </c>
      <c r="G162">
        <v>9.3421052631578905E-2</v>
      </c>
      <c r="H162">
        <v>1.47688111821093E-2</v>
      </c>
      <c r="I162">
        <v>0</v>
      </c>
      <c r="J162">
        <v>3</v>
      </c>
      <c r="K162">
        <v>0</v>
      </c>
      <c r="L162">
        <v>0</v>
      </c>
      <c r="M162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162" cm="1">
        <f t="array" ref="N162">MAX(IF((ProjectInfoTable[ProjectName]=ContinuousStatsTable[[#This Row],[ProjectName]]),(ProjectInfoTable[ProjectName]=ContinuousStatsTable[[#This Row],[ProjectName]])*ProjectInfoTable[NumberOfReplications]))</f>
        <v>30</v>
      </c>
      <c r="O162" cm="1">
        <f t="array" ref="O162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162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162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162" cm="1">
        <f t="array" ref="S162">MIN(IF((ContinuousStatsTable[GroupByKey]=ContinuousStatsTable[[#This Row],[GroupByKey]]),(ContinuousStatsTable[GroupByKey]=ContinuousStatsTable[[#This Row],[GroupByKey]])*ContinuousStatsTable[Average]))</f>
        <v>8.9912280701754305E-2</v>
      </c>
      <c r="T162" cm="1">
        <f t="array" ref="T162">MAX(IF((ContinuousStatsTable[GroupByKey]=ContinuousStatsTable[[#This Row],[GroupByKey]]),(ContinuousStatsTable[GroupByKey]=ContinuousStatsTable[[#This Row],[GroupByKey]])*ContinuousStatsTable[Average]))</f>
        <v>0.110964912280702</v>
      </c>
      <c r="U162">
        <f>IF((ContinuousStatsTable[[#This Row],[RepsRequested]]&gt;1),ContinuousStatsTable[[#This Row],[HalfWidth]],ContinuousStatsTable[[#This Row],[BatchMeansHalfWidth]])</f>
        <v>2.0288972945916956E-3</v>
      </c>
    </row>
    <row r="163" spans="1:21" x14ac:dyDescent="0.2">
      <c r="A163" t="s">
        <v>67</v>
      </c>
      <c r="B163" t="s">
        <v>70</v>
      </c>
      <c r="C163">
        <v>7</v>
      </c>
      <c r="D163" t="s">
        <v>102</v>
      </c>
      <c r="E163" t="s">
        <v>97</v>
      </c>
      <c r="F163" t="s">
        <v>95</v>
      </c>
      <c r="G163">
        <v>20</v>
      </c>
      <c r="H163">
        <v>2E+20</v>
      </c>
      <c r="I163">
        <v>20</v>
      </c>
      <c r="J163">
        <v>20</v>
      </c>
      <c r="K163">
        <v>20</v>
      </c>
      <c r="L163">
        <v>0</v>
      </c>
      <c r="M163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163" cm="1">
        <f t="array" ref="N163">MAX(IF((ProjectInfoTable[ProjectName]=ContinuousStatsTable[[#This Row],[ProjectName]]),(ProjectInfoTable[ProjectName]=ContinuousStatsTable[[#This Row],[ProjectName]])*ProjectInfoTable[NumberOfReplications]))</f>
        <v>30</v>
      </c>
      <c r="O163" cm="1">
        <f t="array" ref="O163">IFERROR(AVERAGE(IF((ContinuousStatsTable[GroupByKey]=ContinuousStatsTable[[#This Row],[GroupByKey]]),(ContinuousStatsTable[GroupByKey]=ContinuousStatsTable[[#This Row],[GroupByKey]])*ContinuousStatsTable[Average])),0)</f>
        <v>20</v>
      </c>
      <c r="P163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0</v>
      </c>
      <c r="Q163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3" cm="1">
        <f t="array" ref="S163">MIN(IF((ContinuousStatsTable[GroupByKey]=ContinuousStatsTable[[#This Row],[GroupByKey]]),(ContinuousStatsTable[GroupByKey]=ContinuousStatsTable[[#This Row],[GroupByKey]])*ContinuousStatsTable[Average]))</f>
        <v>20</v>
      </c>
      <c r="T163" cm="1">
        <f t="array" ref="T163">MAX(IF((ContinuousStatsTable[GroupByKey]=ContinuousStatsTable[[#This Row],[GroupByKey]]),(ContinuousStatsTable[GroupByKey]=ContinuousStatsTable[[#This Row],[GroupByKey]])*ContinuousStatsTable[Average]))</f>
        <v>20</v>
      </c>
      <c r="U163">
        <f>IF((ContinuousStatsTable[[#This Row],[RepsRequested]]&gt;1),ContinuousStatsTable[[#This Row],[HalfWidth]],ContinuousStatsTable[[#This Row],[BatchMeansHalfWidth]])</f>
        <v>0</v>
      </c>
    </row>
    <row r="164" spans="1:21" x14ac:dyDescent="0.2">
      <c r="A164" t="s">
        <v>67</v>
      </c>
      <c r="B164" t="s">
        <v>70</v>
      </c>
      <c r="C164">
        <v>7</v>
      </c>
      <c r="D164" t="s">
        <v>90</v>
      </c>
      <c r="E164" t="s">
        <v>98</v>
      </c>
      <c r="F164" t="s">
        <v>73</v>
      </c>
      <c r="G164">
        <v>0</v>
      </c>
      <c r="H164">
        <v>2E+20</v>
      </c>
      <c r="I164">
        <v>0</v>
      </c>
      <c r="J164">
        <v>0</v>
      </c>
      <c r="K164">
        <v>0</v>
      </c>
      <c r="L164">
        <v>0</v>
      </c>
      <c r="M164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164" cm="1">
        <f t="array" ref="N164">MAX(IF((ProjectInfoTable[ProjectName]=ContinuousStatsTable[[#This Row],[ProjectName]]),(ProjectInfoTable[ProjectName]=ContinuousStatsTable[[#This Row],[ProjectName]])*ProjectInfoTable[NumberOfReplications]))</f>
        <v>30</v>
      </c>
      <c r="O164" cm="1">
        <f t="array" ref="O164">IFERROR(AVERAGE(IF((ContinuousStatsTable[GroupByKey]=ContinuousStatsTable[[#This Row],[GroupByKey]]),(ContinuousStatsTable[GroupByKey]=ContinuousStatsTable[[#This Row],[GroupByKey]])*ContinuousStatsTable[Average])),0)</f>
        <v>0</v>
      </c>
      <c r="P164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</v>
      </c>
      <c r="Q164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4" cm="1">
        <f t="array" ref="S164">MIN(IF((ContinuousStatsTable[GroupByKey]=ContinuousStatsTable[[#This Row],[GroupByKey]]),(ContinuousStatsTable[GroupByKey]=ContinuousStatsTable[[#This Row],[GroupByKey]])*ContinuousStatsTable[Average]))</f>
        <v>0</v>
      </c>
      <c r="T164" cm="1">
        <f t="array" ref="T164">MAX(IF((ContinuousStatsTable[GroupByKey]=ContinuousStatsTable[[#This Row],[GroupByKey]]),(ContinuousStatsTable[GroupByKey]=ContinuousStatsTable[[#This Row],[GroupByKey]])*ContinuousStatsTable[Average]))</f>
        <v>0</v>
      </c>
      <c r="U164">
        <f>IF((ContinuousStatsTable[[#This Row],[RepsRequested]]&gt;1),ContinuousStatsTable[[#This Row],[HalfWidth]],ContinuousStatsTable[[#This Row],[BatchMeansHalfWidth]])</f>
        <v>0</v>
      </c>
    </row>
    <row r="165" spans="1:21" x14ac:dyDescent="0.2">
      <c r="A165" t="s">
        <v>67</v>
      </c>
      <c r="B165" t="s">
        <v>70</v>
      </c>
      <c r="C165">
        <v>7</v>
      </c>
      <c r="D165" t="s">
        <v>91</v>
      </c>
      <c r="E165" t="s">
        <v>98</v>
      </c>
      <c r="F165" t="s">
        <v>73</v>
      </c>
      <c r="G165">
        <v>0</v>
      </c>
      <c r="H165">
        <v>2E+20</v>
      </c>
      <c r="I165">
        <v>0</v>
      </c>
      <c r="J165">
        <v>0</v>
      </c>
      <c r="K165">
        <v>0</v>
      </c>
      <c r="L165">
        <v>0</v>
      </c>
      <c r="M165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165" cm="1">
        <f t="array" ref="N165">MAX(IF((ProjectInfoTable[ProjectName]=ContinuousStatsTable[[#This Row],[ProjectName]]),(ProjectInfoTable[ProjectName]=ContinuousStatsTable[[#This Row],[ProjectName]])*ProjectInfoTable[NumberOfReplications]))</f>
        <v>30</v>
      </c>
      <c r="O165" cm="1">
        <f t="array" ref="O165">IFERROR(AVERAGE(IF((ContinuousStatsTable[GroupByKey]=ContinuousStatsTable[[#This Row],[GroupByKey]]),(ContinuousStatsTable[GroupByKey]=ContinuousStatsTable[[#This Row],[GroupByKey]])*ContinuousStatsTable[Average])),0)</f>
        <v>0</v>
      </c>
      <c r="P16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</v>
      </c>
      <c r="Q16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5" cm="1">
        <f t="array" ref="S165">MIN(IF((ContinuousStatsTable[GroupByKey]=ContinuousStatsTable[[#This Row],[GroupByKey]]),(ContinuousStatsTable[GroupByKey]=ContinuousStatsTable[[#This Row],[GroupByKey]])*ContinuousStatsTable[Average]))</f>
        <v>0</v>
      </c>
      <c r="T165" cm="1">
        <f t="array" ref="T165">MAX(IF((ContinuousStatsTable[GroupByKey]=ContinuousStatsTable[[#This Row],[GroupByKey]]),(ContinuousStatsTable[GroupByKey]=ContinuousStatsTable[[#This Row],[GroupByKey]])*ContinuousStatsTable[Average]))</f>
        <v>0</v>
      </c>
      <c r="U165">
        <f>IF((ContinuousStatsTable[[#This Row],[RepsRequested]]&gt;1),ContinuousStatsTable[[#This Row],[HalfWidth]],ContinuousStatsTable[[#This Row],[BatchMeansHalfWidth]])</f>
        <v>0</v>
      </c>
    </row>
    <row r="166" spans="1:21" x14ac:dyDescent="0.2">
      <c r="A166" t="s">
        <v>67</v>
      </c>
      <c r="B166" t="s">
        <v>70</v>
      </c>
      <c r="C166">
        <v>7</v>
      </c>
      <c r="D166" t="s">
        <v>92</v>
      </c>
      <c r="E166" t="s">
        <v>98</v>
      </c>
      <c r="F166" t="s">
        <v>73</v>
      </c>
      <c r="G166">
        <v>0</v>
      </c>
      <c r="H166">
        <v>2E+20</v>
      </c>
      <c r="I166">
        <v>0</v>
      </c>
      <c r="J166">
        <v>0</v>
      </c>
      <c r="K166">
        <v>0</v>
      </c>
      <c r="L166">
        <v>0</v>
      </c>
      <c r="M166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166" cm="1">
        <f t="array" ref="N166">MAX(IF((ProjectInfoTable[ProjectName]=ContinuousStatsTable[[#This Row],[ProjectName]]),(ProjectInfoTable[ProjectName]=ContinuousStatsTable[[#This Row],[ProjectName]])*ProjectInfoTable[NumberOfReplications]))</f>
        <v>30</v>
      </c>
      <c r="O166" cm="1">
        <f t="array" ref="O166">IFERROR(AVERAGE(IF((ContinuousStatsTable[GroupByKey]=ContinuousStatsTable[[#This Row],[GroupByKey]]),(ContinuousStatsTable[GroupByKey]=ContinuousStatsTable[[#This Row],[GroupByKey]])*ContinuousStatsTable[Average])),0)</f>
        <v>0</v>
      </c>
      <c r="P166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cm="1">
        <f t="array" ref="S166">MIN(IF((ContinuousStatsTable[GroupByKey]=ContinuousStatsTable[[#This Row],[GroupByKey]]),(ContinuousStatsTable[GroupByKey]=ContinuousStatsTable[[#This Row],[GroupByKey]])*ContinuousStatsTable[Average]))</f>
        <v>0</v>
      </c>
      <c r="T166" cm="1">
        <f t="array" ref="T166">MAX(IF((ContinuousStatsTable[GroupByKey]=ContinuousStatsTable[[#This Row],[GroupByKey]]),(ContinuousStatsTable[GroupByKey]=ContinuousStatsTable[[#This Row],[GroupByKey]])*ContinuousStatsTable[Average]))</f>
        <v>0</v>
      </c>
      <c r="U166">
        <f>IF((ContinuousStatsTable[[#This Row],[RepsRequested]]&gt;1),ContinuousStatsTable[[#This Row],[HalfWidth]],ContinuousStatsTable[[#This Row],[BatchMeansHalfWidth]])</f>
        <v>0</v>
      </c>
    </row>
    <row r="167" spans="1:21" x14ac:dyDescent="0.2">
      <c r="A167" t="s">
        <v>67</v>
      </c>
      <c r="B167" t="s">
        <v>70</v>
      </c>
      <c r="C167">
        <v>7</v>
      </c>
      <c r="D167" t="s">
        <v>103</v>
      </c>
      <c r="E167" t="s">
        <v>94</v>
      </c>
      <c r="F167" t="s">
        <v>95</v>
      </c>
      <c r="G167">
        <v>7.7629714253625498E-2</v>
      </c>
      <c r="H167">
        <v>2E+20</v>
      </c>
      <c r="I167">
        <v>0</v>
      </c>
      <c r="J167">
        <v>0.66666666666666696</v>
      </c>
      <c r="K167">
        <v>0</v>
      </c>
      <c r="L167">
        <v>0</v>
      </c>
      <c r="M167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167" cm="1">
        <f t="array" ref="N167">MAX(IF((ProjectInfoTable[ProjectName]=ContinuousStatsTable[[#This Row],[ProjectName]]),(ProjectInfoTable[ProjectName]=ContinuousStatsTable[[#This Row],[ProjectName]])*ProjectInfoTable[NumberOfReplications]))</f>
        <v>30</v>
      </c>
      <c r="O167" cm="1">
        <f t="array" ref="O167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167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167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167" cm="1">
        <f t="array" ref="S167">MIN(IF((ContinuousStatsTable[GroupByKey]=ContinuousStatsTable[[#This Row],[GroupByKey]]),(ContinuousStatsTable[GroupByKey]=ContinuousStatsTable[[#This Row],[GroupByKey]])*ContinuousStatsTable[Average]))</f>
        <v>7.7176470357846902E-2</v>
      </c>
      <c r="T167" cm="1">
        <f t="array" ref="T167">MAX(IF((ContinuousStatsTable[GroupByKey]=ContinuousStatsTable[[#This Row],[GroupByKey]]),(ContinuousStatsTable[GroupByKey]=ContinuousStatsTable[[#This Row],[GroupByKey]])*ContinuousStatsTable[Average]))</f>
        <v>9.2534326714405896E-2</v>
      </c>
      <c r="U167">
        <f>IF((ContinuousStatsTable[[#This Row],[RepsRequested]]&gt;1),ContinuousStatsTable[[#This Row],[HalfWidth]],ContinuousStatsTable[[#This Row],[BatchMeansHalfWidth]])</f>
        <v>1.3238327186697659E-3</v>
      </c>
    </row>
    <row r="168" spans="1:21" x14ac:dyDescent="0.2">
      <c r="A168" t="s">
        <v>67</v>
      </c>
      <c r="B168" t="s">
        <v>70</v>
      </c>
      <c r="C168">
        <v>7</v>
      </c>
      <c r="D168" t="s">
        <v>103</v>
      </c>
      <c r="E168" t="s">
        <v>96</v>
      </c>
      <c r="F168" t="s">
        <v>95</v>
      </c>
      <c r="G168">
        <v>0.23288914276087599</v>
      </c>
      <c r="H168">
        <v>2E+20</v>
      </c>
      <c r="I168">
        <v>0</v>
      </c>
      <c r="J168">
        <v>2</v>
      </c>
      <c r="K168">
        <v>0</v>
      </c>
      <c r="L168">
        <v>0</v>
      </c>
      <c r="M168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168" cm="1">
        <f t="array" ref="N168">MAX(IF((ProjectInfoTable[ProjectName]=ContinuousStatsTable[[#This Row],[ProjectName]]),(ProjectInfoTable[ProjectName]=ContinuousStatsTable[[#This Row],[ProjectName]])*ProjectInfoTable[NumberOfReplications]))</f>
        <v>30</v>
      </c>
      <c r="O168" cm="1">
        <f t="array" ref="O168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168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168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168" cm="1">
        <f t="array" ref="S168">MIN(IF((ContinuousStatsTable[GroupByKey]=ContinuousStatsTable[[#This Row],[GroupByKey]]),(ContinuousStatsTable[GroupByKey]=ContinuousStatsTable[[#This Row],[GroupByKey]])*ContinuousStatsTable[Average]))</f>
        <v>0.231529411073541</v>
      </c>
      <c r="T168" cm="1">
        <f t="array" ref="T168">MAX(IF((ContinuousStatsTable[GroupByKey]=ContinuousStatsTable[[#This Row],[GroupByKey]]),(ContinuousStatsTable[GroupByKey]=ContinuousStatsTable[[#This Row],[GroupByKey]])*ContinuousStatsTable[Average]))</f>
        <v>0.27760298014321699</v>
      </c>
      <c r="U168">
        <f>IF((ContinuousStatsTable[[#This Row],[RepsRequested]]&gt;1),ContinuousStatsTable[[#This Row],[HalfWidth]],ContinuousStatsTable[[#This Row],[BatchMeansHalfWidth]])</f>
        <v>3.9714981560092996E-3</v>
      </c>
    </row>
    <row r="169" spans="1:21" x14ac:dyDescent="0.2">
      <c r="A169" t="s">
        <v>67</v>
      </c>
      <c r="B169" t="s">
        <v>70</v>
      </c>
      <c r="C169">
        <v>7</v>
      </c>
      <c r="D169" t="s">
        <v>103</v>
      </c>
      <c r="E169" t="s">
        <v>97</v>
      </c>
      <c r="F169" t="s">
        <v>95</v>
      </c>
      <c r="G169">
        <v>3</v>
      </c>
      <c r="H169">
        <v>2E+20</v>
      </c>
      <c r="I169">
        <v>3</v>
      </c>
      <c r="J169">
        <v>3</v>
      </c>
      <c r="K169">
        <v>3</v>
      </c>
      <c r="L169">
        <v>0</v>
      </c>
      <c r="M169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169" cm="1">
        <f t="array" ref="N169">MAX(IF((ProjectInfoTable[ProjectName]=ContinuousStatsTable[[#This Row],[ProjectName]]),(ProjectInfoTable[ProjectName]=ContinuousStatsTable[[#This Row],[ProjectName]])*ProjectInfoTable[NumberOfReplications]))</f>
        <v>30</v>
      </c>
      <c r="O169" cm="1">
        <f t="array" ref="O169">IFERROR(AVERAGE(IF((ContinuousStatsTable[GroupByKey]=ContinuousStatsTable[[#This Row],[GroupByKey]]),(ContinuousStatsTable[GroupByKey]=ContinuousStatsTable[[#This Row],[GroupByKey]])*ContinuousStatsTable[Average])),0)</f>
        <v>3</v>
      </c>
      <c r="P169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</v>
      </c>
      <c r="Q169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9" cm="1">
        <f t="array" ref="S169">MIN(IF((ContinuousStatsTable[GroupByKey]=ContinuousStatsTable[[#This Row],[GroupByKey]]),(ContinuousStatsTable[GroupByKey]=ContinuousStatsTable[[#This Row],[GroupByKey]])*ContinuousStatsTable[Average]))</f>
        <v>3</v>
      </c>
      <c r="T169" cm="1">
        <f t="array" ref="T169">MAX(IF((ContinuousStatsTable[GroupByKey]=ContinuousStatsTable[[#This Row],[GroupByKey]]),(ContinuousStatsTable[GroupByKey]=ContinuousStatsTable[[#This Row],[GroupByKey]])*ContinuousStatsTable[Average]))</f>
        <v>3</v>
      </c>
      <c r="U169">
        <f>IF((ContinuousStatsTable[[#This Row],[RepsRequested]]&gt;1),ContinuousStatsTable[[#This Row],[HalfWidth]],ContinuousStatsTable[[#This Row],[BatchMeansHalfWidth]])</f>
        <v>0</v>
      </c>
    </row>
    <row r="170" spans="1:21" x14ac:dyDescent="0.2">
      <c r="A170" t="s">
        <v>67</v>
      </c>
      <c r="B170" t="s">
        <v>70</v>
      </c>
      <c r="C170">
        <v>8</v>
      </c>
      <c r="D170" t="s">
        <v>93</v>
      </c>
      <c r="E170" t="s">
        <v>94</v>
      </c>
      <c r="F170" t="s">
        <v>95</v>
      </c>
      <c r="G170">
        <v>0.24824561403508799</v>
      </c>
      <c r="H170">
        <v>2.0535339518293502E-2</v>
      </c>
      <c r="I170">
        <v>0</v>
      </c>
      <c r="J170">
        <v>1</v>
      </c>
      <c r="K170">
        <v>0</v>
      </c>
      <c r="L170">
        <v>0</v>
      </c>
      <c r="M170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170" cm="1">
        <f t="array" ref="N170">MAX(IF((ProjectInfoTable[ProjectName]=ContinuousStatsTable[[#This Row],[ProjectName]]),(ProjectInfoTable[ProjectName]=ContinuousStatsTable[[#This Row],[ProjectName]])*ProjectInfoTable[NumberOfReplications]))</f>
        <v>30</v>
      </c>
      <c r="O170" cm="1">
        <f t="array" ref="O170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170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170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170" cm="1">
        <f t="array" ref="S170">MIN(IF((ContinuousStatsTable[GroupByKey]=ContinuousStatsTable[[#This Row],[GroupByKey]]),(ContinuousStatsTable[GroupByKey]=ContinuousStatsTable[[#This Row],[GroupByKey]])*ContinuousStatsTable[Average]))</f>
        <v>0.233333333333333</v>
      </c>
      <c r="T170" cm="1">
        <f t="array" ref="T170">MAX(IF((ContinuousStatsTable[GroupByKey]=ContinuousStatsTable[[#This Row],[GroupByKey]]),(ContinuousStatsTable[GroupByKey]=ContinuousStatsTable[[#This Row],[GroupByKey]])*ContinuousStatsTable[Average]))</f>
        <v>0.27905535859326402</v>
      </c>
      <c r="U170">
        <f>IF((ContinuousStatsTable[[#This Row],[RepsRequested]]&gt;1),ContinuousStatsTable[[#This Row],[HalfWidth]],ContinuousStatsTable[[#This Row],[BatchMeansHalfWidth]])</f>
        <v>4.2029769261323026E-3</v>
      </c>
    </row>
    <row r="171" spans="1:21" x14ac:dyDescent="0.2">
      <c r="A171" t="s">
        <v>67</v>
      </c>
      <c r="B171" t="s">
        <v>70</v>
      </c>
      <c r="C171">
        <v>8</v>
      </c>
      <c r="D171" t="s">
        <v>93</v>
      </c>
      <c r="E171" t="s">
        <v>96</v>
      </c>
      <c r="F171" t="s">
        <v>95</v>
      </c>
      <c r="G171">
        <v>0.24824561403508799</v>
      </c>
      <c r="H171">
        <v>2.0535339518293502E-2</v>
      </c>
      <c r="I171">
        <v>0</v>
      </c>
      <c r="J171">
        <v>1</v>
      </c>
      <c r="K171">
        <v>0</v>
      </c>
      <c r="L171">
        <v>0</v>
      </c>
      <c r="M171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171" cm="1">
        <f t="array" ref="N171">MAX(IF((ProjectInfoTable[ProjectName]=ContinuousStatsTable[[#This Row],[ProjectName]]),(ProjectInfoTable[ProjectName]=ContinuousStatsTable[[#This Row],[ProjectName]])*ProjectInfoTable[NumberOfReplications]))</f>
        <v>30</v>
      </c>
      <c r="O171" cm="1">
        <f t="array" ref="O171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171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171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171" cm="1">
        <f t="array" ref="S171">MIN(IF((ContinuousStatsTable[GroupByKey]=ContinuousStatsTable[[#This Row],[GroupByKey]]),(ContinuousStatsTable[GroupByKey]=ContinuousStatsTable[[#This Row],[GroupByKey]])*ContinuousStatsTable[Average]))</f>
        <v>0.233333333333333</v>
      </c>
      <c r="T171" cm="1">
        <f t="array" ref="T171">MAX(IF((ContinuousStatsTable[GroupByKey]=ContinuousStatsTable[[#This Row],[GroupByKey]]),(ContinuousStatsTable[GroupByKey]=ContinuousStatsTable[[#This Row],[GroupByKey]])*ContinuousStatsTable[Average]))</f>
        <v>0.27905535859326402</v>
      </c>
      <c r="U171">
        <f>IF((ContinuousStatsTable[[#This Row],[RepsRequested]]&gt;1),ContinuousStatsTable[[#This Row],[HalfWidth]],ContinuousStatsTable[[#This Row],[BatchMeansHalfWidth]])</f>
        <v>4.2029769261323026E-3</v>
      </c>
    </row>
    <row r="172" spans="1:21" x14ac:dyDescent="0.2">
      <c r="A172" t="s">
        <v>67</v>
      </c>
      <c r="B172" t="s">
        <v>70</v>
      </c>
      <c r="C172">
        <v>8</v>
      </c>
      <c r="D172" t="s">
        <v>93</v>
      </c>
      <c r="E172" t="s">
        <v>97</v>
      </c>
      <c r="F172" t="s">
        <v>95</v>
      </c>
      <c r="G172">
        <v>1</v>
      </c>
      <c r="H172">
        <v>2E+20</v>
      </c>
      <c r="I172">
        <v>1</v>
      </c>
      <c r="J172">
        <v>1</v>
      </c>
      <c r="K172">
        <v>1</v>
      </c>
      <c r="L172">
        <v>0</v>
      </c>
      <c r="M172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172" cm="1">
        <f t="array" ref="N172">MAX(IF((ProjectInfoTable[ProjectName]=ContinuousStatsTable[[#This Row],[ProjectName]]),(ProjectInfoTable[ProjectName]=ContinuousStatsTable[[#This Row],[ProjectName]])*ProjectInfoTable[NumberOfReplications]))</f>
        <v>30</v>
      </c>
      <c r="O172" cm="1">
        <f t="array" ref="O172">IFERROR(AVERAGE(IF((ContinuousStatsTable[GroupByKey]=ContinuousStatsTable[[#This Row],[GroupByKey]]),(ContinuousStatsTable[GroupByKey]=ContinuousStatsTable[[#This Row],[GroupByKey]])*ContinuousStatsTable[Average])),0)</f>
        <v>1</v>
      </c>
      <c r="P172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0</v>
      </c>
      <c r="Q172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2" cm="1">
        <f t="array" ref="S172">MIN(IF((ContinuousStatsTable[GroupByKey]=ContinuousStatsTable[[#This Row],[GroupByKey]]),(ContinuousStatsTable[GroupByKey]=ContinuousStatsTable[[#This Row],[GroupByKey]])*ContinuousStatsTable[Average]))</f>
        <v>1</v>
      </c>
      <c r="T172" cm="1">
        <f t="array" ref="T172">MAX(IF((ContinuousStatsTable[GroupByKey]=ContinuousStatsTable[[#This Row],[GroupByKey]]),(ContinuousStatsTable[GroupByKey]=ContinuousStatsTable[[#This Row],[GroupByKey]])*ContinuousStatsTable[Average]))</f>
        <v>1</v>
      </c>
      <c r="U172">
        <f>IF((ContinuousStatsTable[[#This Row],[RepsRequested]]&gt;1),ContinuousStatsTable[[#This Row],[HalfWidth]],ContinuousStatsTable[[#This Row],[BatchMeansHalfWidth]])</f>
        <v>0</v>
      </c>
    </row>
    <row r="173" spans="1:21" x14ac:dyDescent="0.2">
      <c r="A173" t="s">
        <v>67</v>
      </c>
      <c r="B173" t="s">
        <v>70</v>
      </c>
      <c r="C173">
        <v>8</v>
      </c>
      <c r="D173" t="s">
        <v>71</v>
      </c>
      <c r="E173" t="s">
        <v>98</v>
      </c>
      <c r="F173" t="s">
        <v>73</v>
      </c>
      <c r="G173">
        <v>2.24482084785299E-2</v>
      </c>
      <c r="H173">
        <v>2E+20</v>
      </c>
      <c r="I173">
        <v>0</v>
      </c>
      <c r="J173">
        <v>2</v>
      </c>
      <c r="K173">
        <v>0</v>
      </c>
      <c r="L173">
        <v>0</v>
      </c>
      <c r="M173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173" cm="1">
        <f t="array" ref="N173">MAX(IF((ProjectInfoTable[ProjectName]=ContinuousStatsTable[[#This Row],[ProjectName]]),(ProjectInfoTable[ProjectName]=ContinuousStatsTable[[#This Row],[ProjectName]])*ProjectInfoTable[NumberOfReplications]))</f>
        <v>30</v>
      </c>
      <c r="O173" cm="1">
        <f t="array" ref="O173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173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173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173" cm="1">
        <f t="array" ref="S173">MIN(IF((ContinuousStatsTable[GroupByKey]=ContinuousStatsTable[[#This Row],[GroupByKey]]),(ContinuousStatsTable[GroupByKey]=ContinuousStatsTable[[#This Row],[GroupByKey]])*ContinuousStatsTable[Average]))</f>
        <v>1.9664517785186901E-2</v>
      </c>
      <c r="T173" cm="1">
        <f t="array" ref="T173">MAX(IF((ContinuousStatsTable[GroupByKey]=ContinuousStatsTable[[#This Row],[GroupByKey]]),(ContinuousStatsTable[GroupByKey]=ContinuousStatsTable[[#This Row],[GroupByKey]])*ContinuousStatsTable[Average]))</f>
        <v>3.9738966906982302E-2</v>
      </c>
      <c r="U173">
        <f>IF((ContinuousStatsTable[[#This Row],[RepsRequested]]&gt;1),ContinuousStatsTable[[#This Row],[HalfWidth]],ContinuousStatsTable[[#This Row],[BatchMeansHalfWidth]])</f>
        <v>1.6627262085570247E-3</v>
      </c>
    </row>
    <row r="174" spans="1:21" x14ac:dyDescent="0.2">
      <c r="A174" t="s">
        <v>67</v>
      </c>
      <c r="B174" t="s">
        <v>70</v>
      </c>
      <c r="C174">
        <v>8</v>
      </c>
      <c r="D174" t="s">
        <v>99</v>
      </c>
      <c r="E174" t="s">
        <v>94</v>
      </c>
      <c r="F174" t="s">
        <v>95</v>
      </c>
      <c r="G174">
        <v>0.62569627948534701</v>
      </c>
      <c r="H174">
        <v>4.1257766468264803E-2</v>
      </c>
      <c r="I174">
        <v>0</v>
      </c>
      <c r="J174">
        <v>1</v>
      </c>
      <c r="K174">
        <v>0</v>
      </c>
      <c r="L174">
        <v>0</v>
      </c>
      <c r="M174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174" cm="1">
        <f t="array" ref="N174">MAX(IF((ProjectInfoTable[ProjectName]=ContinuousStatsTable[[#This Row],[ProjectName]]),(ProjectInfoTable[ProjectName]=ContinuousStatsTable[[#This Row],[ProjectName]])*ProjectInfoTable[NumberOfReplications]))</f>
        <v>30</v>
      </c>
      <c r="O174" cm="1">
        <f t="array" ref="O174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174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174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174" cm="1">
        <f t="array" ref="S174">MIN(IF((ContinuousStatsTable[GroupByKey]=ContinuousStatsTable[[#This Row],[GroupByKey]]),(ContinuousStatsTable[GroupByKey]=ContinuousStatsTable[[#This Row],[GroupByKey]])*ContinuousStatsTable[Average]))</f>
        <v>0.58256422876290004</v>
      </c>
      <c r="T174" cm="1">
        <f t="array" ref="T174">MAX(IF((ContinuousStatsTable[GroupByKey]=ContinuousStatsTable[[#This Row],[GroupByKey]]),(ContinuousStatsTable[GroupByKey]=ContinuousStatsTable[[#This Row],[GroupByKey]])*ContinuousStatsTable[Average]))</f>
        <v>0.68643238055161704</v>
      </c>
      <c r="U174">
        <f>IF((ContinuousStatsTable[[#This Row],[RepsRequested]]&gt;1),ContinuousStatsTable[[#This Row],[HalfWidth]],ContinuousStatsTable[[#This Row],[BatchMeansHalfWidth]])</f>
        <v>9.8490003000806757E-3</v>
      </c>
    </row>
    <row r="175" spans="1:21" x14ac:dyDescent="0.2">
      <c r="A175" t="s">
        <v>67</v>
      </c>
      <c r="B175" t="s">
        <v>70</v>
      </c>
      <c r="C175">
        <v>8</v>
      </c>
      <c r="D175" t="s">
        <v>99</v>
      </c>
      <c r="E175" t="s">
        <v>96</v>
      </c>
      <c r="F175" t="s">
        <v>95</v>
      </c>
      <c r="G175">
        <v>1.25139255897069</v>
      </c>
      <c r="H175">
        <v>8.2515532936529495E-2</v>
      </c>
      <c r="I175">
        <v>0</v>
      </c>
      <c r="J175">
        <v>2</v>
      </c>
      <c r="K175">
        <v>0</v>
      </c>
      <c r="L175">
        <v>0</v>
      </c>
      <c r="M175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175" cm="1">
        <f t="array" ref="N175">MAX(IF((ProjectInfoTable[ProjectName]=ContinuousStatsTable[[#This Row],[ProjectName]]),(ProjectInfoTable[ProjectName]=ContinuousStatsTable[[#This Row],[ProjectName]])*ProjectInfoTable[NumberOfReplications]))</f>
        <v>30</v>
      </c>
      <c r="O175" cm="1">
        <f t="array" ref="O175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17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17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175" cm="1">
        <f t="array" ref="S175">MIN(IF((ContinuousStatsTable[GroupByKey]=ContinuousStatsTable[[#This Row],[GroupByKey]]),(ContinuousStatsTable[GroupByKey]=ContinuousStatsTable[[#This Row],[GroupByKey]])*ContinuousStatsTable[Average]))</f>
        <v>1.1651284575258001</v>
      </c>
      <c r="T175" cm="1">
        <f t="array" ref="T175">MAX(IF((ContinuousStatsTable[GroupByKey]=ContinuousStatsTable[[#This Row],[GroupByKey]]),(ContinuousStatsTable[GroupByKey]=ContinuousStatsTable[[#This Row],[GroupByKey]])*ContinuousStatsTable[Average]))</f>
        <v>1.3728647611032301</v>
      </c>
      <c r="U175">
        <f>IF((ContinuousStatsTable[[#This Row],[RepsRequested]]&gt;1),ContinuousStatsTable[[#This Row],[HalfWidth]],ContinuousStatsTable[[#This Row],[BatchMeansHalfWidth]])</f>
        <v>1.9698000600160998E-2</v>
      </c>
    </row>
    <row r="176" spans="1:21" x14ac:dyDescent="0.2">
      <c r="A176" t="s">
        <v>67</v>
      </c>
      <c r="B176" t="s">
        <v>70</v>
      </c>
      <c r="C176">
        <v>8</v>
      </c>
      <c r="D176" t="s">
        <v>99</v>
      </c>
      <c r="E176" t="s">
        <v>97</v>
      </c>
      <c r="F176" t="s">
        <v>95</v>
      </c>
      <c r="G176">
        <v>2</v>
      </c>
      <c r="H176">
        <v>2E+20</v>
      </c>
      <c r="I176">
        <v>2</v>
      </c>
      <c r="J176">
        <v>2</v>
      </c>
      <c r="K176">
        <v>2</v>
      </c>
      <c r="L176">
        <v>0</v>
      </c>
      <c r="M176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176" cm="1">
        <f t="array" ref="N176">MAX(IF((ProjectInfoTable[ProjectName]=ContinuousStatsTable[[#This Row],[ProjectName]]),(ProjectInfoTable[ProjectName]=ContinuousStatsTable[[#This Row],[ProjectName]])*ProjectInfoTable[NumberOfReplications]))</f>
        <v>30</v>
      </c>
      <c r="O176" cm="1">
        <f t="array" ref="O176">IFERROR(AVERAGE(IF((ContinuousStatsTable[GroupByKey]=ContinuousStatsTable[[#This Row],[GroupByKey]]),(ContinuousStatsTable[GroupByKey]=ContinuousStatsTable[[#This Row],[GroupByKey]])*ContinuousStatsTable[Average])),0)</f>
        <v>2</v>
      </c>
      <c r="P176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cm="1">
        <f t="array" ref="S176">MIN(IF((ContinuousStatsTable[GroupByKey]=ContinuousStatsTable[[#This Row],[GroupByKey]]),(ContinuousStatsTable[GroupByKey]=ContinuousStatsTable[[#This Row],[GroupByKey]])*ContinuousStatsTable[Average]))</f>
        <v>2</v>
      </c>
      <c r="T176" cm="1">
        <f t="array" ref="T176">MAX(IF((ContinuousStatsTable[GroupByKey]=ContinuousStatsTable[[#This Row],[GroupByKey]]),(ContinuousStatsTable[GroupByKey]=ContinuousStatsTable[[#This Row],[GroupByKey]])*ContinuousStatsTable[Average]))</f>
        <v>2</v>
      </c>
      <c r="U176">
        <f>IF((ContinuousStatsTable[[#This Row],[RepsRequested]]&gt;1),ContinuousStatsTable[[#This Row],[HalfWidth]],ContinuousStatsTable[[#This Row],[BatchMeansHalfWidth]])</f>
        <v>0</v>
      </c>
    </row>
    <row r="177" spans="1:21" x14ac:dyDescent="0.2">
      <c r="A177" t="s">
        <v>67</v>
      </c>
      <c r="B177" t="s">
        <v>70</v>
      </c>
      <c r="C177">
        <v>8</v>
      </c>
      <c r="D177" t="s">
        <v>74</v>
      </c>
      <c r="E177" t="s">
        <v>100</v>
      </c>
      <c r="F177" t="s">
        <v>76</v>
      </c>
      <c r="G177">
        <v>15.4060297582273</v>
      </c>
      <c r="H177">
        <v>0.91956276555627303</v>
      </c>
      <c r="I177">
        <v>3</v>
      </c>
      <c r="J177">
        <v>29</v>
      </c>
      <c r="K177">
        <v>9</v>
      </c>
      <c r="L177">
        <v>0</v>
      </c>
      <c r="M1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7" cm="1">
        <f t="array" ref="N177">MAX(IF((ProjectInfoTable[ProjectName]=ContinuousStatsTable[[#This Row],[ProjectName]]),(ProjectInfoTable[ProjectName]=ContinuousStatsTable[[#This Row],[ProjectName]])*ProjectInfoTable[NumberOfReplications]))</f>
        <v>30</v>
      </c>
      <c r="O177" cm="1">
        <f t="array" ref="O177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177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177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177" cm="1">
        <f t="array" ref="S177">MIN(IF((ContinuousStatsTable[GroupByKey]=ContinuousStatsTable[[#This Row],[GroupByKey]]),(ContinuousStatsTable[GroupByKey]=ContinuousStatsTable[[#This Row],[GroupByKey]])*ContinuousStatsTable[Average]))</f>
        <v>14.4112589759764</v>
      </c>
      <c r="T177" cm="1">
        <f t="array" ref="T177">MAX(IF((ContinuousStatsTable[GroupByKey]=ContinuousStatsTable[[#This Row],[GroupByKey]]),(ContinuousStatsTable[GroupByKey]=ContinuousStatsTable[[#This Row],[GroupByKey]])*ContinuousStatsTable[Average]))</f>
        <v>16.972707717517899</v>
      </c>
      <c r="U177">
        <f>IF((ContinuousStatsTable[[#This Row],[RepsRequested]]&gt;1),ContinuousStatsTable[[#This Row],[HalfWidth]],ContinuousStatsTable[[#This Row],[BatchMeansHalfWidth]])</f>
        <v>0.25870181881670146</v>
      </c>
    </row>
    <row r="178" spans="1:21" x14ac:dyDescent="0.2">
      <c r="A178" t="s">
        <v>67</v>
      </c>
      <c r="B178" t="s">
        <v>70</v>
      </c>
      <c r="C178">
        <v>8</v>
      </c>
      <c r="D178" t="s">
        <v>82</v>
      </c>
      <c r="E178" t="s">
        <v>98</v>
      </c>
      <c r="F178" t="s">
        <v>73</v>
      </c>
      <c r="G178">
        <v>0.14334206701518101</v>
      </c>
      <c r="H178">
        <v>2E+20</v>
      </c>
      <c r="I178">
        <v>0</v>
      </c>
      <c r="J178">
        <v>3</v>
      </c>
      <c r="K178">
        <v>0</v>
      </c>
      <c r="L178">
        <v>0</v>
      </c>
      <c r="M178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178" cm="1">
        <f t="array" ref="N178">MAX(IF((ProjectInfoTable[ProjectName]=ContinuousStatsTable[[#This Row],[ProjectName]]),(ProjectInfoTable[ProjectName]=ContinuousStatsTable[[#This Row],[ProjectName]])*ProjectInfoTable[NumberOfReplications]))</f>
        <v>30</v>
      </c>
      <c r="O178" cm="1">
        <f t="array" ref="O178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178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178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178" cm="1">
        <f t="array" ref="S178">MIN(IF((ContinuousStatsTable[GroupByKey]=ContinuousStatsTable[[#This Row],[GroupByKey]]),(ContinuousStatsTable[GroupByKey]=ContinuousStatsTable[[#This Row],[GroupByKey]])*ContinuousStatsTable[Average]))</f>
        <v>7.4406608295854798E-2</v>
      </c>
      <c r="T178" cm="1">
        <f t="array" ref="T178">MAX(IF((ContinuousStatsTable[GroupByKey]=ContinuousStatsTable[[#This Row],[GroupByKey]]),(ContinuousStatsTable[GroupByKey]=ContinuousStatsTable[[#This Row],[GroupByKey]])*ContinuousStatsTable[Average]))</f>
        <v>0.29874320707386398</v>
      </c>
      <c r="U178">
        <f>IF((ContinuousStatsTable[[#This Row],[RepsRequested]]&gt;1),ContinuousStatsTable[[#This Row],[HalfWidth]],ContinuousStatsTable[[#This Row],[BatchMeansHalfWidth]])</f>
        <v>2.0058204231149332E-2</v>
      </c>
    </row>
    <row r="179" spans="1:21" x14ac:dyDescent="0.2">
      <c r="A179" t="s">
        <v>67</v>
      </c>
      <c r="B179" t="s">
        <v>70</v>
      </c>
      <c r="C179">
        <v>8</v>
      </c>
      <c r="D179" t="s">
        <v>101</v>
      </c>
      <c r="E179" t="s">
        <v>94</v>
      </c>
      <c r="F179" t="s">
        <v>95</v>
      </c>
      <c r="G179">
        <v>1.8859649122806999E-3</v>
      </c>
      <c r="H179">
        <v>1.60884730183073E-4</v>
      </c>
      <c r="I179">
        <v>0</v>
      </c>
      <c r="J179">
        <v>3.7499999999999999E-2</v>
      </c>
      <c r="K179">
        <v>0</v>
      </c>
      <c r="L179">
        <v>0</v>
      </c>
      <c r="M179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179" cm="1">
        <f t="array" ref="N179">MAX(IF((ProjectInfoTable[ProjectName]=ContinuousStatsTable[[#This Row],[ProjectName]]),(ProjectInfoTable[ProjectName]=ContinuousStatsTable[[#This Row],[ProjectName]])*ProjectInfoTable[NumberOfReplications]))</f>
        <v>30</v>
      </c>
      <c r="O179" cm="1">
        <f t="array" ref="O179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179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179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179" cm="1">
        <f t="array" ref="S179">MIN(IF((ContinuousStatsTable[GroupByKey]=ContinuousStatsTable[[#This Row],[GroupByKey]]),(ContinuousStatsTable[GroupByKey]=ContinuousStatsTable[[#This Row],[GroupByKey]])*ContinuousStatsTable[Average]))</f>
        <v>1.70504385964912E-3</v>
      </c>
      <c r="T179" cm="1">
        <f t="array" ref="T179">MAX(IF((ContinuousStatsTable[GroupByKey]=ContinuousStatsTable[[#This Row],[GroupByKey]]),(ContinuousStatsTable[GroupByKey]=ContinuousStatsTable[[#This Row],[GroupByKey]])*ContinuousStatsTable[Average]))</f>
        <v>2.17031677925951E-3</v>
      </c>
      <c r="U179">
        <f>IF((ContinuousStatsTable[[#This Row],[RepsRequested]]&gt;1),ContinuousStatsTable[[#This Row],[HalfWidth]],ContinuousStatsTable[[#This Row],[BatchMeansHalfWidth]])</f>
        <v>4.4865881583116605E-5</v>
      </c>
    </row>
    <row r="180" spans="1:21" x14ac:dyDescent="0.2">
      <c r="A180" t="s">
        <v>67</v>
      </c>
      <c r="B180" t="s">
        <v>70</v>
      </c>
      <c r="C180">
        <v>8</v>
      </c>
      <c r="D180" t="s">
        <v>101</v>
      </c>
      <c r="E180" t="s">
        <v>96</v>
      </c>
      <c r="F180" t="s">
        <v>95</v>
      </c>
      <c r="G180">
        <v>0.150877192982456</v>
      </c>
      <c r="H180">
        <v>1.28707784146458E-2</v>
      </c>
      <c r="I180">
        <v>0</v>
      </c>
      <c r="J180">
        <v>3</v>
      </c>
      <c r="K180">
        <v>0</v>
      </c>
      <c r="L180">
        <v>0</v>
      </c>
      <c r="M180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180" cm="1">
        <f t="array" ref="N180">MAX(IF((ProjectInfoTable[ProjectName]=ContinuousStatsTable[[#This Row],[ProjectName]]),(ProjectInfoTable[ProjectName]=ContinuousStatsTable[[#This Row],[ProjectName]])*ProjectInfoTable[NumberOfReplications]))</f>
        <v>30</v>
      </c>
      <c r="O180" cm="1">
        <f t="array" ref="O180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180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180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180" cm="1">
        <f t="array" ref="S180">MIN(IF((ContinuousStatsTable[GroupByKey]=ContinuousStatsTable[[#This Row],[GroupByKey]]),(ContinuousStatsTable[GroupByKey]=ContinuousStatsTable[[#This Row],[GroupByKey]])*ContinuousStatsTable[Average]))</f>
        <v>0.13640350877193</v>
      </c>
      <c r="T180" cm="1">
        <f t="array" ref="T180">MAX(IF((ContinuousStatsTable[GroupByKey]=ContinuousStatsTable[[#This Row],[GroupByKey]]),(ContinuousStatsTable[GroupByKey]=ContinuousStatsTable[[#This Row],[GroupByKey]])*ContinuousStatsTable[Average]))</f>
        <v>0.17362534234076099</v>
      </c>
      <c r="U180">
        <f>IF((ContinuousStatsTable[[#This Row],[RepsRequested]]&gt;1),ContinuousStatsTable[[#This Row],[HalfWidth]],ContinuousStatsTable[[#This Row],[BatchMeansHalfWidth]])</f>
        <v>3.5892705266493139E-3</v>
      </c>
    </row>
    <row r="181" spans="1:21" x14ac:dyDescent="0.2">
      <c r="A181" t="s">
        <v>67</v>
      </c>
      <c r="B181" t="s">
        <v>70</v>
      </c>
      <c r="C181">
        <v>8</v>
      </c>
      <c r="D181" t="s">
        <v>101</v>
      </c>
      <c r="E181" t="s">
        <v>97</v>
      </c>
      <c r="F181" t="s">
        <v>95</v>
      </c>
      <c r="G181">
        <v>80</v>
      </c>
      <c r="H181">
        <v>2E+20</v>
      </c>
      <c r="I181">
        <v>80</v>
      </c>
      <c r="J181">
        <v>80</v>
      </c>
      <c r="K181">
        <v>80</v>
      </c>
      <c r="L181">
        <v>0</v>
      </c>
      <c r="M181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181" cm="1">
        <f t="array" ref="N181">MAX(IF((ProjectInfoTable[ProjectName]=ContinuousStatsTable[[#This Row],[ProjectName]]),(ProjectInfoTable[ProjectName]=ContinuousStatsTable[[#This Row],[ProjectName]])*ProjectInfoTable[NumberOfReplications]))</f>
        <v>30</v>
      </c>
      <c r="O181" cm="1">
        <f t="array" ref="O181">IFERROR(AVERAGE(IF((ContinuousStatsTable[GroupByKey]=ContinuousStatsTable[[#This Row],[GroupByKey]]),(ContinuousStatsTable[GroupByKey]=ContinuousStatsTable[[#This Row],[GroupByKey]])*ContinuousStatsTable[Average])),0)</f>
        <v>80</v>
      </c>
      <c r="P181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0</v>
      </c>
      <c r="Q181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1" cm="1">
        <f t="array" ref="S181">MIN(IF((ContinuousStatsTable[GroupByKey]=ContinuousStatsTable[[#This Row],[GroupByKey]]),(ContinuousStatsTable[GroupByKey]=ContinuousStatsTable[[#This Row],[GroupByKey]])*ContinuousStatsTable[Average]))</f>
        <v>80</v>
      </c>
      <c r="T181" cm="1">
        <f t="array" ref="T181">MAX(IF((ContinuousStatsTable[GroupByKey]=ContinuousStatsTable[[#This Row],[GroupByKey]]),(ContinuousStatsTable[GroupByKey]=ContinuousStatsTable[[#This Row],[GroupByKey]])*ContinuousStatsTable[Average]))</f>
        <v>80</v>
      </c>
      <c r="U181">
        <f>IF((ContinuousStatsTable[[#This Row],[RepsRequested]]&gt;1),ContinuousStatsTable[[#This Row],[HalfWidth]],ContinuousStatsTable[[#This Row],[BatchMeansHalfWidth]])</f>
        <v>0</v>
      </c>
    </row>
    <row r="182" spans="1:21" x14ac:dyDescent="0.2">
      <c r="A182" t="s">
        <v>67</v>
      </c>
      <c r="B182" t="s">
        <v>70</v>
      </c>
      <c r="C182">
        <v>8</v>
      </c>
      <c r="D182" t="s">
        <v>86</v>
      </c>
      <c r="E182" t="s">
        <v>98</v>
      </c>
      <c r="F182" t="s">
        <v>73</v>
      </c>
      <c r="G182">
        <v>0</v>
      </c>
      <c r="H182">
        <v>2E+20</v>
      </c>
      <c r="I182">
        <v>0</v>
      </c>
      <c r="J182">
        <v>0</v>
      </c>
      <c r="K182">
        <v>0</v>
      </c>
      <c r="L182">
        <v>0</v>
      </c>
      <c r="M182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182" cm="1">
        <f t="array" ref="N182">MAX(IF((ProjectInfoTable[ProjectName]=ContinuousStatsTable[[#This Row],[ProjectName]]),(ProjectInfoTable[ProjectName]=ContinuousStatsTable[[#This Row],[ProjectName]])*ProjectInfoTable[NumberOfReplications]))</f>
        <v>30</v>
      </c>
      <c r="O182" cm="1">
        <f t="array" ref="O182">IFERROR(AVERAGE(IF((ContinuousStatsTable[GroupByKey]=ContinuousStatsTable[[#This Row],[GroupByKey]]),(ContinuousStatsTable[GroupByKey]=ContinuousStatsTable[[#This Row],[GroupByKey]])*ContinuousStatsTable[Average])),0)</f>
        <v>0</v>
      </c>
      <c r="P182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0</v>
      </c>
      <c r="Q182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2" cm="1">
        <f t="array" ref="S182">MIN(IF((ContinuousStatsTable[GroupByKey]=ContinuousStatsTable[[#This Row],[GroupByKey]]),(ContinuousStatsTable[GroupByKey]=ContinuousStatsTable[[#This Row],[GroupByKey]])*ContinuousStatsTable[Average]))</f>
        <v>0</v>
      </c>
      <c r="T182" cm="1">
        <f t="array" ref="T182">MAX(IF((ContinuousStatsTable[GroupByKey]=ContinuousStatsTable[[#This Row],[GroupByKey]]),(ContinuousStatsTable[GroupByKey]=ContinuousStatsTable[[#This Row],[GroupByKey]])*ContinuousStatsTable[Average]))</f>
        <v>0</v>
      </c>
      <c r="U182">
        <f>IF((ContinuousStatsTable[[#This Row],[RepsRequested]]&gt;1),ContinuousStatsTable[[#This Row],[HalfWidth]],ContinuousStatsTable[[#This Row],[BatchMeansHalfWidth]])</f>
        <v>0</v>
      </c>
    </row>
    <row r="183" spans="1:21" x14ac:dyDescent="0.2">
      <c r="A183" t="s">
        <v>67</v>
      </c>
      <c r="B183" t="s">
        <v>70</v>
      </c>
      <c r="C183">
        <v>8</v>
      </c>
      <c r="D183" t="s">
        <v>87</v>
      </c>
      <c r="E183" t="s">
        <v>98</v>
      </c>
      <c r="F183" t="s">
        <v>73</v>
      </c>
      <c r="G183">
        <v>0</v>
      </c>
      <c r="H183">
        <v>2E+20</v>
      </c>
      <c r="I183">
        <v>0</v>
      </c>
      <c r="J183">
        <v>0</v>
      </c>
      <c r="K183">
        <v>0</v>
      </c>
      <c r="L183">
        <v>0</v>
      </c>
      <c r="M183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183" cm="1">
        <f t="array" ref="N183">MAX(IF((ProjectInfoTable[ProjectName]=ContinuousStatsTable[[#This Row],[ProjectName]]),(ProjectInfoTable[ProjectName]=ContinuousStatsTable[[#This Row],[ProjectName]])*ProjectInfoTable[NumberOfReplications]))</f>
        <v>30</v>
      </c>
      <c r="O183" cm="1">
        <f t="array" ref="O183">IFERROR(AVERAGE(IF((ContinuousStatsTable[GroupByKey]=ContinuousStatsTable[[#This Row],[GroupByKey]]),(ContinuousStatsTable[GroupByKey]=ContinuousStatsTable[[#This Row],[GroupByKey]])*ContinuousStatsTable[Average])),0)</f>
        <v>0</v>
      </c>
      <c r="P183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0</v>
      </c>
      <c r="Q183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3" cm="1">
        <f t="array" ref="S183">MIN(IF((ContinuousStatsTable[GroupByKey]=ContinuousStatsTable[[#This Row],[GroupByKey]]),(ContinuousStatsTable[GroupByKey]=ContinuousStatsTable[[#This Row],[GroupByKey]])*ContinuousStatsTable[Average]))</f>
        <v>0</v>
      </c>
      <c r="T183" cm="1">
        <f t="array" ref="T183">MAX(IF((ContinuousStatsTable[GroupByKey]=ContinuousStatsTable[[#This Row],[GroupByKey]]),(ContinuousStatsTable[GroupByKey]=ContinuousStatsTable[[#This Row],[GroupByKey]])*ContinuousStatsTable[Average]))</f>
        <v>0</v>
      </c>
      <c r="U183">
        <f>IF((ContinuousStatsTable[[#This Row],[RepsRequested]]&gt;1),ContinuousStatsTable[[#This Row],[HalfWidth]],ContinuousStatsTable[[#This Row],[BatchMeansHalfWidth]])</f>
        <v>0</v>
      </c>
    </row>
    <row r="184" spans="1:21" x14ac:dyDescent="0.2">
      <c r="A184" t="s">
        <v>67</v>
      </c>
      <c r="B184" t="s">
        <v>70</v>
      </c>
      <c r="C184">
        <v>8</v>
      </c>
      <c r="D184" t="s">
        <v>88</v>
      </c>
      <c r="E184" t="s">
        <v>98</v>
      </c>
      <c r="F184" t="s">
        <v>73</v>
      </c>
      <c r="G184">
        <v>1.5408860728299101</v>
      </c>
      <c r="H184">
        <v>9.5994367064968694E-2</v>
      </c>
      <c r="I184">
        <v>0</v>
      </c>
      <c r="J184">
        <v>4</v>
      </c>
      <c r="K184">
        <v>2</v>
      </c>
      <c r="L184">
        <v>0</v>
      </c>
      <c r="M184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184" cm="1">
        <f t="array" ref="N184">MAX(IF((ProjectInfoTable[ProjectName]=ContinuousStatsTable[[#This Row],[ProjectName]]),(ProjectInfoTable[ProjectName]=ContinuousStatsTable[[#This Row],[ProjectName]])*ProjectInfoTable[NumberOfReplications]))</f>
        <v>30</v>
      </c>
      <c r="O184" cm="1">
        <f t="array" ref="O184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184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184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184" cm="1">
        <f t="array" ref="S184">MIN(IF((ContinuousStatsTable[GroupByKey]=ContinuousStatsTable[[#This Row],[GroupByKey]]),(ContinuousStatsTable[GroupByKey]=ContinuousStatsTable[[#This Row],[GroupByKey]])*ContinuousStatsTable[Average]))</f>
        <v>1.4062336911317099</v>
      </c>
      <c r="T184" cm="1">
        <f t="array" ref="T184">MAX(IF((ContinuousStatsTable[GroupByKey]=ContinuousStatsTable[[#This Row],[GroupByKey]]),(ContinuousStatsTable[GroupByKey]=ContinuousStatsTable[[#This Row],[GroupByKey]])*ContinuousStatsTable[Average]))</f>
        <v>1.5889769030929</v>
      </c>
      <c r="U184">
        <f>IF((ContinuousStatsTable[[#This Row],[RepsRequested]]&gt;1),ContinuousStatsTable[[#This Row],[HalfWidth]],ContinuousStatsTable[[#This Row],[BatchMeansHalfWidth]])</f>
        <v>1.602866983772662E-2</v>
      </c>
    </row>
    <row r="185" spans="1:21" x14ac:dyDescent="0.2">
      <c r="A185" t="s">
        <v>67</v>
      </c>
      <c r="B185" t="s">
        <v>70</v>
      </c>
      <c r="C185">
        <v>8</v>
      </c>
      <c r="D185" t="s">
        <v>102</v>
      </c>
      <c r="E185" t="s">
        <v>94</v>
      </c>
      <c r="F185" t="s">
        <v>95</v>
      </c>
      <c r="G185">
        <v>4.9122807017543801E-3</v>
      </c>
      <c r="H185">
        <v>6.5150196229443996E-4</v>
      </c>
      <c r="I185">
        <v>0</v>
      </c>
      <c r="J185">
        <v>0.1</v>
      </c>
      <c r="K185">
        <v>0</v>
      </c>
      <c r="L185">
        <v>0</v>
      </c>
      <c r="M185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185" cm="1">
        <f t="array" ref="N185">MAX(IF((ProjectInfoTable[ProjectName]=ContinuousStatsTable[[#This Row],[ProjectName]]),(ProjectInfoTable[ProjectName]=ContinuousStatsTable[[#This Row],[ProjectName]])*ProjectInfoTable[NumberOfReplications]))</f>
        <v>30</v>
      </c>
      <c r="O185" cm="1">
        <f t="array" ref="O185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18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18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185" cm="1">
        <f t="array" ref="S185">MIN(IF((ContinuousStatsTable[GroupByKey]=ContinuousStatsTable[[#This Row],[GroupByKey]]),(ContinuousStatsTable[GroupByKey]=ContinuousStatsTable[[#This Row],[GroupByKey]])*ContinuousStatsTable[Average]))</f>
        <v>4.4956140350877203E-3</v>
      </c>
      <c r="T185" cm="1">
        <f t="array" ref="T185">MAX(IF((ContinuousStatsTable[GroupByKey]=ContinuousStatsTable[[#This Row],[GroupByKey]]),(ContinuousStatsTable[GroupByKey]=ContinuousStatsTable[[#This Row],[GroupByKey]])*ContinuousStatsTable[Average]))</f>
        <v>5.5482456140350904E-3</v>
      </c>
      <c r="U185">
        <f>IF((ContinuousStatsTable[[#This Row],[RepsRequested]]&gt;1),ContinuousStatsTable[[#This Row],[HalfWidth]],ContinuousStatsTable[[#This Row],[BatchMeansHalfWidth]])</f>
        <v>1.0144486472958472E-4</v>
      </c>
    </row>
    <row r="186" spans="1:21" x14ac:dyDescent="0.2">
      <c r="A186" t="s">
        <v>67</v>
      </c>
      <c r="B186" t="s">
        <v>70</v>
      </c>
      <c r="C186">
        <v>8</v>
      </c>
      <c r="D186" t="s">
        <v>102</v>
      </c>
      <c r="E186" t="s">
        <v>96</v>
      </c>
      <c r="F186" t="s">
        <v>95</v>
      </c>
      <c r="G186">
        <v>9.8245614035087803E-2</v>
      </c>
      <c r="H186">
        <v>1.3030039245888801E-2</v>
      </c>
      <c r="I186">
        <v>0</v>
      </c>
      <c r="J186">
        <v>2</v>
      </c>
      <c r="K186">
        <v>0</v>
      </c>
      <c r="L186">
        <v>0</v>
      </c>
      <c r="M186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186" cm="1">
        <f t="array" ref="N186">MAX(IF((ProjectInfoTable[ProjectName]=ContinuousStatsTable[[#This Row],[ProjectName]]),(ProjectInfoTable[ProjectName]=ContinuousStatsTable[[#This Row],[ProjectName]])*ProjectInfoTable[NumberOfReplications]))</f>
        <v>30</v>
      </c>
      <c r="O186" cm="1">
        <f t="array" ref="O186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186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186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186" cm="1">
        <f t="array" ref="S186">MIN(IF((ContinuousStatsTable[GroupByKey]=ContinuousStatsTable[[#This Row],[GroupByKey]]),(ContinuousStatsTable[GroupByKey]=ContinuousStatsTable[[#This Row],[GroupByKey]])*ContinuousStatsTable[Average]))</f>
        <v>8.9912280701754305E-2</v>
      </c>
      <c r="T186" cm="1">
        <f t="array" ref="T186">MAX(IF((ContinuousStatsTable[GroupByKey]=ContinuousStatsTable[[#This Row],[GroupByKey]]),(ContinuousStatsTable[GroupByKey]=ContinuousStatsTable[[#This Row],[GroupByKey]])*ContinuousStatsTable[Average]))</f>
        <v>0.110964912280702</v>
      </c>
      <c r="U186">
        <f>IF((ContinuousStatsTable[[#This Row],[RepsRequested]]&gt;1),ContinuousStatsTable[[#This Row],[HalfWidth]],ContinuousStatsTable[[#This Row],[BatchMeansHalfWidth]])</f>
        <v>2.0288972945916956E-3</v>
      </c>
    </row>
    <row r="187" spans="1:21" x14ac:dyDescent="0.2">
      <c r="A187" t="s">
        <v>67</v>
      </c>
      <c r="B187" t="s">
        <v>70</v>
      </c>
      <c r="C187">
        <v>8</v>
      </c>
      <c r="D187" t="s">
        <v>102</v>
      </c>
      <c r="E187" t="s">
        <v>97</v>
      </c>
      <c r="F187" t="s">
        <v>95</v>
      </c>
      <c r="G187">
        <v>20</v>
      </c>
      <c r="H187">
        <v>2E+20</v>
      </c>
      <c r="I187">
        <v>20</v>
      </c>
      <c r="J187">
        <v>20</v>
      </c>
      <c r="K187">
        <v>20</v>
      </c>
      <c r="L187">
        <v>0</v>
      </c>
      <c r="M187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187" cm="1">
        <f t="array" ref="N187">MAX(IF((ProjectInfoTable[ProjectName]=ContinuousStatsTable[[#This Row],[ProjectName]]),(ProjectInfoTable[ProjectName]=ContinuousStatsTable[[#This Row],[ProjectName]])*ProjectInfoTable[NumberOfReplications]))</f>
        <v>30</v>
      </c>
      <c r="O187" cm="1">
        <f t="array" ref="O187">IFERROR(AVERAGE(IF((ContinuousStatsTable[GroupByKey]=ContinuousStatsTable[[#This Row],[GroupByKey]]),(ContinuousStatsTable[GroupByKey]=ContinuousStatsTable[[#This Row],[GroupByKey]])*ContinuousStatsTable[Average])),0)</f>
        <v>20</v>
      </c>
      <c r="P187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0</v>
      </c>
      <c r="Q187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7" cm="1">
        <f t="array" ref="S187">MIN(IF((ContinuousStatsTable[GroupByKey]=ContinuousStatsTable[[#This Row],[GroupByKey]]),(ContinuousStatsTable[GroupByKey]=ContinuousStatsTable[[#This Row],[GroupByKey]])*ContinuousStatsTable[Average]))</f>
        <v>20</v>
      </c>
      <c r="T187" cm="1">
        <f t="array" ref="T187">MAX(IF((ContinuousStatsTable[GroupByKey]=ContinuousStatsTable[[#This Row],[GroupByKey]]),(ContinuousStatsTable[GroupByKey]=ContinuousStatsTable[[#This Row],[GroupByKey]])*ContinuousStatsTable[Average]))</f>
        <v>20</v>
      </c>
      <c r="U187">
        <f>IF((ContinuousStatsTable[[#This Row],[RepsRequested]]&gt;1),ContinuousStatsTable[[#This Row],[HalfWidth]],ContinuousStatsTable[[#This Row],[BatchMeansHalfWidth]])</f>
        <v>0</v>
      </c>
    </row>
    <row r="188" spans="1:21" x14ac:dyDescent="0.2">
      <c r="A188" t="s">
        <v>67</v>
      </c>
      <c r="B188" t="s">
        <v>70</v>
      </c>
      <c r="C188">
        <v>8</v>
      </c>
      <c r="D188" t="s">
        <v>90</v>
      </c>
      <c r="E188" t="s">
        <v>98</v>
      </c>
      <c r="F188" t="s">
        <v>73</v>
      </c>
      <c r="G188">
        <v>0</v>
      </c>
      <c r="H188">
        <v>2E+20</v>
      </c>
      <c r="I188">
        <v>0</v>
      </c>
      <c r="J188">
        <v>0</v>
      </c>
      <c r="K188">
        <v>0</v>
      </c>
      <c r="L188">
        <v>0</v>
      </c>
      <c r="M188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188" cm="1">
        <f t="array" ref="N188">MAX(IF((ProjectInfoTable[ProjectName]=ContinuousStatsTable[[#This Row],[ProjectName]]),(ProjectInfoTable[ProjectName]=ContinuousStatsTable[[#This Row],[ProjectName]])*ProjectInfoTable[NumberOfReplications]))</f>
        <v>30</v>
      </c>
      <c r="O188" cm="1">
        <f t="array" ref="O188">IFERROR(AVERAGE(IF((ContinuousStatsTable[GroupByKey]=ContinuousStatsTable[[#This Row],[GroupByKey]]),(ContinuousStatsTable[GroupByKey]=ContinuousStatsTable[[#This Row],[GroupByKey]])*ContinuousStatsTable[Average])),0)</f>
        <v>0</v>
      </c>
      <c r="P188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0</v>
      </c>
      <c r="Q188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8" cm="1">
        <f t="array" ref="S188">MIN(IF((ContinuousStatsTable[GroupByKey]=ContinuousStatsTable[[#This Row],[GroupByKey]]),(ContinuousStatsTable[GroupByKey]=ContinuousStatsTable[[#This Row],[GroupByKey]])*ContinuousStatsTable[Average]))</f>
        <v>0</v>
      </c>
      <c r="T188" cm="1">
        <f t="array" ref="T188">MAX(IF((ContinuousStatsTable[GroupByKey]=ContinuousStatsTable[[#This Row],[GroupByKey]]),(ContinuousStatsTable[GroupByKey]=ContinuousStatsTable[[#This Row],[GroupByKey]])*ContinuousStatsTable[Average]))</f>
        <v>0</v>
      </c>
      <c r="U188">
        <f>IF((ContinuousStatsTable[[#This Row],[RepsRequested]]&gt;1),ContinuousStatsTable[[#This Row],[HalfWidth]],ContinuousStatsTable[[#This Row],[BatchMeansHalfWidth]])</f>
        <v>0</v>
      </c>
    </row>
    <row r="189" spans="1:21" x14ac:dyDescent="0.2">
      <c r="A189" t="s">
        <v>67</v>
      </c>
      <c r="B189" t="s">
        <v>70</v>
      </c>
      <c r="C189">
        <v>8</v>
      </c>
      <c r="D189" t="s">
        <v>91</v>
      </c>
      <c r="E189" t="s">
        <v>98</v>
      </c>
      <c r="F189" t="s">
        <v>73</v>
      </c>
      <c r="G189">
        <v>0</v>
      </c>
      <c r="H189">
        <v>2E+20</v>
      </c>
      <c r="I189">
        <v>0</v>
      </c>
      <c r="J189">
        <v>0</v>
      </c>
      <c r="K189">
        <v>0</v>
      </c>
      <c r="L189">
        <v>0</v>
      </c>
      <c r="M189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189" cm="1">
        <f t="array" ref="N189">MAX(IF((ProjectInfoTable[ProjectName]=ContinuousStatsTable[[#This Row],[ProjectName]]),(ProjectInfoTable[ProjectName]=ContinuousStatsTable[[#This Row],[ProjectName]])*ProjectInfoTable[NumberOfReplications]))</f>
        <v>30</v>
      </c>
      <c r="O189" cm="1">
        <f t="array" ref="O189">IFERROR(AVERAGE(IF((ContinuousStatsTable[GroupByKey]=ContinuousStatsTable[[#This Row],[GroupByKey]]),(ContinuousStatsTable[GroupByKey]=ContinuousStatsTable[[#This Row],[GroupByKey]])*ContinuousStatsTable[Average])),0)</f>
        <v>0</v>
      </c>
      <c r="P189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</v>
      </c>
      <c r="Q189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9" cm="1">
        <f t="array" ref="S189">MIN(IF((ContinuousStatsTable[GroupByKey]=ContinuousStatsTable[[#This Row],[GroupByKey]]),(ContinuousStatsTable[GroupByKey]=ContinuousStatsTable[[#This Row],[GroupByKey]])*ContinuousStatsTable[Average]))</f>
        <v>0</v>
      </c>
      <c r="T189" cm="1">
        <f t="array" ref="T189">MAX(IF((ContinuousStatsTable[GroupByKey]=ContinuousStatsTable[[#This Row],[GroupByKey]]),(ContinuousStatsTable[GroupByKey]=ContinuousStatsTable[[#This Row],[GroupByKey]])*ContinuousStatsTable[Average]))</f>
        <v>0</v>
      </c>
      <c r="U189">
        <f>IF((ContinuousStatsTable[[#This Row],[RepsRequested]]&gt;1),ContinuousStatsTable[[#This Row],[HalfWidth]],ContinuousStatsTable[[#This Row],[BatchMeansHalfWidth]])</f>
        <v>0</v>
      </c>
    </row>
    <row r="190" spans="1:21" x14ac:dyDescent="0.2">
      <c r="A190" t="s">
        <v>67</v>
      </c>
      <c r="B190" t="s">
        <v>70</v>
      </c>
      <c r="C190">
        <v>8</v>
      </c>
      <c r="D190" t="s">
        <v>92</v>
      </c>
      <c r="E190" t="s">
        <v>98</v>
      </c>
      <c r="F190" t="s">
        <v>73</v>
      </c>
      <c r="G190">
        <v>0</v>
      </c>
      <c r="H190">
        <v>2E+20</v>
      </c>
      <c r="I190">
        <v>0</v>
      </c>
      <c r="J190">
        <v>0</v>
      </c>
      <c r="K190">
        <v>0</v>
      </c>
      <c r="L190">
        <v>0</v>
      </c>
      <c r="M190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190" cm="1">
        <f t="array" ref="N190">MAX(IF((ProjectInfoTable[ProjectName]=ContinuousStatsTable[[#This Row],[ProjectName]]),(ProjectInfoTable[ProjectName]=ContinuousStatsTable[[#This Row],[ProjectName]])*ProjectInfoTable[NumberOfReplications]))</f>
        <v>30</v>
      </c>
      <c r="O190" cm="1">
        <f t="array" ref="O190">IFERROR(AVERAGE(IF((ContinuousStatsTable[GroupByKey]=ContinuousStatsTable[[#This Row],[GroupByKey]]),(ContinuousStatsTable[GroupByKey]=ContinuousStatsTable[[#This Row],[GroupByKey]])*ContinuousStatsTable[Average])),0)</f>
        <v>0</v>
      </c>
      <c r="P190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</v>
      </c>
      <c r="Q190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0" cm="1">
        <f t="array" ref="S190">MIN(IF((ContinuousStatsTable[GroupByKey]=ContinuousStatsTable[[#This Row],[GroupByKey]]),(ContinuousStatsTable[GroupByKey]=ContinuousStatsTable[[#This Row],[GroupByKey]])*ContinuousStatsTable[Average]))</f>
        <v>0</v>
      </c>
      <c r="T190" cm="1">
        <f t="array" ref="T190">MAX(IF((ContinuousStatsTable[GroupByKey]=ContinuousStatsTable[[#This Row],[GroupByKey]]),(ContinuousStatsTable[GroupByKey]=ContinuousStatsTable[[#This Row],[GroupByKey]])*ContinuousStatsTable[Average]))</f>
        <v>0</v>
      </c>
      <c r="U190">
        <f>IF((ContinuousStatsTable[[#This Row],[RepsRequested]]&gt;1),ContinuousStatsTable[[#This Row],[HalfWidth]],ContinuousStatsTable[[#This Row],[BatchMeansHalfWidth]])</f>
        <v>0</v>
      </c>
    </row>
    <row r="191" spans="1:21" x14ac:dyDescent="0.2">
      <c r="A191" t="s">
        <v>67</v>
      </c>
      <c r="B191" t="s">
        <v>70</v>
      </c>
      <c r="C191">
        <v>8</v>
      </c>
      <c r="D191" t="s">
        <v>103</v>
      </c>
      <c r="E191" t="s">
        <v>94</v>
      </c>
      <c r="F191" t="s">
        <v>95</v>
      </c>
      <c r="G191">
        <v>8.4390036877900698E-2</v>
      </c>
      <c r="H191">
        <v>2E+20</v>
      </c>
      <c r="I191">
        <v>0</v>
      </c>
      <c r="J191">
        <v>0.66666666666666696</v>
      </c>
      <c r="K191">
        <v>0</v>
      </c>
      <c r="L191">
        <v>0</v>
      </c>
      <c r="M191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191" cm="1">
        <f t="array" ref="N191">MAX(IF((ProjectInfoTable[ProjectName]=ContinuousStatsTable[[#This Row],[ProjectName]]),(ProjectInfoTable[ProjectName]=ContinuousStatsTable[[#This Row],[ProjectName]])*ProjectInfoTable[NumberOfReplications]))</f>
        <v>30</v>
      </c>
      <c r="O191" cm="1">
        <f t="array" ref="O191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191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191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191" cm="1">
        <f t="array" ref="S191">MIN(IF((ContinuousStatsTable[GroupByKey]=ContinuousStatsTable[[#This Row],[GroupByKey]]),(ContinuousStatsTable[GroupByKey]=ContinuousStatsTable[[#This Row],[GroupByKey]])*ContinuousStatsTable[Average]))</f>
        <v>7.7176470357846902E-2</v>
      </c>
      <c r="T191" cm="1">
        <f t="array" ref="T191">MAX(IF((ContinuousStatsTable[GroupByKey]=ContinuousStatsTable[[#This Row],[GroupByKey]]),(ContinuousStatsTable[GroupByKey]=ContinuousStatsTable[[#This Row],[GroupByKey]])*ContinuousStatsTable[Average]))</f>
        <v>9.2534326714405896E-2</v>
      </c>
      <c r="U191">
        <f>IF((ContinuousStatsTable[[#This Row],[RepsRequested]]&gt;1),ContinuousStatsTable[[#This Row],[HalfWidth]],ContinuousStatsTable[[#This Row],[BatchMeansHalfWidth]])</f>
        <v>1.3238327186697659E-3</v>
      </c>
    </row>
    <row r="192" spans="1:21" x14ac:dyDescent="0.2">
      <c r="A192" t="s">
        <v>67</v>
      </c>
      <c r="B192" t="s">
        <v>70</v>
      </c>
      <c r="C192">
        <v>8</v>
      </c>
      <c r="D192" t="s">
        <v>103</v>
      </c>
      <c r="E192" t="s">
        <v>96</v>
      </c>
      <c r="F192" t="s">
        <v>95</v>
      </c>
      <c r="G192">
        <v>0.25317011063370198</v>
      </c>
      <c r="H192">
        <v>2E+20</v>
      </c>
      <c r="I192">
        <v>0</v>
      </c>
      <c r="J192">
        <v>2</v>
      </c>
      <c r="K192">
        <v>0</v>
      </c>
      <c r="L192">
        <v>0</v>
      </c>
      <c r="M192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192" cm="1">
        <f t="array" ref="N192">MAX(IF((ProjectInfoTable[ProjectName]=ContinuousStatsTable[[#This Row],[ProjectName]]),(ProjectInfoTable[ProjectName]=ContinuousStatsTable[[#This Row],[ProjectName]])*ProjectInfoTable[NumberOfReplications]))</f>
        <v>30</v>
      </c>
      <c r="O192" cm="1">
        <f t="array" ref="O192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192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192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192" cm="1">
        <f t="array" ref="S192">MIN(IF((ContinuousStatsTable[GroupByKey]=ContinuousStatsTable[[#This Row],[GroupByKey]]),(ContinuousStatsTable[GroupByKey]=ContinuousStatsTable[[#This Row],[GroupByKey]])*ContinuousStatsTable[Average]))</f>
        <v>0.231529411073541</v>
      </c>
      <c r="T192" cm="1">
        <f t="array" ref="T192">MAX(IF((ContinuousStatsTable[GroupByKey]=ContinuousStatsTable[[#This Row],[GroupByKey]]),(ContinuousStatsTable[GroupByKey]=ContinuousStatsTable[[#This Row],[GroupByKey]])*ContinuousStatsTable[Average]))</f>
        <v>0.27760298014321699</v>
      </c>
      <c r="U192">
        <f>IF((ContinuousStatsTable[[#This Row],[RepsRequested]]&gt;1),ContinuousStatsTable[[#This Row],[HalfWidth]],ContinuousStatsTable[[#This Row],[BatchMeansHalfWidth]])</f>
        <v>3.9714981560092996E-3</v>
      </c>
    </row>
    <row r="193" spans="1:21" x14ac:dyDescent="0.2">
      <c r="A193" t="s">
        <v>67</v>
      </c>
      <c r="B193" t="s">
        <v>70</v>
      </c>
      <c r="C193">
        <v>8</v>
      </c>
      <c r="D193" t="s">
        <v>103</v>
      </c>
      <c r="E193" t="s">
        <v>97</v>
      </c>
      <c r="F193" t="s">
        <v>95</v>
      </c>
      <c r="G193">
        <v>3</v>
      </c>
      <c r="H193">
        <v>2E+20</v>
      </c>
      <c r="I193">
        <v>3</v>
      </c>
      <c r="J193">
        <v>3</v>
      </c>
      <c r="K193">
        <v>3</v>
      </c>
      <c r="L193">
        <v>0</v>
      </c>
      <c r="M193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193" cm="1">
        <f t="array" ref="N193">MAX(IF((ProjectInfoTable[ProjectName]=ContinuousStatsTable[[#This Row],[ProjectName]]),(ProjectInfoTable[ProjectName]=ContinuousStatsTable[[#This Row],[ProjectName]])*ProjectInfoTable[NumberOfReplications]))</f>
        <v>30</v>
      </c>
      <c r="O193" cm="1">
        <f t="array" ref="O193">IFERROR(AVERAGE(IF((ContinuousStatsTable[GroupByKey]=ContinuousStatsTable[[#This Row],[GroupByKey]]),(ContinuousStatsTable[GroupByKey]=ContinuousStatsTable[[#This Row],[GroupByKey]])*ContinuousStatsTable[Average])),0)</f>
        <v>3</v>
      </c>
      <c r="P193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0</v>
      </c>
      <c r="Q193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3" cm="1">
        <f t="array" ref="S193">MIN(IF((ContinuousStatsTable[GroupByKey]=ContinuousStatsTable[[#This Row],[GroupByKey]]),(ContinuousStatsTable[GroupByKey]=ContinuousStatsTable[[#This Row],[GroupByKey]])*ContinuousStatsTable[Average]))</f>
        <v>3</v>
      </c>
      <c r="T193" cm="1">
        <f t="array" ref="T193">MAX(IF((ContinuousStatsTable[GroupByKey]=ContinuousStatsTable[[#This Row],[GroupByKey]]),(ContinuousStatsTable[GroupByKey]=ContinuousStatsTable[[#This Row],[GroupByKey]])*ContinuousStatsTable[Average]))</f>
        <v>3</v>
      </c>
      <c r="U193">
        <f>IF((ContinuousStatsTable[[#This Row],[RepsRequested]]&gt;1),ContinuousStatsTable[[#This Row],[HalfWidth]],ContinuousStatsTable[[#This Row],[BatchMeansHalfWidth]])</f>
        <v>0</v>
      </c>
    </row>
    <row r="194" spans="1:21" x14ac:dyDescent="0.2">
      <c r="A194" t="s">
        <v>67</v>
      </c>
      <c r="B194" t="s">
        <v>70</v>
      </c>
      <c r="C194">
        <v>9</v>
      </c>
      <c r="D194" t="s">
        <v>93</v>
      </c>
      <c r="E194" t="s">
        <v>94</v>
      </c>
      <c r="F194" t="s">
        <v>95</v>
      </c>
      <c r="G194">
        <v>0.25337380435043599</v>
      </c>
      <c r="H194">
        <v>2.48266207229293E-2</v>
      </c>
      <c r="I194">
        <v>0</v>
      </c>
      <c r="J194">
        <v>1</v>
      </c>
      <c r="K194">
        <v>1</v>
      </c>
      <c r="L194">
        <v>0</v>
      </c>
      <c r="M194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194" cm="1">
        <f t="array" ref="N194">MAX(IF((ProjectInfoTable[ProjectName]=ContinuousStatsTable[[#This Row],[ProjectName]]),(ProjectInfoTable[ProjectName]=ContinuousStatsTable[[#This Row],[ProjectName]])*ProjectInfoTable[NumberOfReplications]))</f>
        <v>30</v>
      </c>
      <c r="O194" cm="1">
        <f t="array" ref="O194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194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194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194" cm="1">
        <f t="array" ref="S194">MIN(IF((ContinuousStatsTable[GroupByKey]=ContinuousStatsTable[[#This Row],[GroupByKey]]),(ContinuousStatsTable[GroupByKey]=ContinuousStatsTable[[#This Row],[GroupByKey]])*ContinuousStatsTable[Average]))</f>
        <v>0.233333333333333</v>
      </c>
      <c r="T194" cm="1">
        <f t="array" ref="T194">MAX(IF((ContinuousStatsTable[GroupByKey]=ContinuousStatsTable[[#This Row],[GroupByKey]]),(ContinuousStatsTable[GroupByKey]=ContinuousStatsTable[[#This Row],[GroupByKey]])*ContinuousStatsTable[Average]))</f>
        <v>0.27905535859326402</v>
      </c>
      <c r="U194">
        <f>IF((ContinuousStatsTable[[#This Row],[RepsRequested]]&gt;1),ContinuousStatsTable[[#This Row],[HalfWidth]],ContinuousStatsTable[[#This Row],[BatchMeansHalfWidth]])</f>
        <v>4.2029769261323026E-3</v>
      </c>
    </row>
    <row r="195" spans="1:21" x14ac:dyDescent="0.2">
      <c r="A195" t="s">
        <v>67</v>
      </c>
      <c r="B195" t="s">
        <v>70</v>
      </c>
      <c r="C195">
        <v>9</v>
      </c>
      <c r="D195" t="s">
        <v>93</v>
      </c>
      <c r="E195" t="s">
        <v>96</v>
      </c>
      <c r="F195" t="s">
        <v>95</v>
      </c>
      <c r="G195">
        <v>0.25337380435043599</v>
      </c>
      <c r="H195">
        <v>2.48266207229293E-2</v>
      </c>
      <c r="I195">
        <v>0</v>
      </c>
      <c r="J195">
        <v>1</v>
      </c>
      <c r="K195">
        <v>1</v>
      </c>
      <c r="L195">
        <v>0</v>
      </c>
      <c r="M19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195" cm="1">
        <f t="array" ref="N195">MAX(IF((ProjectInfoTable[ProjectName]=ContinuousStatsTable[[#This Row],[ProjectName]]),(ProjectInfoTable[ProjectName]=ContinuousStatsTable[[#This Row],[ProjectName]])*ProjectInfoTable[NumberOfReplications]))</f>
        <v>30</v>
      </c>
      <c r="O195" cm="1">
        <f t="array" ref="O195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19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19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195" cm="1">
        <f t="array" ref="S195">MIN(IF((ContinuousStatsTable[GroupByKey]=ContinuousStatsTable[[#This Row],[GroupByKey]]),(ContinuousStatsTable[GroupByKey]=ContinuousStatsTable[[#This Row],[GroupByKey]])*ContinuousStatsTable[Average]))</f>
        <v>0.233333333333333</v>
      </c>
      <c r="T195" cm="1">
        <f t="array" ref="T195">MAX(IF((ContinuousStatsTable[GroupByKey]=ContinuousStatsTable[[#This Row],[GroupByKey]]),(ContinuousStatsTable[GroupByKey]=ContinuousStatsTable[[#This Row],[GroupByKey]])*ContinuousStatsTable[Average]))</f>
        <v>0.27905535859326402</v>
      </c>
      <c r="U195">
        <f>IF((ContinuousStatsTable[[#This Row],[RepsRequested]]&gt;1),ContinuousStatsTable[[#This Row],[HalfWidth]],ContinuousStatsTable[[#This Row],[BatchMeansHalfWidth]])</f>
        <v>4.2029769261323026E-3</v>
      </c>
    </row>
    <row r="196" spans="1:21" x14ac:dyDescent="0.2">
      <c r="A196" t="s">
        <v>67</v>
      </c>
      <c r="B196" t="s">
        <v>70</v>
      </c>
      <c r="C196">
        <v>9</v>
      </c>
      <c r="D196" t="s">
        <v>93</v>
      </c>
      <c r="E196" t="s">
        <v>97</v>
      </c>
      <c r="F196" t="s">
        <v>95</v>
      </c>
      <c r="G196">
        <v>1</v>
      </c>
      <c r="H196">
        <v>2E+20</v>
      </c>
      <c r="I196">
        <v>1</v>
      </c>
      <c r="J196">
        <v>1</v>
      </c>
      <c r="K196">
        <v>1</v>
      </c>
      <c r="L196">
        <v>0</v>
      </c>
      <c r="M196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196" cm="1">
        <f t="array" ref="N196">MAX(IF((ProjectInfoTable[ProjectName]=ContinuousStatsTable[[#This Row],[ProjectName]]),(ProjectInfoTable[ProjectName]=ContinuousStatsTable[[#This Row],[ProjectName]])*ProjectInfoTable[NumberOfReplications]))</f>
        <v>30</v>
      </c>
      <c r="O196" cm="1">
        <f t="array" ref="O196">IFERROR(AVERAGE(IF((ContinuousStatsTable[GroupByKey]=ContinuousStatsTable[[#This Row],[GroupByKey]]),(ContinuousStatsTable[GroupByKey]=ContinuousStatsTable[[#This Row],[GroupByKey]])*ContinuousStatsTable[Average])),0)</f>
        <v>1</v>
      </c>
      <c r="P196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cm="1">
        <f t="array" ref="S196">MIN(IF((ContinuousStatsTable[GroupByKey]=ContinuousStatsTable[[#This Row],[GroupByKey]]),(ContinuousStatsTable[GroupByKey]=ContinuousStatsTable[[#This Row],[GroupByKey]])*ContinuousStatsTable[Average]))</f>
        <v>1</v>
      </c>
      <c r="T196" cm="1">
        <f t="array" ref="T196">MAX(IF((ContinuousStatsTable[GroupByKey]=ContinuousStatsTable[[#This Row],[GroupByKey]]),(ContinuousStatsTable[GroupByKey]=ContinuousStatsTable[[#This Row],[GroupByKey]])*ContinuousStatsTable[Average]))</f>
        <v>1</v>
      </c>
      <c r="U196">
        <f>IF((ContinuousStatsTable[[#This Row],[RepsRequested]]&gt;1),ContinuousStatsTable[[#This Row],[HalfWidth]],ContinuousStatsTable[[#This Row],[BatchMeansHalfWidth]])</f>
        <v>0</v>
      </c>
    </row>
    <row r="197" spans="1:21" x14ac:dyDescent="0.2">
      <c r="A197" t="s">
        <v>67</v>
      </c>
      <c r="B197" t="s">
        <v>70</v>
      </c>
      <c r="C197">
        <v>9</v>
      </c>
      <c r="D197" t="s">
        <v>71</v>
      </c>
      <c r="E197" t="s">
        <v>98</v>
      </c>
      <c r="F197" t="s">
        <v>73</v>
      </c>
      <c r="G197">
        <v>2.6246048508609E-2</v>
      </c>
      <c r="H197">
        <v>2E+20</v>
      </c>
      <c r="I197">
        <v>0</v>
      </c>
      <c r="J197">
        <v>1</v>
      </c>
      <c r="K197">
        <v>0</v>
      </c>
      <c r="L197">
        <v>0</v>
      </c>
      <c r="M197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197" cm="1">
        <f t="array" ref="N197">MAX(IF((ProjectInfoTable[ProjectName]=ContinuousStatsTable[[#This Row],[ProjectName]]),(ProjectInfoTable[ProjectName]=ContinuousStatsTable[[#This Row],[ProjectName]])*ProjectInfoTable[NumberOfReplications]))</f>
        <v>30</v>
      </c>
      <c r="O197" cm="1">
        <f t="array" ref="O197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197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197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197" cm="1">
        <f t="array" ref="S197">MIN(IF((ContinuousStatsTable[GroupByKey]=ContinuousStatsTable[[#This Row],[GroupByKey]]),(ContinuousStatsTable[GroupByKey]=ContinuousStatsTable[[#This Row],[GroupByKey]])*ContinuousStatsTable[Average]))</f>
        <v>1.9664517785186901E-2</v>
      </c>
      <c r="T197" cm="1">
        <f t="array" ref="T197">MAX(IF((ContinuousStatsTable[GroupByKey]=ContinuousStatsTable[[#This Row],[GroupByKey]]),(ContinuousStatsTable[GroupByKey]=ContinuousStatsTable[[#This Row],[GroupByKey]])*ContinuousStatsTable[Average]))</f>
        <v>3.9738966906982302E-2</v>
      </c>
      <c r="U197">
        <f>IF((ContinuousStatsTable[[#This Row],[RepsRequested]]&gt;1),ContinuousStatsTable[[#This Row],[HalfWidth]],ContinuousStatsTable[[#This Row],[BatchMeansHalfWidth]])</f>
        <v>1.6627262085570247E-3</v>
      </c>
    </row>
    <row r="198" spans="1:21" x14ac:dyDescent="0.2">
      <c r="A198" t="s">
        <v>67</v>
      </c>
      <c r="B198" t="s">
        <v>70</v>
      </c>
      <c r="C198">
        <v>9</v>
      </c>
      <c r="D198" t="s">
        <v>99</v>
      </c>
      <c r="E198" t="s">
        <v>94</v>
      </c>
      <c r="F198" t="s">
        <v>95</v>
      </c>
      <c r="G198">
        <v>0.62295007048234596</v>
      </c>
      <c r="H198">
        <v>2E+20</v>
      </c>
      <c r="I198">
        <v>0</v>
      </c>
      <c r="J198">
        <v>1</v>
      </c>
      <c r="K198">
        <v>1</v>
      </c>
      <c r="L198">
        <v>0</v>
      </c>
      <c r="M198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198" cm="1">
        <f t="array" ref="N198">MAX(IF((ProjectInfoTable[ProjectName]=ContinuousStatsTable[[#This Row],[ProjectName]]),(ProjectInfoTable[ProjectName]=ContinuousStatsTable[[#This Row],[ProjectName]])*ProjectInfoTable[NumberOfReplications]))</f>
        <v>30</v>
      </c>
      <c r="O198" cm="1">
        <f t="array" ref="O198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198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198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198" cm="1">
        <f t="array" ref="S198">MIN(IF((ContinuousStatsTable[GroupByKey]=ContinuousStatsTable[[#This Row],[GroupByKey]]),(ContinuousStatsTable[GroupByKey]=ContinuousStatsTable[[#This Row],[GroupByKey]])*ContinuousStatsTable[Average]))</f>
        <v>0.58256422876290004</v>
      </c>
      <c r="T198" cm="1">
        <f t="array" ref="T198">MAX(IF((ContinuousStatsTable[GroupByKey]=ContinuousStatsTable[[#This Row],[GroupByKey]]),(ContinuousStatsTable[GroupByKey]=ContinuousStatsTable[[#This Row],[GroupByKey]])*ContinuousStatsTable[Average]))</f>
        <v>0.68643238055161704</v>
      </c>
      <c r="U198">
        <f>IF((ContinuousStatsTable[[#This Row],[RepsRequested]]&gt;1),ContinuousStatsTable[[#This Row],[HalfWidth]],ContinuousStatsTable[[#This Row],[BatchMeansHalfWidth]])</f>
        <v>9.8490003000806757E-3</v>
      </c>
    </row>
    <row r="199" spans="1:21" x14ac:dyDescent="0.2">
      <c r="A199" t="s">
        <v>67</v>
      </c>
      <c r="B199" t="s">
        <v>70</v>
      </c>
      <c r="C199">
        <v>9</v>
      </c>
      <c r="D199" t="s">
        <v>99</v>
      </c>
      <c r="E199" t="s">
        <v>96</v>
      </c>
      <c r="F199" t="s">
        <v>95</v>
      </c>
      <c r="G199">
        <v>1.2459001409646899</v>
      </c>
      <c r="H199">
        <v>2E+20</v>
      </c>
      <c r="I199">
        <v>0</v>
      </c>
      <c r="J199">
        <v>2</v>
      </c>
      <c r="K199">
        <v>2</v>
      </c>
      <c r="L199">
        <v>0</v>
      </c>
      <c r="M199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199" cm="1">
        <f t="array" ref="N199">MAX(IF((ProjectInfoTable[ProjectName]=ContinuousStatsTable[[#This Row],[ProjectName]]),(ProjectInfoTable[ProjectName]=ContinuousStatsTable[[#This Row],[ProjectName]])*ProjectInfoTable[NumberOfReplications]))</f>
        <v>30</v>
      </c>
      <c r="O199" cm="1">
        <f t="array" ref="O199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199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199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199" cm="1">
        <f t="array" ref="S199">MIN(IF((ContinuousStatsTable[GroupByKey]=ContinuousStatsTable[[#This Row],[GroupByKey]]),(ContinuousStatsTable[GroupByKey]=ContinuousStatsTable[[#This Row],[GroupByKey]])*ContinuousStatsTable[Average]))</f>
        <v>1.1651284575258001</v>
      </c>
      <c r="T199" cm="1">
        <f t="array" ref="T199">MAX(IF((ContinuousStatsTable[GroupByKey]=ContinuousStatsTable[[#This Row],[GroupByKey]]),(ContinuousStatsTable[GroupByKey]=ContinuousStatsTable[[#This Row],[GroupByKey]])*ContinuousStatsTable[Average]))</f>
        <v>1.3728647611032301</v>
      </c>
      <c r="U199">
        <f>IF((ContinuousStatsTable[[#This Row],[RepsRequested]]&gt;1),ContinuousStatsTable[[#This Row],[HalfWidth]],ContinuousStatsTable[[#This Row],[BatchMeansHalfWidth]])</f>
        <v>1.9698000600160998E-2</v>
      </c>
    </row>
    <row r="200" spans="1:21" x14ac:dyDescent="0.2">
      <c r="A200" t="s">
        <v>67</v>
      </c>
      <c r="B200" t="s">
        <v>70</v>
      </c>
      <c r="C200">
        <v>9</v>
      </c>
      <c r="D200" t="s">
        <v>99</v>
      </c>
      <c r="E200" t="s">
        <v>97</v>
      </c>
      <c r="F200" t="s">
        <v>95</v>
      </c>
      <c r="G200">
        <v>2</v>
      </c>
      <c r="H200">
        <v>2E+20</v>
      </c>
      <c r="I200">
        <v>2</v>
      </c>
      <c r="J200">
        <v>2</v>
      </c>
      <c r="K200">
        <v>2</v>
      </c>
      <c r="L200">
        <v>0</v>
      </c>
      <c r="M200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200" cm="1">
        <f t="array" ref="N200">MAX(IF((ProjectInfoTable[ProjectName]=ContinuousStatsTable[[#This Row],[ProjectName]]),(ProjectInfoTable[ProjectName]=ContinuousStatsTable[[#This Row],[ProjectName]])*ProjectInfoTable[NumberOfReplications]))</f>
        <v>30</v>
      </c>
      <c r="O200" cm="1">
        <f t="array" ref="O200">IFERROR(AVERAGE(IF((ContinuousStatsTable[GroupByKey]=ContinuousStatsTable[[#This Row],[GroupByKey]]),(ContinuousStatsTable[GroupByKey]=ContinuousStatsTable[[#This Row],[GroupByKey]])*ContinuousStatsTable[Average])),0)</f>
        <v>2</v>
      </c>
      <c r="P200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</v>
      </c>
      <c r="Q200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0" cm="1">
        <f t="array" ref="S200">MIN(IF((ContinuousStatsTable[GroupByKey]=ContinuousStatsTable[[#This Row],[GroupByKey]]),(ContinuousStatsTable[GroupByKey]=ContinuousStatsTable[[#This Row],[GroupByKey]])*ContinuousStatsTable[Average]))</f>
        <v>2</v>
      </c>
      <c r="T200" cm="1">
        <f t="array" ref="T200">MAX(IF((ContinuousStatsTable[GroupByKey]=ContinuousStatsTable[[#This Row],[GroupByKey]]),(ContinuousStatsTable[GroupByKey]=ContinuousStatsTable[[#This Row],[GroupByKey]])*ContinuousStatsTable[Average]))</f>
        <v>2</v>
      </c>
      <c r="U200">
        <f>IF((ContinuousStatsTable[[#This Row],[RepsRequested]]&gt;1),ContinuousStatsTable[[#This Row],[HalfWidth]],ContinuousStatsTable[[#This Row],[BatchMeansHalfWidth]])</f>
        <v>0</v>
      </c>
    </row>
    <row r="201" spans="1:21" x14ac:dyDescent="0.2">
      <c r="A201" t="s">
        <v>67</v>
      </c>
      <c r="B201" t="s">
        <v>70</v>
      </c>
      <c r="C201">
        <v>9</v>
      </c>
      <c r="D201" t="s">
        <v>74</v>
      </c>
      <c r="E201" t="s">
        <v>100</v>
      </c>
      <c r="F201" t="s">
        <v>76</v>
      </c>
      <c r="G201">
        <v>15.621224446412</v>
      </c>
      <c r="H201">
        <v>1.31995158838993</v>
      </c>
      <c r="I201">
        <v>1</v>
      </c>
      <c r="J201">
        <v>38</v>
      </c>
      <c r="K201">
        <v>14</v>
      </c>
      <c r="L201">
        <v>0</v>
      </c>
      <c r="M201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01" cm="1">
        <f t="array" ref="N201">MAX(IF((ProjectInfoTable[ProjectName]=ContinuousStatsTable[[#This Row],[ProjectName]]),(ProjectInfoTable[ProjectName]=ContinuousStatsTable[[#This Row],[ProjectName]])*ProjectInfoTable[NumberOfReplications]))</f>
        <v>30</v>
      </c>
      <c r="O201" cm="1">
        <f t="array" ref="O201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201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201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201" cm="1">
        <f t="array" ref="S201">MIN(IF((ContinuousStatsTable[GroupByKey]=ContinuousStatsTable[[#This Row],[GroupByKey]]),(ContinuousStatsTable[GroupByKey]=ContinuousStatsTable[[#This Row],[GroupByKey]])*ContinuousStatsTable[Average]))</f>
        <v>14.4112589759764</v>
      </c>
      <c r="T201" cm="1">
        <f t="array" ref="T201">MAX(IF((ContinuousStatsTable[GroupByKey]=ContinuousStatsTable[[#This Row],[GroupByKey]]),(ContinuousStatsTable[GroupByKey]=ContinuousStatsTable[[#This Row],[GroupByKey]])*ContinuousStatsTable[Average]))</f>
        <v>16.972707717517899</v>
      </c>
      <c r="U201">
        <f>IF((ContinuousStatsTable[[#This Row],[RepsRequested]]&gt;1),ContinuousStatsTable[[#This Row],[HalfWidth]],ContinuousStatsTable[[#This Row],[BatchMeansHalfWidth]])</f>
        <v>0.25870181881670146</v>
      </c>
    </row>
    <row r="202" spans="1:21" x14ac:dyDescent="0.2">
      <c r="A202" t="s">
        <v>67</v>
      </c>
      <c r="B202" t="s">
        <v>70</v>
      </c>
      <c r="C202">
        <v>9</v>
      </c>
      <c r="D202" t="s">
        <v>82</v>
      </c>
      <c r="E202" t="s">
        <v>98</v>
      </c>
      <c r="F202" t="s">
        <v>73</v>
      </c>
      <c r="G202">
        <v>0.160721074241782</v>
      </c>
      <c r="H202">
        <v>2E+20</v>
      </c>
      <c r="I202">
        <v>0</v>
      </c>
      <c r="J202">
        <v>4</v>
      </c>
      <c r="K202">
        <v>0</v>
      </c>
      <c r="L202">
        <v>0</v>
      </c>
      <c r="M202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202" cm="1">
        <f t="array" ref="N202">MAX(IF((ProjectInfoTable[ProjectName]=ContinuousStatsTable[[#This Row],[ProjectName]]),(ProjectInfoTable[ProjectName]=ContinuousStatsTable[[#This Row],[ProjectName]])*ProjectInfoTable[NumberOfReplications]))</f>
        <v>30</v>
      </c>
      <c r="O202" cm="1">
        <f t="array" ref="O202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202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202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202" cm="1">
        <f t="array" ref="S202">MIN(IF((ContinuousStatsTable[GroupByKey]=ContinuousStatsTable[[#This Row],[GroupByKey]]),(ContinuousStatsTable[GroupByKey]=ContinuousStatsTable[[#This Row],[GroupByKey]])*ContinuousStatsTable[Average]))</f>
        <v>7.4406608295854798E-2</v>
      </c>
      <c r="T202" cm="1">
        <f t="array" ref="T202">MAX(IF((ContinuousStatsTable[GroupByKey]=ContinuousStatsTable[[#This Row],[GroupByKey]]),(ContinuousStatsTable[GroupByKey]=ContinuousStatsTable[[#This Row],[GroupByKey]])*ContinuousStatsTable[Average]))</f>
        <v>0.29874320707386398</v>
      </c>
      <c r="U202">
        <f>IF((ContinuousStatsTable[[#This Row],[RepsRequested]]&gt;1),ContinuousStatsTable[[#This Row],[HalfWidth]],ContinuousStatsTable[[#This Row],[BatchMeansHalfWidth]])</f>
        <v>2.0058204231149332E-2</v>
      </c>
    </row>
    <row r="203" spans="1:21" x14ac:dyDescent="0.2">
      <c r="A203" t="s">
        <v>67</v>
      </c>
      <c r="B203" t="s">
        <v>70</v>
      </c>
      <c r="C203">
        <v>9</v>
      </c>
      <c r="D203" t="s">
        <v>101</v>
      </c>
      <c r="E203" t="s">
        <v>94</v>
      </c>
      <c r="F203" t="s">
        <v>95</v>
      </c>
      <c r="G203">
        <v>1.8749999999999999E-3</v>
      </c>
      <c r="H203">
        <v>2.42306331986152E-4</v>
      </c>
      <c r="I203">
        <v>0</v>
      </c>
      <c r="J203">
        <v>0.05</v>
      </c>
      <c r="K203">
        <v>0</v>
      </c>
      <c r="L203">
        <v>0</v>
      </c>
      <c r="M203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203" cm="1">
        <f t="array" ref="N203">MAX(IF((ProjectInfoTable[ProjectName]=ContinuousStatsTable[[#This Row],[ProjectName]]),(ProjectInfoTable[ProjectName]=ContinuousStatsTable[[#This Row],[ProjectName]])*ProjectInfoTable[NumberOfReplications]))</f>
        <v>30</v>
      </c>
      <c r="O203" cm="1">
        <f t="array" ref="O203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203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203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203" cm="1">
        <f t="array" ref="S203">MIN(IF((ContinuousStatsTable[GroupByKey]=ContinuousStatsTable[[#This Row],[GroupByKey]]),(ContinuousStatsTable[GroupByKey]=ContinuousStatsTable[[#This Row],[GroupByKey]])*ContinuousStatsTable[Average]))</f>
        <v>1.70504385964912E-3</v>
      </c>
      <c r="T203" cm="1">
        <f t="array" ref="T203">MAX(IF((ContinuousStatsTable[GroupByKey]=ContinuousStatsTable[[#This Row],[GroupByKey]]),(ContinuousStatsTable[GroupByKey]=ContinuousStatsTable[[#This Row],[GroupByKey]])*ContinuousStatsTable[Average]))</f>
        <v>2.17031677925951E-3</v>
      </c>
      <c r="U203">
        <f>IF((ContinuousStatsTable[[#This Row],[RepsRequested]]&gt;1),ContinuousStatsTable[[#This Row],[HalfWidth]],ContinuousStatsTable[[#This Row],[BatchMeansHalfWidth]])</f>
        <v>4.4865881583116605E-5</v>
      </c>
    </row>
    <row r="204" spans="1:21" x14ac:dyDescent="0.2">
      <c r="A204" t="s">
        <v>67</v>
      </c>
      <c r="B204" t="s">
        <v>70</v>
      </c>
      <c r="C204">
        <v>9</v>
      </c>
      <c r="D204" t="s">
        <v>101</v>
      </c>
      <c r="E204" t="s">
        <v>96</v>
      </c>
      <c r="F204" t="s">
        <v>95</v>
      </c>
      <c r="G204">
        <v>0.15</v>
      </c>
      <c r="H204">
        <v>1.9384506558892199E-2</v>
      </c>
      <c r="I204">
        <v>0</v>
      </c>
      <c r="J204">
        <v>4</v>
      </c>
      <c r="K204">
        <v>0</v>
      </c>
      <c r="L204">
        <v>0</v>
      </c>
      <c r="M204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204" cm="1">
        <f t="array" ref="N204">MAX(IF((ProjectInfoTable[ProjectName]=ContinuousStatsTable[[#This Row],[ProjectName]]),(ProjectInfoTable[ProjectName]=ContinuousStatsTable[[#This Row],[ProjectName]])*ProjectInfoTable[NumberOfReplications]))</f>
        <v>30</v>
      </c>
      <c r="O204" cm="1">
        <f t="array" ref="O204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204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204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204" cm="1">
        <f t="array" ref="S204">MIN(IF((ContinuousStatsTable[GroupByKey]=ContinuousStatsTable[[#This Row],[GroupByKey]]),(ContinuousStatsTable[GroupByKey]=ContinuousStatsTable[[#This Row],[GroupByKey]])*ContinuousStatsTable[Average]))</f>
        <v>0.13640350877193</v>
      </c>
      <c r="T204" cm="1">
        <f t="array" ref="T204">MAX(IF((ContinuousStatsTable[GroupByKey]=ContinuousStatsTable[[#This Row],[GroupByKey]]),(ContinuousStatsTable[GroupByKey]=ContinuousStatsTable[[#This Row],[GroupByKey]])*ContinuousStatsTable[Average]))</f>
        <v>0.17362534234076099</v>
      </c>
      <c r="U204">
        <f>IF((ContinuousStatsTable[[#This Row],[RepsRequested]]&gt;1),ContinuousStatsTable[[#This Row],[HalfWidth]],ContinuousStatsTable[[#This Row],[BatchMeansHalfWidth]])</f>
        <v>3.5892705266493139E-3</v>
      </c>
    </row>
    <row r="205" spans="1:21" x14ac:dyDescent="0.2">
      <c r="A205" t="s">
        <v>67</v>
      </c>
      <c r="B205" t="s">
        <v>70</v>
      </c>
      <c r="C205">
        <v>9</v>
      </c>
      <c r="D205" t="s">
        <v>101</v>
      </c>
      <c r="E205" t="s">
        <v>97</v>
      </c>
      <c r="F205" t="s">
        <v>95</v>
      </c>
      <c r="G205">
        <v>80</v>
      </c>
      <c r="H205">
        <v>2E+20</v>
      </c>
      <c r="I205">
        <v>80</v>
      </c>
      <c r="J205">
        <v>80</v>
      </c>
      <c r="K205">
        <v>80</v>
      </c>
      <c r="L205">
        <v>0</v>
      </c>
      <c r="M205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205" cm="1">
        <f t="array" ref="N205">MAX(IF((ProjectInfoTable[ProjectName]=ContinuousStatsTable[[#This Row],[ProjectName]]),(ProjectInfoTable[ProjectName]=ContinuousStatsTable[[#This Row],[ProjectName]])*ProjectInfoTable[NumberOfReplications]))</f>
        <v>30</v>
      </c>
      <c r="O205" cm="1">
        <f t="array" ref="O205">IFERROR(AVERAGE(IF((ContinuousStatsTable[GroupByKey]=ContinuousStatsTable[[#This Row],[GroupByKey]]),(ContinuousStatsTable[GroupByKey]=ContinuousStatsTable[[#This Row],[GroupByKey]])*ContinuousStatsTable[Average])),0)</f>
        <v>80</v>
      </c>
      <c r="P20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</v>
      </c>
      <c r="Q20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5" cm="1">
        <f t="array" ref="S205">MIN(IF((ContinuousStatsTable[GroupByKey]=ContinuousStatsTable[[#This Row],[GroupByKey]]),(ContinuousStatsTable[GroupByKey]=ContinuousStatsTable[[#This Row],[GroupByKey]])*ContinuousStatsTable[Average]))</f>
        <v>80</v>
      </c>
      <c r="T205" cm="1">
        <f t="array" ref="T205">MAX(IF((ContinuousStatsTable[GroupByKey]=ContinuousStatsTable[[#This Row],[GroupByKey]]),(ContinuousStatsTable[GroupByKey]=ContinuousStatsTable[[#This Row],[GroupByKey]])*ContinuousStatsTable[Average]))</f>
        <v>80</v>
      </c>
      <c r="U205">
        <f>IF((ContinuousStatsTable[[#This Row],[RepsRequested]]&gt;1),ContinuousStatsTable[[#This Row],[HalfWidth]],ContinuousStatsTable[[#This Row],[BatchMeansHalfWidth]])</f>
        <v>0</v>
      </c>
    </row>
    <row r="206" spans="1:21" x14ac:dyDescent="0.2">
      <c r="A206" t="s">
        <v>67</v>
      </c>
      <c r="B206" t="s">
        <v>70</v>
      </c>
      <c r="C206">
        <v>9</v>
      </c>
      <c r="D206" t="s">
        <v>86</v>
      </c>
      <c r="E206" t="s">
        <v>98</v>
      </c>
      <c r="F206" t="s">
        <v>73</v>
      </c>
      <c r="G206">
        <v>0</v>
      </c>
      <c r="H206">
        <v>2E+20</v>
      </c>
      <c r="I206">
        <v>0</v>
      </c>
      <c r="J206">
        <v>0</v>
      </c>
      <c r="K206">
        <v>0</v>
      </c>
      <c r="L206">
        <v>0</v>
      </c>
      <c r="M206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206" cm="1">
        <f t="array" ref="N206">MAX(IF((ProjectInfoTable[ProjectName]=ContinuousStatsTable[[#This Row],[ProjectName]]),(ProjectInfoTable[ProjectName]=ContinuousStatsTable[[#This Row],[ProjectName]])*ProjectInfoTable[NumberOfReplications]))</f>
        <v>30</v>
      </c>
      <c r="O206" cm="1">
        <f t="array" ref="O206">IFERROR(AVERAGE(IF((ContinuousStatsTable[GroupByKey]=ContinuousStatsTable[[#This Row],[GroupByKey]]),(ContinuousStatsTable[GroupByKey]=ContinuousStatsTable[[#This Row],[GroupByKey]])*ContinuousStatsTable[Average])),0)</f>
        <v>0</v>
      </c>
      <c r="P206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</v>
      </c>
      <c r="Q206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6" cm="1">
        <f t="array" ref="S206">MIN(IF((ContinuousStatsTable[GroupByKey]=ContinuousStatsTable[[#This Row],[GroupByKey]]),(ContinuousStatsTable[GroupByKey]=ContinuousStatsTable[[#This Row],[GroupByKey]])*ContinuousStatsTable[Average]))</f>
        <v>0</v>
      </c>
      <c r="T206" cm="1">
        <f t="array" ref="T206">MAX(IF((ContinuousStatsTable[GroupByKey]=ContinuousStatsTable[[#This Row],[GroupByKey]]),(ContinuousStatsTable[GroupByKey]=ContinuousStatsTable[[#This Row],[GroupByKey]])*ContinuousStatsTable[Average]))</f>
        <v>0</v>
      </c>
      <c r="U206">
        <f>IF((ContinuousStatsTable[[#This Row],[RepsRequested]]&gt;1),ContinuousStatsTable[[#This Row],[HalfWidth]],ContinuousStatsTable[[#This Row],[BatchMeansHalfWidth]])</f>
        <v>0</v>
      </c>
    </row>
    <row r="207" spans="1:21" x14ac:dyDescent="0.2">
      <c r="A207" t="s">
        <v>67</v>
      </c>
      <c r="B207" t="s">
        <v>70</v>
      </c>
      <c r="C207">
        <v>9</v>
      </c>
      <c r="D207" t="s">
        <v>87</v>
      </c>
      <c r="E207" t="s">
        <v>98</v>
      </c>
      <c r="F207" t="s">
        <v>73</v>
      </c>
      <c r="G207">
        <v>0</v>
      </c>
      <c r="H207">
        <v>2E+20</v>
      </c>
      <c r="I207">
        <v>0</v>
      </c>
      <c r="J207">
        <v>0</v>
      </c>
      <c r="K207">
        <v>0</v>
      </c>
      <c r="L207">
        <v>0</v>
      </c>
      <c r="M207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207" cm="1">
        <f t="array" ref="N207">MAX(IF((ProjectInfoTable[ProjectName]=ContinuousStatsTable[[#This Row],[ProjectName]]),(ProjectInfoTable[ProjectName]=ContinuousStatsTable[[#This Row],[ProjectName]])*ProjectInfoTable[NumberOfReplications]))</f>
        <v>30</v>
      </c>
      <c r="O207" cm="1">
        <f t="array" ref="O207">IFERROR(AVERAGE(IF((ContinuousStatsTable[GroupByKey]=ContinuousStatsTable[[#This Row],[GroupByKey]]),(ContinuousStatsTable[GroupByKey]=ContinuousStatsTable[[#This Row],[GroupByKey]])*ContinuousStatsTable[Average])),0)</f>
        <v>0</v>
      </c>
      <c r="P207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0</v>
      </c>
      <c r="Q207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7" cm="1">
        <f t="array" ref="S207">MIN(IF((ContinuousStatsTable[GroupByKey]=ContinuousStatsTable[[#This Row],[GroupByKey]]),(ContinuousStatsTable[GroupByKey]=ContinuousStatsTable[[#This Row],[GroupByKey]])*ContinuousStatsTable[Average]))</f>
        <v>0</v>
      </c>
      <c r="T207" cm="1">
        <f t="array" ref="T207">MAX(IF((ContinuousStatsTable[GroupByKey]=ContinuousStatsTable[[#This Row],[GroupByKey]]),(ContinuousStatsTable[GroupByKey]=ContinuousStatsTable[[#This Row],[GroupByKey]])*ContinuousStatsTable[Average]))</f>
        <v>0</v>
      </c>
      <c r="U207">
        <f>IF((ContinuousStatsTable[[#This Row],[RepsRequested]]&gt;1),ContinuousStatsTable[[#This Row],[HalfWidth]],ContinuousStatsTable[[#This Row],[BatchMeansHalfWidth]])</f>
        <v>0</v>
      </c>
    </row>
    <row r="208" spans="1:21" x14ac:dyDescent="0.2">
      <c r="A208" t="s">
        <v>67</v>
      </c>
      <c r="B208" t="s">
        <v>70</v>
      </c>
      <c r="C208">
        <v>9</v>
      </c>
      <c r="D208" t="s">
        <v>88</v>
      </c>
      <c r="E208" t="s">
        <v>98</v>
      </c>
      <c r="F208" t="s">
        <v>73</v>
      </c>
      <c r="G208">
        <v>1.54079131376195</v>
      </c>
      <c r="H208">
        <v>3E+20</v>
      </c>
      <c r="I208">
        <v>0</v>
      </c>
      <c r="J208">
        <v>4</v>
      </c>
      <c r="K208">
        <v>2</v>
      </c>
      <c r="L208">
        <v>0</v>
      </c>
      <c r="M208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208" cm="1">
        <f t="array" ref="N208">MAX(IF((ProjectInfoTable[ProjectName]=ContinuousStatsTable[[#This Row],[ProjectName]]),(ProjectInfoTable[ProjectName]=ContinuousStatsTable[[#This Row],[ProjectName]])*ProjectInfoTable[NumberOfReplications]))</f>
        <v>30</v>
      </c>
      <c r="O208" cm="1">
        <f t="array" ref="O208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208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208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208" cm="1">
        <f t="array" ref="S208">MIN(IF((ContinuousStatsTable[GroupByKey]=ContinuousStatsTable[[#This Row],[GroupByKey]]),(ContinuousStatsTable[GroupByKey]=ContinuousStatsTable[[#This Row],[GroupByKey]])*ContinuousStatsTable[Average]))</f>
        <v>1.4062336911317099</v>
      </c>
      <c r="T208" cm="1">
        <f t="array" ref="T208">MAX(IF((ContinuousStatsTable[GroupByKey]=ContinuousStatsTable[[#This Row],[GroupByKey]]),(ContinuousStatsTable[GroupByKey]=ContinuousStatsTable[[#This Row],[GroupByKey]])*ContinuousStatsTable[Average]))</f>
        <v>1.5889769030929</v>
      </c>
      <c r="U208">
        <f>IF((ContinuousStatsTable[[#This Row],[RepsRequested]]&gt;1),ContinuousStatsTable[[#This Row],[HalfWidth]],ContinuousStatsTable[[#This Row],[BatchMeansHalfWidth]])</f>
        <v>1.602866983772662E-2</v>
      </c>
    </row>
    <row r="209" spans="1:21" x14ac:dyDescent="0.2">
      <c r="A209" t="s">
        <v>67</v>
      </c>
      <c r="B209" t="s">
        <v>70</v>
      </c>
      <c r="C209">
        <v>9</v>
      </c>
      <c r="D209" t="s">
        <v>102</v>
      </c>
      <c r="E209" t="s">
        <v>94</v>
      </c>
      <c r="F209" t="s">
        <v>95</v>
      </c>
      <c r="G209">
        <v>5.1323542008876403E-3</v>
      </c>
      <c r="H209">
        <v>6.5876649111171897E-4</v>
      </c>
      <c r="I209">
        <v>0</v>
      </c>
      <c r="J209">
        <v>0.1</v>
      </c>
      <c r="K209">
        <v>0</v>
      </c>
      <c r="L209">
        <v>0</v>
      </c>
      <c r="M209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209" cm="1">
        <f t="array" ref="N209">MAX(IF((ProjectInfoTable[ProjectName]=ContinuousStatsTable[[#This Row],[ProjectName]]),(ProjectInfoTable[ProjectName]=ContinuousStatsTable[[#This Row],[ProjectName]])*ProjectInfoTable[NumberOfReplications]))</f>
        <v>30</v>
      </c>
      <c r="O209" cm="1">
        <f t="array" ref="O209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209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209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209" cm="1">
        <f t="array" ref="S209">MIN(IF((ContinuousStatsTable[GroupByKey]=ContinuousStatsTable[[#This Row],[GroupByKey]]),(ContinuousStatsTable[GroupByKey]=ContinuousStatsTable[[#This Row],[GroupByKey]])*ContinuousStatsTable[Average]))</f>
        <v>4.4956140350877203E-3</v>
      </c>
      <c r="T209" cm="1">
        <f t="array" ref="T209">MAX(IF((ContinuousStatsTable[GroupByKey]=ContinuousStatsTable[[#This Row],[GroupByKey]]),(ContinuousStatsTable[GroupByKey]=ContinuousStatsTable[[#This Row],[GroupByKey]])*ContinuousStatsTable[Average]))</f>
        <v>5.5482456140350904E-3</v>
      </c>
      <c r="U209">
        <f>IF((ContinuousStatsTable[[#This Row],[RepsRequested]]&gt;1),ContinuousStatsTable[[#This Row],[HalfWidth]],ContinuousStatsTable[[#This Row],[BatchMeansHalfWidth]])</f>
        <v>1.0144486472958472E-4</v>
      </c>
    </row>
    <row r="210" spans="1:21" x14ac:dyDescent="0.2">
      <c r="A210" t="s">
        <v>67</v>
      </c>
      <c r="B210" t="s">
        <v>70</v>
      </c>
      <c r="C210">
        <v>9</v>
      </c>
      <c r="D210" t="s">
        <v>102</v>
      </c>
      <c r="E210" t="s">
        <v>96</v>
      </c>
      <c r="F210" t="s">
        <v>95</v>
      </c>
      <c r="G210">
        <v>0.10264708401775299</v>
      </c>
      <c r="H210">
        <v>1.31753298222344E-2</v>
      </c>
      <c r="I210">
        <v>0</v>
      </c>
      <c r="J210">
        <v>2</v>
      </c>
      <c r="K210">
        <v>0</v>
      </c>
      <c r="L210">
        <v>0</v>
      </c>
      <c r="M210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210" cm="1">
        <f t="array" ref="N210">MAX(IF((ProjectInfoTable[ProjectName]=ContinuousStatsTable[[#This Row],[ProjectName]]),(ProjectInfoTable[ProjectName]=ContinuousStatsTable[[#This Row],[ProjectName]])*ProjectInfoTable[NumberOfReplications]))</f>
        <v>30</v>
      </c>
      <c r="O210" cm="1">
        <f t="array" ref="O210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210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210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210" cm="1">
        <f t="array" ref="S210">MIN(IF((ContinuousStatsTable[GroupByKey]=ContinuousStatsTable[[#This Row],[GroupByKey]]),(ContinuousStatsTable[GroupByKey]=ContinuousStatsTable[[#This Row],[GroupByKey]])*ContinuousStatsTable[Average]))</f>
        <v>8.9912280701754305E-2</v>
      </c>
      <c r="T210" cm="1">
        <f t="array" ref="T210">MAX(IF((ContinuousStatsTable[GroupByKey]=ContinuousStatsTable[[#This Row],[GroupByKey]]),(ContinuousStatsTable[GroupByKey]=ContinuousStatsTable[[#This Row],[GroupByKey]])*ContinuousStatsTable[Average]))</f>
        <v>0.110964912280702</v>
      </c>
      <c r="U210">
        <f>IF((ContinuousStatsTable[[#This Row],[RepsRequested]]&gt;1),ContinuousStatsTable[[#This Row],[HalfWidth]],ContinuousStatsTable[[#This Row],[BatchMeansHalfWidth]])</f>
        <v>2.0288972945916956E-3</v>
      </c>
    </row>
    <row r="211" spans="1:21" x14ac:dyDescent="0.2">
      <c r="A211" t="s">
        <v>67</v>
      </c>
      <c r="B211" t="s">
        <v>70</v>
      </c>
      <c r="C211">
        <v>9</v>
      </c>
      <c r="D211" t="s">
        <v>102</v>
      </c>
      <c r="E211" t="s">
        <v>97</v>
      </c>
      <c r="F211" t="s">
        <v>95</v>
      </c>
      <c r="G211">
        <v>20</v>
      </c>
      <c r="H211">
        <v>2E+20</v>
      </c>
      <c r="I211">
        <v>20</v>
      </c>
      <c r="J211">
        <v>20</v>
      </c>
      <c r="K211">
        <v>20</v>
      </c>
      <c r="L211">
        <v>0</v>
      </c>
      <c r="M211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211" cm="1">
        <f t="array" ref="N211">MAX(IF((ProjectInfoTable[ProjectName]=ContinuousStatsTable[[#This Row],[ProjectName]]),(ProjectInfoTable[ProjectName]=ContinuousStatsTable[[#This Row],[ProjectName]])*ProjectInfoTable[NumberOfReplications]))</f>
        <v>30</v>
      </c>
      <c r="O211" cm="1">
        <f t="array" ref="O211">IFERROR(AVERAGE(IF((ContinuousStatsTable[GroupByKey]=ContinuousStatsTable[[#This Row],[GroupByKey]]),(ContinuousStatsTable[GroupByKey]=ContinuousStatsTable[[#This Row],[GroupByKey]])*ContinuousStatsTable[Average])),0)</f>
        <v>20</v>
      </c>
      <c r="P211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cm="1">
        <f t="array" ref="S211">MIN(IF((ContinuousStatsTable[GroupByKey]=ContinuousStatsTable[[#This Row],[GroupByKey]]),(ContinuousStatsTable[GroupByKey]=ContinuousStatsTable[[#This Row],[GroupByKey]])*ContinuousStatsTable[Average]))</f>
        <v>20</v>
      </c>
      <c r="T211" cm="1">
        <f t="array" ref="T211">MAX(IF((ContinuousStatsTable[GroupByKey]=ContinuousStatsTable[[#This Row],[GroupByKey]]),(ContinuousStatsTable[GroupByKey]=ContinuousStatsTable[[#This Row],[GroupByKey]])*ContinuousStatsTable[Average]))</f>
        <v>20</v>
      </c>
      <c r="U211">
        <f>IF((ContinuousStatsTable[[#This Row],[RepsRequested]]&gt;1),ContinuousStatsTable[[#This Row],[HalfWidth]],ContinuousStatsTable[[#This Row],[BatchMeansHalfWidth]])</f>
        <v>0</v>
      </c>
    </row>
    <row r="212" spans="1:21" x14ac:dyDescent="0.2">
      <c r="A212" t="s">
        <v>67</v>
      </c>
      <c r="B212" t="s">
        <v>70</v>
      </c>
      <c r="C212">
        <v>9</v>
      </c>
      <c r="D212" t="s">
        <v>90</v>
      </c>
      <c r="E212" t="s">
        <v>98</v>
      </c>
      <c r="F212" t="s">
        <v>73</v>
      </c>
      <c r="G212">
        <v>0</v>
      </c>
      <c r="H212">
        <v>2E+20</v>
      </c>
      <c r="I212">
        <v>0</v>
      </c>
      <c r="J212">
        <v>0</v>
      </c>
      <c r="K212">
        <v>0</v>
      </c>
      <c r="L212">
        <v>0</v>
      </c>
      <c r="M212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212" cm="1">
        <f t="array" ref="N212">MAX(IF((ProjectInfoTable[ProjectName]=ContinuousStatsTable[[#This Row],[ProjectName]]),(ProjectInfoTable[ProjectName]=ContinuousStatsTable[[#This Row],[ProjectName]])*ProjectInfoTable[NumberOfReplications]))</f>
        <v>30</v>
      </c>
      <c r="O212" cm="1">
        <f t="array" ref="O212">IFERROR(AVERAGE(IF((ContinuousStatsTable[GroupByKey]=ContinuousStatsTable[[#This Row],[GroupByKey]]),(ContinuousStatsTable[GroupByKey]=ContinuousStatsTable[[#This Row],[GroupByKey]])*ContinuousStatsTable[Average])),0)</f>
        <v>0</v>
      </c>
      <c r="P212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0</v>
      </c>
      <c r="Q212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2" cm="1">
        <f t="array" ref="S212">MIN(IF((ContinuousStatsTable[GroupByKey]=ContinuousStatsTable[[#This Row],[GroupByKey]]),(ContinuousStatsTable[GroupByKey]=ContinuousStatsTable[[#This Row],[GroupByKey]])*ContinuousStatsTable[Average]))</f>
        <v>0</v>
      </c>
      <c r="T212" cm="1">
        <f t="array" ref="T212">MAX(IF((ContinuousStatsTable[GroupByKey]=ContinuousStatsTable[[#This Row],[GroupByKey]]),(ContinuousStatsTable[GroupByKey]=ContinuousStatsTable[[#This Row],[GroupByKey]])*ContinuousStatsTable[Average]))</f>
        <v>0</v>
      </c>
      <c r="U212">
        <f>IF((ContinuousStatsTable[[#This Row],[RepsRequested]]&gt;1),ContinuousStatsTable[[#This Row],[HalfWidth]],ContinuousStatsTable[[#This Row],[BatchMeansHalfWidth]])</f>
        <v>0</v>
      </c>
    </row>
    <row r="213" spans="1:21" x14ac:dyDescent="0.2">
      <c r="A213" t="s">
        <v>67</v>
      </c>
      <c r="B213" t="s">
        <v>70</v>
      </c>
      <c r="C213">
        <v>9</v>
      </c>
      <c r="D213" t="s">
        <v>91</v>
      </c>
      <c r="E213" t="s">
        <v>98</v>
      </c>
      <c r="F213" t="s">
        <v>73</v>
      </c>
      <c r="G213">
        <v>0</v>
      </c>
      <c r="H213">
        <v>2E+20</v>
      </c>
      <c r="I213">
        <v>0</v>
      </c>
      <c r="J213">
        <v>0</v>
      </c>
      <c r="K213">
        <v>0</v>
      </c>
      <c r="L213">
        <v>0</v>
      </c>
      <c r="M213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213" cm="1">
        <f t="array" ref="N213">MAX(IF((ProjectInfoTable[ProjectName]=ContinuousStatsTable[[#This Row],[ProjectName]]),(ProjectInfoTable[ProjectName]=ContinuousStatsTable[[#This Row],[ProjectName]])*ProjectInfoTable[NumberOfReplications]))</f>
        <v>30</v>
      </c>
      <c r="O213" cm="1">
        <f t="array" ref="O213">IFERROR(AVERAGE(IF((ContinuousStatsTable[GroupByKey]=ContinuousStatsTable[[#This Row],[GroupByKey]]),(ContinuousStatsTable[GroupByKey]=ContinuousStatsTable[[#This Row],[GroupByKey]])*ContinuousStatsTable[Average])),0)</f>
        <v>0</v>
      </c>
      <c r="P213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0</v>
      </c>
      <c r="Q213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3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cm="1">
        <f t="array" ref="T213">MAX(IF((ContinuousStatsTable[GroupByKey]=ContinuousStatsTable[[#This Row],[GroupByKey]]),(ContinuousStatsTable[GroupByKey]=ContinuousStatsTable[[#This Row],[GroupByKey]])*ContinuousStatsTable[Average]))</f>
        <v>0</v>
      </c>
      <c r="U213">
        <f>IF((ContinuousStatsTable[[#This Row],[RepsRequested]]&gt;1),ContinuousStatsTable[[#This Row],[HalfWidth]],ContinuousStatsTable[[#This Row],[BatchMeansHalfWidth]])</f>
        <v>0</v>
      </c>
    </row>
    <row r="214" spans="1:21" x14ac:dyDescent="0.2">
      <c r="A214" t="s">
        <v>67</v>
      </c>
      <c r="B214" t="s">
        <v>70</v>
      </c>
      <c r="C214">
        <v>9</v>
      </c>
      <c r="D214" t="s">
        <v>92</v>
      </c>
      <c r="E214" t="s">
        <v>98</v>
      </c>
      <c r="F214" t="s">
        <v>73</v>
      </c>
      <c r="G214">
        <v>0</v>
      </c>
      <c r="H214">
        <v>2E+20</v>
      </c>
      <c r="I214">
        <v>0</v>
      </c>
      <c r="J214">
        <v>0</v>
      </c>
      <c r="K214">
        <v>0</v>
      </c>
      <c r="L214">
        <v>0</v>
      </c>
      <c r="M214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214" cm="1">
        <f t="array" ref="N214">MAX(IF((ProjectInfoTable[ProjectName]=ContinuousStatsTable[[#This Row],[ProjectName]]),(ProjectInfoTable[ProjectName]=ContinuousStatsTable[[#This Row],[ProjectName]])*ProjectInfoTable[NumberOfReplications]))</f>
        <v>30</v>
      </c>
      <c r="O214" cm="1">
        <f t="array" ref="O214">IFERROR(AVERAGE(IF((ContinuousStatsTable[GroupByKey]=ContinuousStatsTable[[#This Row],[GroupByKey]]),(ContinuousStatsTable[GroupByKey]=ContinuousStatsTable[[#This Row],[GroupByKey]])*ContinuousStatsTable[Average])),0)</f>
        <v>0</v>
      </c>
      <c r="P214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</v>
      </c>
      <c r="Q214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4" cm="1">
        <f t="array" ref="S214">MIN(IF((ContinuousStatsTable[GroupByKey]=ContinuousStatsTable[[#This Row],[GroupByKey]]),(ContinuousStatsTable[GroupByKey]=ContinuousStatsTable[[#This Row],[GroupByKey]])*ContinuousStatsTable[Average]))</f>
        <v>0</v>
      </c>
      <c r="T214" cm="1">
        <f t="array" ref="T214">MAX(IF((ContinuousStatsTable[GroupByKey]=ContinuousStatsTable[[#This Row],[GroupByKey]]),(ContinuousStatsTable[GroupByKey]=ContinuousStatsTable[[#This Row],[GroupByKey]])*ContinuousStatsTable[Average]))</f>
        <v>0</v>
      </c>
      <c r="U214">
        <f>IF((ContinuousStatsTable[[#This Row],[RepsRequested]]&gt;1),ContinuousStatsTable[[#This Row],[HalfWidth]],ContinuousStatsTable[[#This Row],[BatchMeansHalfWidth]])</f>
        <v>0</v>
      </c>
    </row>
    <row r="215" spans="1:21" x14ac:dyDescent="0.2">
      <c r="A215" t="s">
        <v>67</v>
      </c>
      <c r="B215" t="s">
        <v>70</v>
      </c>
      <c r="C215">
        <v>9</v>
      </c>
      <c r="D215" t="s">
        <v>103</v>
      </c>
      <c r="E215" t="s">
        <v>94</v>
      </c>
      <c r="F215" t="s">
        <v>95</v>
      </c>
      <c r="G215">
        <v>8.3764622734738101E-2</v>
      </c>
      <c r="H215">
        <v>2E+20</v>
      </c>
      <c r="I215">
        <v>0</v>
      </c>
      <c r="J215">
        <v>0.66666666666666696</v>
      </c>
      <c r="K215">
        <v>0</v>
      </c>
      <c r="L215">
        <v>0</v>
      </c>
      <c r="M215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215" cm="1">
        <f t="array" ref="N215">MAX(IF((ProjectInfoTable[ProjectName]=ContinuousStatsTable[[#This Row],[ProjectName]]),(ProjectInfoTable[ProjectName]=ContinuousStatsTable[[#This Row],[ProjectName]])*ProjectInfoTable[NumberOfReplications]))</f>
        <v>30</v>
      </c>
      <c r="O215" cm="1">
        <f t="array" ref="O215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21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21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215" cm="1">
        <f t="array" ref="S215">MIN(IF((ContinuousStatsTable[GroupByKey]=ContinuousStatsTable[[#This Row],[GroupByKey]]),(ContinuousStatsTable[GroupByKey]=ContinuousStatsTable[[#This Row],[GroupByKey]])*ContinuousStatsTable[Average]))</f>
        <v>7.7176470357846902E-2</v>
      </c>
      <c r="T215" cm="1">
        <f t="array" ref="T215">MAX(IF((ContinuousStatsTable[GroupByKey]=ContinuousStatsTable[[#This Row],[GroupByKey]]),(ContinuousStatsTable[GroupByKey]=ContinuousStatsTable[[#This Row],[GroupByKey]])*ContinuousStatsTable[Average]))</f>
        <v>9.2534326714405896E-2</v>
      </c>
      <c r="U215">
        <f>IF((ContinuousStatsTable[[#This Row],[RepsRequested]]&gt;1),ContinuousStatsTable[[#This Row],[HalfWidth]],ContinuousStatsTable[[#This Row],[BatchMeansHalfWidth]])</f>
        <v>1.3238327186697659E-3</v>
      </c>
    </row>
    <row r="216" spans="1:21" x14ac:dyDescent="0.2">
      <c r="A216" t="s">
        <v>67</v>
      </c>
      <c r="B216" t="s">
        <v>70</v>
      </c>
      <c r="C216">
        <v>9</v>
      </c>
      <c r="D216" t="s">
        <v>103</v>
      </c>
      <c r="E216" t="s">
        <v>96</v>
      </c>
      <c r="F216" t="s">
        <v>95</v>
      </c>
      <c r="G216">
        <v>0.25129386820421401</v>
      </c>
      <c r="H216">
        <v>2E+20</v>
      </c>
      <c r="I216">
        <v>0</v>
      </c>
      <c r="J216">
        <v>2</v>
      </c>
      <c r="K216">
        <v>0</v>
      </c>
      <c r="L216">
        <v>0</v>
      </c>
      <c r="M216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216" cm="1">
        <f t="array" ref="N216">MAX(IF((ProjectInfoTable[ProjectName]=ContinuousStatsTable[[#This Row],[ProjectName]]),(ProjectInfoTable[ProjectName]=ContinuousStatsTable[[#This Row],[ProjectName]])*ProjectInfoTable[NumberOfReplications]))</f>
        <v>30</v>
      </c>
      <c r="O216" cm="1">
        <f t="array" ref="O216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216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216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216" cm="1">
        <f t="array" ref="S216">MIN(IF((ContinuousStatsTable[GroupByKey]=ContinuousStatsTable[[#This Row],[GroupByKey]]),(ContinuousStatsTable[GroupByKey]=ContinuousStatsTable[[#This Row],[GroupByKey]])*ContinuousStatsTable[Average]))</f>
        <v>0.231529411073541</v>
      </c>
      <c r="T216" cm="1">
        <f t="array" ref="T216">MAX(IF((ContinuousStatsTable[GroupByKey]=ContinuousStatsTable[[#This Row],[GroupByKey]]),(ContinuousStatsTable[GroupByKey]=ContinuousStatsTable[[#This Row],[GroupByKey]])*ContinuousStatsTable[Average]))</f>
        <v>0.27760298014321699</v>
      </c>
      <c r="U216">
        <f>IF((ContinuousStatsTable[[#This Row],[RepsRequested]]&gt;1),ContinuousStatsTable[[#This Row],[HalfWidth]],ContinuousStatsTable[[#This Row],[BatchMeansHalfWidth]])</f>
        <v>3.9714981560092996E-3</v>
      </c>
    </row>
    <row r="217" spans="1:21" x14ac:dyDescent="0.2">
      <c r="A217" t="s">
        <v>67</v>
      </c>
      <c r="B217" t="s">
        <v>70</v>
      </c>
      <c r="C217">
        <v>9</v>
      </c>
      <c r="D217" t="s">
        <v>103</v>
      </c>
      <c r="E217" t="s">
        <v>97</v>
      </c>
      <c r="F217" t="s">
        <v>95</v>
      </c>
      <c r="G217">
        <v>3</v>
      </c>
      <c r="H217">
        <v>2E+20</v>
      </c>
      <c r="I217">
        <v>3</v>
      </c>
      <c r="J217">
        <v>3</v>
      </c>
      <c r="K217">
        <v>3</v>
      </c>
      <c r="L217">
        <v>0</v>
      </c>
      <c r="M217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217" cm="1">
        <f t="array" ref="N217">MAX(IF((ProjectInfoTable[ProjectName]=ContinuousStatsTable[[#This Row],[ProjectName]]),(ProjectInfoTable[ProjectName]=ContinuousStatsTable[[#This Row],[ProjectName]])*ProjectInfoTable[NumberOfReplications]))</f>
        <v>30</v>
      </c>
      <c r="O217" cm="1">
        <f t="array" ref="O217">IFERROR(AVERAGE(IF((ContinuousStatsTable[GroupByKey]=ContinuousStatsTable[[#This Row],[GroupByKey]]),(ContinuousStatsTable[GroupByKey]=ContinuousStatsTable[[#This Row],[GroupByKey]])*ContinuousStatsTable[Average])),0)</f>
        <v>3</v>
      </c>
      <c r="P217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0</v>
      </c>
      <c r="Q217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7" cm="1">
        <f t="array" ref="S217">MIN(IF((ContinuousStatsTable[GroupByKey]=ContinuousStatsTable[[#This Row],[GroupByKey]]),(ContinuousStatsTable[GroupByKey]=ContinuousStatsTable[[#This Row],[GroupByKey]])*ContinuousStatsTable[Average]))</f>
        <v>3</v>
      </c>
      <c r="T217" cm="1">
        <f t="array" ref="T217">MAX(IF((ContinuousStatsTable[GroupByKey]=ContinuousStatsTable[[#This Row],[GroupByKey]]),(ContinuousStatsTable[GroupByKey]=ContinuousStatsTable[[#This Row],[GroupByKey]])*ContinuousStatsTable[Average]))</f>
        <v>3</v>
      </c>
      <c r="U217">
        <f>IF((ContinuousStatsTable[[#This Row],[RepsRequested]]&gt;1),ContinuousStatsTable[[#This Row],[HalfWidth]],ContinuousStatsTable[[#This Row],[BatchMeansHalfWidth]])</f>
        <v>0</v>
      </c>
    </row>
    <row r="218" spans="1:21" x14ac:dyDescent="0.2">
      <c r="A218" t="s">
        <v>67</v>
      </c>
      <c r="B218" t="s">
        <v>70</v>
      </c>
      <c r="C218">
        <v>10</v>
      </c>
      <c r="D218" t="s">
        <v>93</v>
      </c>
      <c r="E218" t="s">
        <v>94</v>
      </c>
      <c r="F218" t="s">
        <v>95</v>
      </c>
      <c r="G218">
        <v>0.243859649122807</v>
      </c>
      <c r="H218">
        <v>2.13063643995972E-2</v>
      </c>
      <c r="I218">
        <v>0</v>
      </c>
      <c r="J218">
        <v>1</v>
      </c>
      <c r="K218">
        <v>0</v>
      </c>
      <c r="L218">
        <v>0</v>
      </c>
      <c r="M218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218" cm="1">
        <f t="array" ref="N218">MAX(IF((ProjectInfoTable[ProjectName]=ContinuousStatsTable[[#This Row],[ProjectName]]),(ProjectInfoTable[ProjectName]=ContinuousStatsTable[[#This Row],[ProjectName]])*ProjectInfoTable[NumberOfReplications]))</f>
        <v>30</v>
      </c>
      <c r="O218" cm="1">
        <f t="array" ref="O218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218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218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218" cm="1">
        <f t="array" ref="S218">MIN(IF((ContinuousStatsTable[GroupByKey]=ContinuousStatsTable[[#This Row],[GroupByKey]]),(ContinuousStatsTable[GroupByKey]=ContinuousStatsTable[[#This Row],[GroupByKey]])*ContinuousStatsTable[Average]))</f>
        <v>0.233333333333333</v>
      </c>
      <c r="T218" cm="1">
        <f t="array" ref="T218">MAX(IF((ContinuousStatsTable[GroupByKey]=ContinuousStatsTable[[#This Row],[GroupByKey]]),(ContinuousStatsTable[GroupByKey]=ContinuousStatsTable[[#This Row],[GroupByKey]])*ContinuousStatsTable[Average]))</f>
        <v>0.27905535859326402</v>
      </c>
      <c r="U218">
        <f>IF((ContinuousStatsTable[[#This Row],[RepsRequested]]&gt;1),ContinuousStatsTable[[#This Row],[HalfWidth]],ContinuousStatsTable[[#This Row],[BatchMeansHalfWidth]])</f>
        <v>4.2029769261323026E-3</v>
      </c>
    </row>
    <row r="219" spans="1:21" x14ac:dyDescent="0.2">
      <c r="A219" t="s">
        <v>67</v>
      </c>
      <c r="B219" t="s">
        <v>70</v>
      </c>
      <c r="C219">
        <v>10</v>
      </c>
      <c r="D219" t="s">
        <v>93</v>
      </c>
      <c r="E219" t="s">
        <v>96</v>
      </c>
      <c r="F219" t="s">
        <v>95</v>
      </c>
      <c r="G219">
        <v>0.243859649122807</v>
      </c>
      <c r="H219">
        <v>2.13063643995972E-2</v>
      </c>
      <c r="I219">
        <v>0</v>
      </c>
      <c r="J219">
        <v>1</v>
      </c>
      <c r="K219">
        <v>0</v>
      </c>
      <c r="L219">
        <v>0</v>
      </c>
      <c r="M219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219" cm="1">
        <f t="array" ref="N219">MAX(IF((ProjectInfoTable[ProjectName]=ContinuousStatsTable[[#This Row],[ProjectName]]),(ProjectInfoTable[ProjectName]=ContinuousStatsTable[[#This Row],[ProjectName]])*ProjectInfoTable[NumberOfReplications]))</f>
        <v>30</v>
      </c>
      <c r="O219" cm="1">
        <f t="array" ref="O219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219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219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219" cm="1">
        <f t="array" ref="S219">MIN(IF((ContinuousStatsTable[GroupByKey]=ContinuousStatsTable[[#This Row],[GroupByKey]]),(ContinuousStatsTable[GroupByKey]=ContinuousStatsTable[[#This Row],[GroupByKey]])*ContinuousStatsTable[Average]))</f>
        <v>0.233333333333333</v>
      </c>
      <c r="T219" cm="1">
        <f t="array" ref="T219">MAX(IF((ContinuousStatsTable[GroupByKey]=ContinuousStatsTable[[#This Row],[GroupByKey]]),(ContinuousStatsTable[GroupByKey]=ContinuousStatsTable[[#This Row],[GroupByKey]])*ContinuousStatsTable[Average]))</f>
        <v>0.27905535859326402</v>
      </c>
      <c r="U219">
        <f>IF((ContinuousStatsTable[[#This Row],[RepsRequested]]&gt;1),ContinuousStatsTable[[#This Row],[HalfWidth]],ContinuousStatsTable[[#This Row],[BatchMeansHalfWidth]])</f>
        <v>4.2029769261323026E-3</v>
      </c>
    </row>
    <row r="220" spans="1:21" x14ac:dyDescent="0.2">
      <c r="A220" t="s">
        <v>67</v>
      </c>
      <c r="B220" t="s">
        <v>70</v>
      </c>
      <c r="C220">
        <v>10</v>
      </c>
      <c r="D220" t="s">
        <v>93</v>
      </c>
      <c r="E220" t="s">
        <v>97</v>
      </c>
      <c r="F220" t="s">
        <v>95</v>
      </c>
      <c r="G220">
        <v>1</v>
      </c>
      <c r="H220">
        <v>2E+20</v>
      </c>
      <c r="I220">
        <v>1</v>
      </c>
      <c r="J220">
        <v>1</v>
      </c>
      <c r="K220">
        <v>1</v>
      </c>
      <c r="L220">
        <v>0</v>
      </c>
      <c r="M220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220" cm="1">
        <f t="array" ref="N220">MAX(IF((ProjectInfoTable[ProjectName]=ContinuousStatsTable[[#This Row],[ProjectName]]),(ProjectInfoTable[ProjectName]=ContinuousStatsTable[[#This Row],[ProjectName]])*ProjectInfoTable[NumberOfReplications]))</f>
        <v>30</v>
      </c>
      <c r="O220" cm="1">
        <f t="array" ref="O220">IFERROR(AVERAGE(IF((ContinuousStatsTable[GroupByKey]=ContinuousStatsTable[[#This Row],[GroupByKey]]),(ContinuousStatsTable[GroupByKey]=ContinuousStatsTable[[#This Row],[GroupByKey]])*ContinuousStatsTable[Average])),0)</f>
        <v>1</v>
      </c>
      <c r="P220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</v>
      </c>
      <c r="Q220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0" cm="1">
        <f t="array" ref="S220">MIN(IF((ContinuousStatsTable[GroupByKey]=ContinuousStatsTable[[#This Row],[GroupByKey]]),(ContinuousStatsTable[GroupByKey]=ContinuousStatsTable[[#This Row],[GroupByKey]])*ContinuousStatsTable[Average]))</f>
        <v>1</v>
      </c>
      <c r="T220" cm="1">
        <f t="array" ref="T220">MAX(IF((ContinuousStatsTable[GroupByKey]=ContinuousStatsTable[[#This Row],[GroupByKey]]),(ContinuousStatsTable[GroupByKey]=ContinuousStatsTable[[#This Row],[GroupByKey]])*ContinuousStatsTable[Average]))</f>
        <v>1</v>
      </c>
      <c r="U220">
        <f>IF((ContinuousStatsTable[[#This Row],[RepsRequested]]&gt;1),ContinuousStatsTable[[#This Row],[HalfWidth]],ContinuousStatsTable[[#This Row],[BatchMeansHalfWidth]])</f>
        <v>0</v>
      </c>
    </row>
    <row r="221" spans="1:21" x14ac:dyDescent="0.2">
      <c r="A221" t="s">
        <v>67</v>
      </c>
      <c r="B221" t="s">
        <v>70</v>
      </c>
      <c r="C221">
        <v>10</v>
      </c>
      <c r="D221" t="s">
        <v>71</v>
      </c>
      <c r="E221" t="s">
        <v>98</v>
      </c>
      <c r="F221" t="s">
        <v>73</v>
      </c>
      <c r="G221">
        <v>2.5893240930824301E-2</v>
      </c>
      <c r="H221">
        <v>2E+20</v>
      </c>
      <c r="I221">
        <v>0</v>
      </c>
      <c r="J221">
        <v>2</v>
      </c>
      <c r="K221">
        <v>0</v>
      </c>
      <c r="L221">
        <v>0</v>
      </c>
      <c r="M221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221" cm="1">
        <f t="array" ref="N221">MAX(IF((ProjectInfoTable[ProjectName]=ContinuousStatsTable[[#This Row],[ProjectName]]),(ProjectInfoTable[ProjectName]=ContinuousStatsTable[[#This Row],[ProjectName]])*ProjectInfoTable[NumberOfReplications]))</f>
        <v>30</v>
      </c>
      <c r="O221" cm="1">
        <f t="array" ref="O221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221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221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221" cm="1">
        <f t="array" ref="S221">MIN(IF((ContinuousStatsTable[GroupByKey]=ContinuousStatsTable[[#This Row],[GroupByKey]]),(ContinuousStatsTable[GroupByKey]=ContinuousStatsTable[[#This Row],[GroupByKey]])*ContinuousStatsTable[Average]))</f>
        <v>1.9664517785186901E-2</v>
      </c>
      <c r="T221" cm="1">
        <f t="array" ref="T221">MAX(IF((ContinuousStatsTable[GroupByKey]=ContinuousStatsTable[[#This Row],[GroupByKey]]),(ContinuousStatsTable[GroupByKey]=ContinuousStatsTable[[#This Row],[GroupByKey]])*ContinuousStatsTable[Average]))</f>
        <v>3.9738966906982302E-2</v>
      </c>
      <c r="U221">
        <f>IF((ContinuousStatsTable[[#This Row],[RepsRequested]]&gt;1),ContinuousStatsTable[[#This Row],[HalfWidth]],ContinuousStatsTable[[#This Row],[BatchMeansHalfWidth]])</f>
        <v>1.6627262085570247E-3</v>
      </c>
    </row>
    <row r="222" spans="1:21" x14ac:dyDescent="0.2">
      <c r="A222" t="s">
        <v>67</v>
      </c>
      <c r="B222" t="s">
        <v>70</v>
      </c>
      <c r="C222">
        <v>10</v>
      </c>
      <c r="D222" t="s">
        <v>99</v>
      </c>
      <c r="E222" t="s">
        <v>94</v>
      </c>
      <c r="F222" t="s">
        <v>95</v>
      </c>
      <c r="G222">
        <v>0.60191002682407202</v>
      </c>
      <c r="H222">
        <v>2E+20</v>
      </c>
      <c r="I222">
        <v>0</v>
      </c>
      <c r="J222">
        <v>1</v>
      </c>
      <c r="K222">
        <v>0.5</v>
      </c>
      <c r="L222">
        <v>0</v>
      </c>
      <c r="M222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222" cm="1">
        <f t="array" ref="N222">MAX(IF((ProjectInfoTable[ProjectName]=ContinuousStatsTable[[#This Row],[ProjectName]]),(ProjectInfoTable[ProjectName]=ContinuousStatsTable[[#This Row],[ProjectName]])*ProjectInfoTable[NumberOfReplications]))</f>
        <v>30</v>
      </c>
      <c r="O222" cm="1">
        <f t="array" ref="O222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222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222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222" cm="1">
        <f t="array" ref="S222">MIN(IF((ContinuousStatsTable[GroupByKey]=ContinuousStatsTable[[#This Row],[GroupByKey]]),(ContinuousStatsTable[GroupByKey]=ContinuousStatsTable[[#This Row],[GroupByKey]])*ContinuousStatsTable[Average]))</f>
        <v>0.58256422876290004</v>
      </c>
      <c r="T222" cm="1">
        <f t="array" ref="T222">MAX(IF((ContinuousStatsTable[GroupByKey]=ContinuousStatsTable[[#This Row],[GroupByKey]]),(ContinuousStatsTable[GroupByKey]=ContinuousStatsTable[[#This Row],[GroupByKey]])*ContinuousStatsTable[Average]))</f>
        <v>0.68643238055161704</v>
      </c>
      <c r="U222">
        <f>IF((ContinuousStatsTable[[#This Row],[RepsRequested]]&gt;1),ContinuousStatsTable[[#This Row],[HalfWidth]],ContinuousStatsTable[[#This Row],[BatchMeansHalfWidth]])</f>
        <v>9.8490003000806757E-3</v>
      </c>
    </row>
    <row r="223" spans="1:21" x14ac:dyDescent="0.2">
      <c r="A223" t="s">
        <v>67</v>
      </c>
      <c r="B223" t="s">
        <v>70</v>
      </c>
      <c r="C223">
        <v>10</v>
      </c>
      <c r="D223" t="s">
        <v>99</v>
      </c>
      <c r="E223" t="s">
        <v>96</v>
      </c>
      <c r="F223" t="s">
        <v>95</v>
      </c>
      <c r="G223">
        <v>1.20382005364814</v>
      </c>
      <c r="H223">
        <v>2E+20</v>
      </c>
      <c r="I223">
        <v>0</v>
      </c>
      <c r="J223">
        <v>2</v>
      </c>
      <c r="K223">
        <v>1</v>
      </c>
      <c r="L223">
        <v>0</v>
      </c>
      <c r="M223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223" cm="1">
        <f t="array" ref="N223">MAX(IF((ProjectInfoTable[ProjectName]=ContinuousStatsTable[[#This Row],[ProjectName]]),(ProjectInfoTable[ProjectName]=ContinuousStatsTable[[#This Row],[ProjectName]])*ProjectInfoTable[NumberOfReplications]))</f>
        <v>30</v>
      </c>
      <c r="O223" cm="1">
        <f t="array" ref="O223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223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223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223" cm="1">
        <f t="array" ref="S223">MIN(IF((ContinuousStatsTable[GroupByKey]=ContinuousStatsTable[[#This Row],[GroupByKey]]),(ContinuousStatsTable[GroupByKey]=ContinuousStatsTable[[#This Row],[GroupByKey]])*ContinuousStatsTable[Average]))</f>
        <v>1.1651284575258001</v>
      </c>
      <c r="T223" cm="1">
        <f t="array" ref="T223">MAX(IF((ContinuousStatsTable[GroupByKey]=ContinuousStatsTable[[#This Row],[GroupByKey]]),(ContinuousStatsTable[GroupByKey]=ContinuousStatsTable[[#This Row],[GroupByKey]])*ContinuousStatsTable[Average]))</f>
        <v>1.3728647611032301</v>
      </c>
      <c r="U223">
        <f>IF((ContinuousStatsTable[[#This Row],[RepsRequested]]&gt;1),ContinuousStatsTable[[#This Row],[HalfWidth]],ContinuousStatsTable[[#This Row],[BatchMeansHalfWidth]])</f>
        <v>1.9698000600160998E-2</v>
      </c>
    </row>
    <row r="224" spans="1:21" x14ac:dyDescent="0.2">
      <c r="A224" t="s">
        <v>67</v>
      </c>
      <c r="B224" t="s">
        <v>70</v>
      </c>
      <c r="C224">
        <v>10</v>
      </c>
      <c r="D224" t="s">
        <v>99</v>
      </c>
      <c r="E224" t="s">
        <v>97</v>
      </c>
      <c r="F224" t="s">
        <v>95</v>
      </c>
      <c r="G224">
        <v>2</v>
      </c>
      <c r="H224">
        <v>2E+20</v>
      </c>
      <c r="I224">
        <v>2</v>
      </c>
      <c r="J224">
        <v>2</v>
      </c>
      <c r="K224">
        <v>2</v>
      </c>
      <c r="L224">
        <v>0</v>
      </c>
      <c r="M224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224" cm="1">
        <f t="array" ref="N224">MAX(IF((ProjectInfoTable[ProjectName]=ContinuousStatsTable[[#This Row],[ProjectName]]),(ProjectInfoTable[ProjectName]=ContinuousStatsTable[[#This Row],[ProjectName]])*ProjectInfoTable[NumberOfReplications]))</f>
        <v>30</v>
      </c>
      <c r="O224" cm="1">
        <f t="array" ref="O224">IFERROR(AVERAGE(IF((ContinuousStatsTable[GroupByKey]=ContinuousStatsTable[[#This Row],[GroupByKey]]),(ContinuousStatsTable[GroupByKey]=ContinuousStatsTable[[#This Row],[GroupByKey]])*ContinuousStatsTable[Average])),0)</f>
        <v>2</v>
      </c>
      <c r="P224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0</v>
      </c>
      <c r="Q224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4" cm="1">
        <f t="array" ref="S224">MIN(IF((ContinuousStatsTable[GroupByKey]=ContinuousStatsTable[[#This Row],[GroupByKey]]),(ContinuousStatsTable[GroupByKey]=ContinuousStatsTable[[#This Row],[GroupByKey]])*ContinuousStatsTable[Average]))</f>
        <v>2</v>
      </c>
      <c r="T224" cm="1">
        <f t="array" ref="T224">MAX(IF((ContinuousStatsTable[GroupByKey]=ContinuousStatsTable[[#This Row],[GroupByKey]]),(ContinuousStatsTable[GroupByKey]=ContinuousStatsTable[[#This Row],[GroupByKey]])*ContinuousStatsTable[Average]))</f>
        <v>2</v>
      </c>
      <c r="U224">
        <f>IF((ContinuousStatsTable[[#This Row],[RepsRequested]]&gt;1),ContinuousStatsTable[[#This Row],[HalfWidth]],ContinuousStatsTable[[#This Row],[BatchMeansHalfWidth]])</f>
        <v>0</v>
      </c>
    </row>
    <row r="225" spans="1:21" x14ac:dyDescent="0.2">
      <c r="A225" t="s">
        <v>67</v>
      </c>
      <c r="B225" t="s">
        <v>70</v>
      </c>
      <c r="C225">
        <v>10</v>
      </c>
      <c r="D225" t="s">
        <v>74</v>
      </c>
      <c r="E225" t="s">
        <v>100</v>
      </c>
      <c r="F225" t="s">
        <v>76</v>
      </c>
      <c r="G225">
        <v>14.829880076063199</v>
      </c>
      <c r="H225">
        <v>3E+20</v>
      </c>
      <c r="I225">
        <v>3</v>
      </c>
      <c r="J225">
        <v>31</v>
      </c>
      <c r="K225">
        <v>12</v>
      </c>
      <c r="L225">
        <v>0</v>
      </c>
      <c r="M22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5" cm="1">
        <f t="array" ref="N225">MAX(IF((ProjectInfoTable[ProjectName]=ContinuousStatsTable[[#This Row],[ProjectName]]),(ProjectInfoTable[ProjectName]=ContinuousStatsTable[[#This Row],[ProjectName]])*ProjectInfoTable[NumberOfReplications]))</f>
        <v>30</v>
      </c>
      <c r="O225" cm="1">
        <f t="array" ref="O225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22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22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225" cm="1">
        <f t="array" ref="S225">MIN(IF((ContinuousStatsTable[GroupByKey]=ContinuousStatsTable[[#This Row],[GroupByKey]]),(ContinuousStatsTable[GroupByKey]=ContinuousStatsTable[[#This Row],[GroupByKey]])*ContinuousStatsTable[Average]))</f>
        <v>14.4112589759764</v>
      </c>
      <c r="T225" cm="1">
        <f t="array" ref="T225">MAX(IF((ContinuousStatsTable[GroupByKey]=ContinuousStatsTable[[#This Row],[GroupByKey]]),(ContinuousStatsTable[GroupByKey]=ContinuousStatsTable[[#This Row],[GroupByKey]])*ContinuousStatsTable[Average]))</f>
        <v>16.972707717517899</v>
      </c>
      <c r="U225">
        <f>IF((ContinuousStatsTable[[#This Row],[RepsRequested]]&gt;1),ContinuousStatsTable[[#This Row],[HalfWidth]],ContinuousStatsTable[[#This Row],[BatchMeansHalfWidth]])</f>
        <v>0.25870181881670146</v>
      </c>
    </row>
    <row r="226" spans="1:21" x14ac:dyDescent="0.2">
      <c r="A226" t="s">
        <v>67</v>
      </c>
      <c r="B226" t="s">
        <v>70</v>
      </c>
      <c r="C226">
        <v>10</v>
      </c>
      <c r="D226" t="s">
        <v>82</v>
      </c>
      <c r="E226" t="s">
        <v>98</v>
      </c>
      <c r="F226" t="s">
        <v>73</v>
      </c>
      <c r="G226">
        <v>0.10651859553458901</v>
      </c>
      <c r="H226">
        <v>2E+20</v>
      </c>
      <c r="I226">
        <v>0</v>
      </c>
      <c r="J226">
        <v>3</v>
      </c>
      <c r="K226">
        <v>0</v>
      </c>
      <c r="L226">
        <v>0</v>
      </c>
      <c r="M226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226" cm="1">
        <f t="array" ref="N226">MAX(IF((ProjectInfoTable[ProjectName]=ContinuousStatsTable[[#This Row],[ProjectName]]),(ProjectInfoTable[ProjectName]=ContinuousStatsTable[[#This Row],[ProjectName]])*ProjectInfoTable[NumberOfReplications]))</f>
        <v>30</v>
      </c>
      <c r="O226" cm="1">
        <f t="array" ref="O226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226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226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226" cm="1">
        <f t="array" ref="S226">MIN(IF((ContinuousStatsTable[GroupByKey]=ContinuousStatsTable[[#This Row],[GroupByKey]]),(ContinuousStatsTable[GroupByKey]=ContinuousStatsTable[[#This Row],[GroupByKey]])*ContinuousStatsTable[Average]))</f>
        <v>7.4406608295854798E-2</v>
      </c>
      <c r="T226" cm="1">
        <f t="array" ref="T226">MAX(IF((ContinuousStatsTable[GroupByKey]=ContinuousStatsTable[[#This Row],[GroupByKey]]),(ContinuousStatsTable[GroupByKey]=ContinuousStatsTable[[#This Row],[GroupByKey]])*ContinuousStatsTable[Average]))</f>
        <v>0.29874320707386398</v>
      </c>
      <c r="U226">
        <f>IF((ContinuousStatsTable[[#This Row],[RepsRequested]]&gt;1),ContinuousStatsTable[[#This Row],[HalfWidth]],ContinuousStatsTable[[#This Row],[BatchMeansHalfWidth]])</f>
        <v>2.0058204231149332E-2</v>
      </c>
    </row>
    <row r="227" spans="1:21" x14ac:dyDescent="0.2">
      <c r="A227" t="s">
        <v>67</v>
      </c>
      <c r="B227" t="s">
        <v>70</v>
      </c>
      <c r="C227">
        <v>10</v>
      </c>
      <c r="D227" t="s">
        <v>101</v>
      </c>
      <c r="E227" t="s">
        <v>94</v>
      </c>
      <c r="F227" t="s">
        <v>95</v>
      </c>
      <c r="G227">
        <v>1.77083333333333E-3</v>
      </c>
      <c r="H227">
        <v>2.0244500801846501E-4</v>
      </c>
      <c r="I227">
        <v>0</v>
      </c>
      <c r="J227">
        <v>3.7499999999999999E-2</v>
      </c>
      <c r="K227">
        <v>0</v>
      </c>
      <c r="L227">
        <v>0</v>
      </c>
      <c r="M227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227" cm="1">
        <f t="array" ref="N227">MAX(IF((ProjectInfoTable[ProjectName]=ContinuousStatsTable[[#This Row],[ProjectName]]),(ProjectInfoTable[ProjectName]=ContinuousStatsTable[[#This Row],[ProjectName]])*ProjectInfoTable[NumberOfReplications]))</f>
        <v>30</v>
      </c>
      <c r="O227" cm="1">
        <f t="array" ref="O227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227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227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227" cm="1">
        <f t="array" ref="S227">MIN(IF((ContinuousStatsTable[GroupByKey]=ContinuousStatsTable[[#This Row],[GroupByKey]]),(ContinuousStatsTable[GroupByKey]=ContinuousStatsTable[[#This Row],[GroupByKey]])*ContinuousStatsTable[Average]))</f>
        <v>1.70504385964912E-3</v>
      </c>
      <c r="T227" cm="1">
        <f t="array" ref="T227">MAX(IF((ContinuousStatsTable[GroupByKey]=ContinuousStatsTable[[#This Row],[GroupByKey]]),(ContinuousStatsTable[GroupByKey]=ContinuousStatsTable[[#This Row],[GroupByKey]])*ContinuousStatsTable[Average]))</f>
        <v>2.17031677925951E-3</v>
      </c>
      <c r="U227">
        <f>IF((ContinuousStatsTable[[#This Row],[RepsRequested]]&gt;1),ContinuousStatsTable[[#This Row],[HalfWidth]],ContinuousStatsTable[[#This Row],[BatchMeansHalfWidth]])</f>
        <v>4.4865881583116605E-5</v>
      </c>
    </row>
    <row r="228" spans="1:21" x14ac:dyDescent="0.2">
      <c r="A228" t="s">
        <v>67</v>
      </c>
      <c r="B228" t="s">
        <v>70</v>
      </c>
      <c r="C228">
        <v>10</v>
      </c>
      <c r="D228" t="s">
        <v>101</v>
      </c>
      <c r="E228" t="s">
        <v>96</v>
      </c>
      <c r="F228" t="s">
        <v>95</v>
      </c>
      <c r="G228">
        <v>0.141666666666667</v>
      </c>
      <c r="H228">
        <v>1.6195600641477199E-2</v>
      </c>
      <c r="I228">
        <v>0</v>
      </c>
      <c r="J228">
        <v>3</v>
      </c>
      <c r="K228">
        <v>0</v>
      </c>
      <c r="L228">
        <v>0</v>
      </c>
      <c r="M228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228" cm="1">
        <f t="array" ref="N228">MAX(IF((ProjectInfoTable[ProjectName]=ContinuousStatsTable[[#This Row],[ProjectName]]),(ProjectInfoTable[ProjectName]=ContinuousStatsTable[[#This Row],[ProjectName]])*ProjectInfoTable[NumberOfReplications]))</f>
        <v>30</v>
      </c>
      <c r="O228" cm="1">
        <f t="array" ref="O228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228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228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228" cm="1">
        <f t="array" ref="S228">MIN(IF((ContinuousStatsTable[GroupByKey]=ContinuousStatsTable[[#This Row],[GroupByKey]]),(ContinuousStatsTable[GroupByKey]=ContinuousStatsTable[[#This Row],[GroupByKey]])*ContinuousStatsTable[Average]))</f>
        <v>0.13640350877193</v>
      </c>
      <c r="T228" cm="1">
        <f t="array" ref="T228">MAX(IF((ContinuousStatsTable[GroupByKey]=ContinuousStatsTable[[#This Row],[GroupByKey]]),(ContinuousStatsTable[GroupByKey]=ContinuousStatsTable[[#This Row],[GroupByKey]])*ContinuousStatsTable[Average]))</f>
        <v>0.17362534234076099</v>
      </c>
      <c r="U228">
        <f>IF((ContinuousStatsTable[[#This Row],[RepsRequested]]&gt;1),ContinuousStatsTable[[#This Row],[HalfWidth]],ContinuousStatsTable[[#This Row],[BatchMeansHalfWidth]])</f>
        <v>3.5892705266493139E-3</v>
      </c>
    </row>
    <row r="229" spans="1:21" x14ac:dyDescent="0.2">
      <c r="A229" t="s">
        <v>67</v>
      </c>
      <c r="B229" t="s">
        <v>70</v>
      </c>
      <c r="C229">
        <v>10</v>
      </c>
      <c r="D229" t="s">
        <v>101</v>
      </c>
      <c r="E229" t="s">
        <v>97</v>
      </c>
      <c r="F229" t="s">
        <v>95</v>
      </c>
      <c r="G229">
        <v>80</v>
      </c>
      <c r="H229">
        <v>2E+20</v>
      </c>
      <c r="I229">
        <v>80</v>
      </c>
      <c r="J229">
        <v>80</v>
      </c>
      <c r="K229">
        <v>80</v>
      </c>
      <c r="L229">
        <v>0</v>
      </c>
      <c r="M229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229" cm="1">
        <f t="array" ref="N229">MAX(IF((ProjectInfoTable[ProjectName]=ContinuousStatsTable[[#This Row],[ProjectName]]),(ProjectInfoTable[ProjectName]=ContinuousStatsTable[[#This Row],[ProjectName]])*ProjectInfoTable[NumberOfReplications]))</f>
        <v>30</v>
      </c>
      <c r="O229" cm="1">
        <f t="array" ref="O229">IFERROR(AVERAGE(IF((ContinuousStatsTable[GroupByKey]=ContinuousStatsTable[[#This Row],[GroupByKey]]),(ContinuousStatsTable[GroupByKey]=ContinuousStatsTable[[#This Row],[GroupByKey]])*ContinuousStatsTable[Average])),0)</f>
        <v>80</v>
      </c>
      <c r="P229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0</v>
      </c>
      <c r="Q229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9" cm="1">
        <f t="array" ref="S229">MIN(IF((ContinuousStatsTable[GroupByKey]=ContinuousStatsTable[[#This Row],[GroupByKey]]),(ContinuousStatsTable[GroupByKey]=ContinuousStatsTable[[#This Row],[GroupByKey]])*ContinuousStatsTable[Average]))</f>
        <v>80</v>
      </c>
      <c r="T229" cm="1">
        <f t="array" ref="T229">MAX(IF((ContinuousStatsTable[GroupByKey]=ContinuousStatsTable[[#This Row],[GroupByKey]]),(ContinuousStatsTable[GroupByKey]=ContinuousStatsTable[[#This Row],[GroupByKey]])*ContinuousStatsTable[Average]))</f>
        <v>80</v>
      </c>
      <c r="U229">
        <f>IF((ContinuousStatsTable[[#This Row],[RepsRequested]]&gt;1),ContinuousStatsTable[[#This Row],[HalfWidth]],ContinuousStatsTable[[#This Row],[BatchMeansHalfWidth]])</f>
        <v>0</v>
      </c>
    </row>
    <row r="230" spans="1:21" x14ac:dyDescent="0.2">
      <c r="A230" t="s">
        <v>67</v>
      </c>
      <c r="B230" t="s">
        <v>70</v>
      </c>
      <c r="C230">
        <v>10</v>
      </c>
      <c r="D230" t="s">
        <v>86</v>
      </c>
      <c r="E230" t="s">
        <v>98</v>
      </c>
      <c r="F230" t="s">
        <v>73</v>
      </c>
      <c r="G230">
        <v>0</v>
      </c>
      <c r="H230">
        <v>2E+20</v>
      </c>
      <c r="I230">
        <v>0</v>
      </c>
      <c r="J230">
        <v>0</v>
      </c>
      <c r="K230">
        <v>0</v>
      </c>
      <c r="L230">
        <v>0</v>
      </c>
      <c r="M230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230" cm="1">
        <f t="array" ref="N230">MAX(IF((ProjectInfoTable[ProjectName]=ContinuousStatsTable[[#This Row],[ProjectName]]),(ProjectInfoTable[ProjectName]=ContinuousStatsTable[[#This Row],[ProjectName]])*ProjectInfoTable[NumberOfReplications]))</f>
        <v>30</v>
      </c>
      <c r="O230" cm="1">
        <f t="array" ref="O230">IFERROR(AVERAGE(IF((ContinuousStatsTable[GroupByKey]=ContinuousStatsTable[[#This Row],[GroupByKey]]),(ContinuousStatsTable[GroupByKey]=ContinuousStatsTable[[#This Row],[GroupByKey]])*ContinuousStatsTable[Average])),0)</f>
        <v>0</v>
      </c>
      <c r="P230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</v>
      </c>
      <c r="Q230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0" cm="1">
        <f t="array" ref="S230">MIN(IF((ContinuousStatsTable[GroupByKey]=ContinuousStatsTable[[#This Row],[GroupByKey]]),(ContinuousStatsTable[GroupByKey]=ContinuousStatsTable[[#This Row],[GroupByKey]])*ContinuousStatsTable[Average]))</f>
        <v>0</v>
      </c>
      <c r="T230" cm="1">
        <f t="array" ref="T230">MAX(IF((ContinuousStatsTable[GroupByKey]=ContinuousStatsTable[[#This Row],[GroupByKey]]),(ContinuousStatsTable[GroupByKey]=ContinuousStatsTable[[#This Row],[GroupByKey]])*ContinuousStatsTable[Average]))</f>
        <v>0</v>
      </c>
      <c r="U230">
        <f>IF((ContinuousStatsTable[[#This Row],[RepsRequested]]&gt;1),ContinuousStatsTable[[#This Row],[HalfWidth]],ContinuousStatsTable[[#This Row],[BatchMeansHalfWidth]])</f>
        <v>0</v>
      </c>
    </row>
    <row r="231" spans="1:21" x14ac:dyDescent="0.2">
      <c r="A231" t="s">
        <v>67</v>
      </c>
      <c r="B231" t="s">
        <v>70</v>
      </c>
      <c r="C231">
        <v>10</v>
      </c>
      <c r="D231" t="s">
        <v>87</v>
      </c>
      <c r="E231" t="s">
        <v>98</v>
      </c>
      <c r="F231" t="s">
        <v>73</v>
      </c>
      <c r="G231">
        <v>0</v>
      </c>
      <c r="H231">
        <v>2E+20</v>
      </c>
      <c r="I231">
        <v>0</v>
      </c>
      <c r="J231">
        <v>0</v>
      </c>
      <c r="K231">
        <v>0</v>
      </c>
      <c r="L231">
        <v>0</v>
      </c>
      <c r="M231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231" cm="1">
        <f t="array" ref="N231">MAX(IF((ProjectInfoTable[ProjectName]=ContinuousStatsTable[[#This Row],[ProjectName]]),(ProjectInfoTable[ProjectName]=ContinuousStatsTable[[#This Row],[ProjectName]])*ProjectInfoTable[NumberOfReplications]))</f>
        <v>30</v>
      </c>
      <c r="O231" cm="1">
        <f t="array" ref="O231">IFERROR(AVERAGE(IF((ContinuousStatsTable[GroupByKey]=ContinuousStatsTable[[#This Row],[GroupByKey]]),(ContinuousStatsTable[GroupByKey]=ContinuousStatsTable[[#This Row],[GroupByKey]])*ContinuousStatsTable[Average])),0)</f>
        <v>0</v>
      </c>
      <c r="P231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cm="1">
        <f t="array" ref="S231">MIN(IF((ContinuousStatsTable[GroupByKey]=ContinuousStatsTable[[#This Row],[GroupByKey]]),(ContinuousStatsTable[GroupByKey]=ContinuousStatsTable[[#This Row],[GroupByKey]])*ContinuousStatsTable[Average]))</f>
        <v>0</v>
      </c>
      <c r="T231" cm="1">
        <f t="array" ref="T231">MAX(IF((ContinuousStatsTable[GroupByKey]=ContinuousStatsTable[[#This Row],[GroupByKey]]),(ContinuousStatsTable[GroupByKey]=ContinuousStatsTable[[#This Row],[GroupByKey]])*ContinuousStatsTable[Average]))</f>
        <v>0</v>
      </c>
      <c r="U231">
        <f>IF((ContinuousStatsTable[[#This Row],[RepsRequested]]&gt;1),ContinuousStatsTable[[#This Row],[HalfWidth]],ContinuousStatsTable[[#This Row],[BatchMeansHalfWidth]])</f>
        <v>0</v>
      </c>
    </row>
    <row r="232" spans="1:21" x14ac:dyDescent="0.2">
      <c r="A232" t="s">
        <v>67</v>
      </c>
      <c r="B232" t="s">
        <v>70</v>
      </c>
      <c r="C232">
        <v>10</v>
      </c>
      <c r="D232" t="s">
        <v>88</v>
      </c>
      <c r="E232" t="s">
        <v>98</v>
      </c>
      <c r="F232" t="s">
        <v>73</v>
      </c>
      <c r="G232">
        <v>1.5672683507844101</v>
      </c>
      <c r="H232">
        <v>9.9095601207648307E-2</v>
      </c>
      <c r="I232">
        <v>0</v>
      </c>
      <c r="J232">
        <v>4</v>
      </c>
      <c r="K232">
        <v>1</v>
      </c>
      <c r="L232">
        <v>0</v>
      </c>
      <c r="M232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232" cm="1">
        <f t="array" ref="N232">MAX(IF((ProjectInfoTable[ProjectName]=ContinuousStatsTable[[#This Row],[ProjectName]]),(ProjectInfoTable[ProjectName]=ContinuousStatsTable[[#This Row],[ProjectName]])*ProjectInfoTable[NumberOfReplications]))</f>
        <v>30</v>
      </c>
      <c r="O232" cm="1">
        <f t="array" ref="O232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232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232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232" cm="1">
        <f t="array" ref="S232">MIN(IF((ContinuousStatsTable[GroupByKey]=ContinuousStatsTable[[#This Row],[GroupByKey]]),(ContinuousStatsTable[GroupByKey]=ContinuousStatsTable[[#This Row],[GroupByKey]])*ContinuousStatsTable[Average]))</f>
        <v>1.4062336911317099</v>
      </c>
      <c r="T232" cm="1">
        <f t="array" ref="T232">MAX(IF((ContinuousStatsTable[GroupByKey]=ContinuousStatsTable[[#This Row],[GroupByKey]]),(ContinuousStatsTable[GroupByKey]=ContinuousStatsTable[[#This Row],[GroupByKey]])*ContinuousStatsTable[Average]))</f>
        <v>1.5889769030929</v>
      </c>
      <c r="U232">
        <f>IF((ContinuousStatsTable[[#This Row],[RepsRequested]]&gt;1),ContinuousStatsTable[[#This Row],[HalfWidth]],ContinuousStatsTable[[#This Row],[BatchMeansHalfWidth]])</f>
        <v>1.602866983772662E-2</v>
      </c>
    </row>
    <row r="233" spans="1:21" x14ac:dyDescent="0.2">
      <c r="A233" t="s">
        <v>67</v>
      </c>
      <c r="B233" t="s">
        <v>70</v>
      </c>
      <c r="C233">
        <v>10</v>
      </c>
      <c r="D233" t="s">
        <v>102</v>
      </c>
      <c r="E233" t="s">
        <v>94</v>
      </c>
      <c r="F233" t="s">
        <v>95</v>
      </c>
      <c r="G233">
        <v>5.0000000000000001E-3</v>
      </c>
      <c r="H233">
        <v>6.0846358624708598E-4</v>
      </c>
      <c r="I233">
        <v>0</v>
      </c>
      <c r="J233">
        <v>0.15</v>
      </c>
      <c r="K233">
        <v>0</v>
      </c>
      <c r="L233">
        <v>0</v>
      </c>
      <c r="M233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233" cm="1">
        <f t="array" ref="N233">MAX(IF((ProjectInfoTable[ProjectName]=ContinuousStatsTable[[#This Row],[ProjectName]]),(ProjectInfoTable[ProjectName]=ContinuousStatsTable[[#This Row],[ProjectName]])*ProjectInfoTable[NumberOfReplications]))</f>
        <v>30</v>
      </c>
      <c r="O233" cm="1">
        <f t="array" ref="O233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233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233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233" cm="1">
        <f t="array" ref="S233">MIN(IF((ContinuousStatsTable[GroupByKey]=ContinuousStatsTable[[#This Row],[GroupByKey]]),(ContinuousStatsTable[GroupByKey]=ContinuousStatsTable[[#This Row],[GroupByKey]])*ContinuousStatsTable[Average]))</f>
        <v>4.4956140350877203E-3</v>
      </c>
      <c r="T233" cm="1">
        <f t="array" ref="T233">MAX(IF((ContinuousStatsTable[GroupByKey]=ContinuousStatsTable[[#This Row],[GroupByKey]]),(ContinuousStatsTable[GroupByKey]=ContinuousStatsTable[[#This Row],[GroupByKey]])*ContinuousStatsTable[Average]))</f>
        <v>5.5482456140350904E-3</v>
      </c>
      <c r="U233">
        <f>IF((ContinuousStatsTable[[#This Row],[RepsRequested]]&gt;1),ContinuousStatsTable[[#This Row],[HalfWidth]],ContinuousStatsTable[[#This Row],[BatchMeansHalfWidth]])</f>
        <v>1.0144486472958472E-4</v>
      </c>
    </row>
    <row r="234" spans="1:21" x14ac:dyDescent="0.2">
      <c r="A234" t="s">
        <v>67</v>
      </c>
      <c r="B234" t="s">
        <v>70</v>
      </c>
      <c r="C234">
        <v>10</v>
      </c>
      <c r="D234" t="s">
        <v>102</v>
      </c>
      <c r="E234" t="s">
        <v>96</v>
      </c>
      <c r="F234" t="s">
        <v>95</v>
      </c>
      <c r="G234">
        <v>0.1</v>
      </c>
      <c r="H234">
        <v>1.2169271724941699E-2</v>
      </c>
      <c r="I234">
        <v>0</v>
      </c>
      <c r="J234">
        <v>3</v>
      </c>
      <c r="K234">
        <v>0</v>
      </c>
      <c r="L234">
        <v>0</v>
      </c>
      <c r="M234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234" cm="1">
        <f t="array" ref="N234">MAX(IF((ProjectInfoTable[ProjectName]=ContinuousStatsTable[[#This Row],[ProjectName]]),(ProjectInfoTable[ProjectName]=ContinuousStatsTable[[#This Row],[ProjectName]])*ProjectInfoTable[NumberOfReplications]))</f>
        <v>30</v>
      </c>
      <c r="O234" cm="1">
        <f t="array" ref="O234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234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234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234" cm="1">
        <f t="array" ref="S234">MIN(IF((ContinuousStatsTable[GroupByKey]=ContinuousStatsTable[[#This Row],[GroupByKey]]),(ContinuousStatsTable[GroupByKey]=ContinuousStatsTable[[#This Row],[GroupByKey]])*ContinuousStatsTable[Average]))</f>
        <v>8.9912280701754305E-2</v>
      </c>
      <c r="T234" cm="1">
        <f t="array" ref="T234">MAX(IF((ContinuousStatsTable[GroupByKey]=ContinuousStatsTable[[#This Row],[GroupByKey]]),(ContinuousStatsTable[GroupByKey]=ContinuousStatsTable[[#This Row],[GroupByKey]])*ContinuousStatsTable[Average]))</f>
        <v>0.110964912280702</v>
      </c>
      <c r="U234">
        <f>IF((ContinuousStatsTable[[#This Row],[RepsRequested]]&gt;1),ContinuousStatsTable[[#This Row],[HalfWidth]],ContinuousStatsTable[[#This Row],[BatchMeansHalfWidth]])</f>
        <v>2.0288972945916956E-3</v>
      </c>
    </row>
    <row r="235" spans="1:21" x14ac:dyDescent="0.2">
      <c r="A235" t="s">
        <v>67</v>
      </c>
      <c r="B235" t="s">
        <v>70</v>
      </c>
      <c r="C235">
        <v>10</v>
      </c>
      <c r="D235" t="s">
        <v>102</v>
      </c>
      <c r="E235" t="s">
        <v>97</v>
      </c>
      <c r="F235" t="s">
        <v>95</v>
      </c>
      <c r="G235">
        <v>20</v>
      </c>
      <c r="H235">
        <v>2E+20</v>
      </c>
      <c r="I235">
        <v>20</v>
      </c>
      <c r="J235">
        <v>20</v>
      </c>
      <c r="K235">
        <v>20</v>
      </c>
      <c r="L235">
        <v>0</v>
      </c>
      <c r="M235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235" cm="1">
        <f t="array" ref="N235">MAX(IF((ProjectInfoTable[ProjectName]=ContinuousStatsTable[[#This Row],[ProjectName]]),(ProjectInfoTable[ProjectName]=ContinuousStatsTable[[#This Row],[ProjectName]])*ProjectInfoTable[NumberOfReplications]))</f>
        <v>30</v>
      </c>
      <c r="O235" cm="1">
        <f t="array" ref="O235">IFERROR(AVERAGE(IF((ContinuousStatsTable[GroupByKey]=ContinuousStatsTable[[#This Row],[GroupByKey]]),(ContinuousStatsTable[GroupByKey]=ContinuousStatsTable[[#This Row],[GroupByKey]])*ContinuousStatsTable[Average])),0)</f>
        <v>20</v>
      </c>
      <c r="P23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</v>
      </c>
      <c r="Q23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5" cm="1">
        <f t="array" ref="S235">MIN(IF((ContinuousStatsTable[GroupByKey]=ContinuousStatsTable[[#This Row],[GroupByKey]]),(ContinuousStatsTable[GroupByKey]=ContinuousStatsTable[[#This Row],[GroupByKey]])*ContinuousStatsTable[Average]))</f>
        <v>20</v>
      </c>
      <c r="T235" cm="1">
        <f t="array" ref="T235">MAX(IF((ContinuousStatsTable[GroupByKey]=ContinuousStatsTable[[#This Row],[GroupByKey]]),(ContinuousStatsTable[GroupByKey]=ContinuousStatsTable[[#This Row],[GroupByKey]])*ContinuousStatsTable[Average]))</f>
        <v>20</v>
      </c>
      <c r="U235">
        <f>IF((ContinuousStatsTable[[#This Row],[RepsRequested]]&gt;1),ContinuousStatsTable[[#This Row],[HalfWidth]],ContinuousStatsTable[[#This Row],[BatchMeansHalfWidth]])</f>
        <v>0</v>
      </c>
    </row>
    <row r="236" spans="1:21" x14ac:dyDescent="0.2">
      <c r="A236" t="s">
        <v>67</v>
      </c>
      <c r="B236" t="s">
        <v>70</v>
      </c>
      <c r="C236">
        <v>10</v>
      </c>
      <c r="D236" t="s">
        <v>90</v>
      </c>
      <c r="E236" t="s">
        <v>98</v>
      </c>
      <c r="F236" t="s">
        <v>73</v>
      </c>
      <c r="G236">
        <v>0</v>
      </c>
      <c r="H236">
        <v>2E+20</v>
      </c>
      <c r="I236">
        <v>0</v>
      </c>
      <c r="J236">
        <v>0</v>
      </c>
      <c r="K236">
        <v>0</v>
      </c>
      <c r="L236">
        <v>0</v>
      </c>
      <c r="M236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236" cm="1">
        <f t="array" ref="N236">MAX(IF((ProjectInfoTable[ProjectName]=ContinuousStatsTable[[#This Row],[ProjectName]]),(ProjectInfoTable[ProjectName]=ContinuousStatsTable[[#This Row],[ProjectName]])*ProjectInfoTable[NumberOfReplications]))</f>
        <v>30</v>
      </c>
      <c r="O236" cm="1">
        <f t="array" ref="O236">IFERROR(AVERAGE(IF((ContinuousStatsTable[GroupByKey]=ContinuousStatsTable[[#This Row],[GroupByKey]]),(ContinuousStatsTable[GroupByKey]=ContinuousStatsTable[[#This Row],[GroupByKey]])*ContinuousStatsTable[Average])),0)</f>
        <v>0</v>
      </c>
      <c r="P236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0</v>
      </c>
      <c r="Q236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6" cm="1">
        <f t="array" ref="S236">MIN(IF((ContinuousStatsTable[GroupByKey]=ContinuousStatsTable[[#This Row],[GroupByKey]]),(ContinuousStatsTable[GroupByKey]=ContinuousStatsTable[[#This Row],[GroupByKey]])*ContinuousStatsTable[Average]))</f>
        <v>0</v>
      </c>
      <c r="T236" cm="1">
        <f t="array" ref="T236">MAX(IF((ContinuousStatsTable[GroupByKey]=ContinuousStatsTable[[#This Row],[GroupByKey]]),(ContinuousStatsTable[GroupByKey]=ContinuousStatsTable[[#This Row],[GroupByKey]])*ContinuousStatsTable[Average]))</f>
        <v>0</v>
      </c>
      <c r="U236">
        <f>IF((ContinuousStatsTable[[#This Row],[RepsRequested]]&gt;1),ContinuousStatsTable[[#This Row],[HalfWidth]],ContinuousStatsTable[[#This Row],[BatchMeansHalfWidth]])</f>
        <v>0</v>
      </c>
    </row>
    <row r="237" spans="1:21" x14ac:dyDescent="0.2">
      <c r="A237" t="s">
        <v>67</v>
      </c>
      <c r="B237" t="s">
        <v>70</v>
      </c>
      <c r="C237">
        <v>10</v>
      </c>
      <c r="D237" t="s">
        <v>91</v>
      </c>
      <c r="E237" t="s">
        <v>98</v>
      </c>
      <c r="F237" t="s">
        <v>73</v>
      </c>
      <c r="G237">
        <v>0</v>
      </c>
      <c r="H237">
        <v>2E+20</v>
      </c>
      <c r="I237">
        <v>0</v>
      </c>
      <c r="J237">
        <v>0</v>
      </c>
      <c r="K237">
        <v>0</v>
      </c>
      <c r="L237">
        <v>0</v>
      </c>
      <c r="M237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237" cm="1">
        <f t="array" ref="N237">MAX(IF((ProjectInfoTable[ProjectName]=ContinuousStatsTable[[#This Row],[ProjectName]]),(ProjectInfoTable[ProjectName]=ContinuousStatsTable[[#This Row],[ProjectName]])*ProjectInfoTable[NumberOfReplications]))</f>
        <v>30</v>
      </c>
      <c r="O237" cm="1">
        <f t="array" ref="O237">IFERROR(AVERAGE(IF((ContinuousStatsTable[GroupByKey]=ContinuousStatsTable[[#This Row],[GroupByKey]]),(ContinuousStatsTable[GroupByKey]=ContinuousStatsTable[[#This Row],[GroupByKey]])*ContinuousStatsTable[Average])),0)</f>
        <v>0</v>
      </c>
      <c r="P237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0</v>
      </c>
      <c r="Q237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7" cm="1">
        <f t="array" ref="S237">MIN(IF((ContinuousStatsTable[GroupByKey]=ContinuousStatsTable[[#This Row],[GroupByKey]]),(ContinuousStatsTable[GroupByKey]=ContinuousStatsTable[[#This Row],[GroupByKey]])*ContinuousStatsTable[Average]))</f>
        <v>0</v>
      </c>
      <c r="T237" cm="1">
        <f t="array" ref="T237">MAX(IF((ContinuousStatsTable[GroupByKey]=ContinuousStatsTable[[#This Row],[GroupByKey]]),(ContinuousStatsTable[GroupByKey]=ContinuousStatsTable[[#This Row],[GroupByKey]])*ContinuousStatsTable[Average]))</f>
        <v>0</v>
      </c>
      <c r="U237">
        <f>IF((ContinuousStatsTable[[#This Row],[RepsRequested]]&gt;1),ContinuousStatsTable[[#This Row],[HalfWidth]],ContinuousStatsTable[[#This Row],[BatchMeansHalfWidth]])</f>
        <v>0</v>
      </c>
    </row>
    <row r="238" spans="1:21" x14ac:dyDescent="0.2">
      <c r="A238" t="s">
        <v>67</v>
      </c>
      <c r="B238" t="s">
        <v>70</v>
      </c>
      <c r="C238">
        <v>10</v>
      </c>
      <c r="D238" t="s">
        <v>92</v>
      </c>
      <c r="E238" t="s">
        <v>98</v>
      </c>
      <c r="F238" t="s">
        <v>73</v>
      </c>
      <c r="G238">
        <v>0</v>
      </c>
      <c r="H238">
        <v>2E+20</v>
      </c>
      <c r="I238">
        <v>0</v>
      </c>
      <c r="J238">
        <v>0</v>
      </c>
      <c r="K238">
        <v>0</v>
      </c>
      <c r="L238">
        <v>0</v>
      </c>
      <c r="M238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238" cm="1">
        <f t="array" ref="N238">MAX(IF((ProjectInfoTable[ProjectName]=ContinuousStatsTable[[#This Row],[ProjectName]]),(ProjectInfoTable[ProjectName]=ContinuousStatsTable[[#This Row],[ProjectName]])*ProjectInfoTable[NumberOfReplications]))</f>
        <v>30</v>
      </c>
      <c r="O238" cm="1">
        <f t="array" ref="O238">IFERROR(AVERAGE(IF((ContinuousStatsTable[GroupByKey]=ContinuousStatsTable[[#This Row],[GroupByKey]]),(ContinuousStatsTable[GroupByKey]=ContinuousStatsTable[[#This Row],[GroupByKey]])*ContinuousStatsTable[Average])),0)</f>
        <v>0</v>
      </c>
      <c r="P238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0</v>
      </c>
      <c r="Q238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8" cm="1">
        <f t="array" ref="S238">MIN(IF((ContinuousStatsTable[GroupByKey]=ContinuousStatsTable[[#This Row],[GroupByKey]]),(ContinuousStatsTable[GroupByKey]=ContinuousStatsTable[[#This Row],[GroupByKey]])*ContinuousStatsTable[Average]))</f>
        <v>0</v>
      </c>
      <c r="T238" cm="1">
        <f t="array" ref="T238">MAX(IF((ContinuousStatsTable[GroupByKey]=ContinuousStatsTable[[#This Row],[GroupByKey]]),(ContinuousStatsTable[GroupByKey]=ContinuousStatsTable[[#This Row],[GroupByKey]])*ContinuousStatsTable[Average]))</f>
        <v>0</v>
      </c>
      <c r="U238">
        <f>IF((ContinuousStatsTable[[#This Row],[RepsRequested]]&gt;1),ContinuousStatsTable[[#This Row],[HalfWidth]],ContinuousStatsTable[[#This Row],[BatchMeansHalfWidth]])</f>
        <v>0</v>
      </c>
    </row>
    <row r="239" spans="1:21" x14ac:dyDescent="0.2">
      <c r="A239" t="s">
        <v>67</v>
      </c>
      <c r="B239" t="s">
        <v>70</v>
      </c>
      <c r="C239">
        <v>10</v>
      </c>
      <c r="D239" t="s">
        <v>103</v>
      </c>
      <c r="E239" t="s">
        <v>94</v>
      </c>
      <c r="F239" t="s">
        <v>95</v>
      </c>
      <c r="G239">
        <v>8.10034930311406E-2</v>
      </c>
      <c r="H239">
        <v>2E+20</v>
      </c>
      <c r="I239">
        <v>0</v>
      </c>
      <c r="J239">
        <v>0.66666666666666696</v>
      </c>
      <c r="K239">
        <v>0</v>
      </c>
      <c r="L239">
        <v>0</v>
      </c>
      <c r="M239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239" cm="1">
        <f t="array" ref="N239">MAX(IF((ProjectInfoTable[ProjectName]=ContinuousStatsTable[[#This Row],[ProjectName]]),(ProjectInfoTable[ProjectName]=ContinuousStatsTable[[#This Row],[ProjectName]])*ProjectInfoTable[NumberOfReplications]))</f>
        <v>30</v>
      </c>
      <c r="O239" cm="1">
        <f t="array" ref="O239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239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239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239" cm="1">
        <f t="array" ref="S239">MIN(IF((ContinuousStatsTable[GroupByKey]=ContinuousStatsTable[[#This Row],[GroupByKey]]),(ContinuousStatsTable[GroupByKey]=ContinuousStatsTable[[#This Row],[GroupByKey]])*ContinuousStatsTable[Average]))</f>
        <v>7.7176470357846902E-2</v>
      </c>
      <c r="T239" cm="1">
        <f t="array" ref="T239">MAX(IF((ContinuousStatsTable[GroupByKey]=ContinuousStatsTable[[#This Row],[GroupByKey]]),(ContinuousStatsTable[GroupByKey]=ContinuousStatsTable[[#This Row],[GroupByKey]])*ContinuousStatsTable[Average]))</f>
        <v>9.2534326714405896E-2</v>
      </c>
      <c r="U239">
        <f>IF((ContinuousStatsTable[[#This Row],[RepsRequested]]&gt;1),ContinuousStatsTable[[#This Row],[HalfWidth]],ContinuousStatsTable[[#This Row],[BatchMeansHalfWidth]])</f>
        <v>1.3238327186697659E-3</v>
      </c>
    </row>
    <row r="240" spans="1:21" x14ac:dyDescent="0.2">
      <c r="A240" t="s">
        <v>67</v>
      </c>
      <c r="B240" t="s">
        <v>70</v>
      </c>
      <c r="C240">
        <v>10</v>
      </c>
      <c r="D240" t="s">
        <v>103</v>
      </c>
      <c r="E240" t="s">
        <v>96</v>
      </c>
      <c r="F240" t="s">
        <v>95</v>
      </c>
      <c r="G240">
        <v>0.24301047909342199</v>
      </c>
      <c r="H240">
        <v>2E+20</v>
      </c>
      <c r="I240">
        <v>0</v>
      </c>
      <c r="J240">
        <v>2</v>
      </c>
      <c r="K240">
        <v>0</v>
      </c>
      <c r="L240">
        <v>0</v>
      </c>
      <c r="M240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240" cm="1">
        <f t="array" ref="N240">MAX(IF((ProjectInfoTable[ProjectName]=ContinuousStatsTable[[#This Row],[ProjectName]]),(ProjectInfoTable[ProjectName]=ContinuousStatsTable[[#This Row],[ProjectName]])*ProjectInfoTable[NumberOfReplications]))</f>
        <v>30</v>
      </c>
      <c r="O240" cm="1">
        <f t="array" ref="O240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240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240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240" cm="1">
        <f t="array" ref="S240">MIN(IF((ContinuousStatsTable[GroupByKey]=ContinuousStatsTable[[#This Row],[GroupByKey]]),(ContinuousStatsTable[GroupByKey]=ContinuousStatsTable[[#This Row],[GroupByKey]])*ContinuousStatsTable[Average]))</f>
        <v>0.231529411073541</v>
      </c>
      <c r="T240" cm="1">
        <f t="array" ref="T240">MAX(IF((ContinuousStatsTable[GroupByKey]=ContinuousStatsTable[[#This Row],[GroupByKey]]),(ContinuousStatsTable[GroupByKey]=ContinuousStatsTable[[#This Row],[GroupByKey]])*ContinuousStatsTable[Average]))</f>
        <v>0.27760298014321699</v>
      </c>
      <c r="U240">
        <f>IF((ContinuousStatsTable[[#This Row],[RepsRequested]]&gt;1),ContinuousStatsTable[[#This Row],[HalfWidth]],ContinuousStatsTable[[#This Row],[BatchMeansHalfWidth]])</f>
        <v>3.9714981560092996E-3</v>
      </c>
    </row>
    <row r="241" spans="1:21" x14ac:dyDescent="0.2">
      <c r="A241" t="s">
        <v>67</v>
      </c>
      <c r="B241" t="s">
        <v>70</v>
      </c>
      <c r="C241">
        <v>10</v>
      </c>
      <c r="D241" t="s">
        <v>103</v>
      </c>
      <c r="E241" t="s">
        <v>97</v>
      </c>
      <c r="F241" t="s">
        <v>95</v>
      </c>
      <c r="G241">
        <v>3</v>
      </c>
      <c r="H241">
        <v>2E+20</v>
      </c>
      <c r="I241">
        <v>3</v>
      </c>
      <c r="J241">
        <v>3</v>
      </c>
      <c r="K241">
        <v>3</v>
      </c>
      <c r="L241">
        <v>0</v>
      </c>
      <c r="M241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241" cm="1">
        <f t="array" ref="N241">MAX(IF((ProjectInfoTable[ProjectName]=ContinuousStatsTable[[#This Row],[ProjectName]]),(ProjectInfoTable[ProjectName]=ContinuousStatsTable[[#This Row],[ProjectName]])*ProjectInfoTable[NumberOfReplications]))</f>
        <v>30</v>
      </c>
      <c r="O241" cm="1">
        <f t="array" ref="O241">IFERROR(AVERAGE(IF((ContinuousStatsTable[GroupByKey]=ContinuousStatsTable[[#This Row],[GroupByKey]]),(ContinuousStatsTable[GroupByKey]=ContinuousStatsTable[[#This Row],[GroupByKey]])*ContinuousStatsTable[Average])),0)</f>
        <v>3</v>
      </c>
      <c r="P241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cm="1">
        <f t="array" ref="S241">MIN(IF((ContinuousStatsTable[GroupByKey]=ContinuousStatsTable[[#This Row],[GroupByKey]]),(ContinuousStatsTable[GroupByKey]=ContinuousStatsTable[[#This Row],[GroupByKey]])*ContinuousStatsTable[Average]))</f>
        <v>3</v>
      </c>
      <c r="T241" cm="1">
        <f t="array" ref="T241">MAX(IF((ContinuousStatsTable[GroupByKey]=ContinuousStatsTable[[#This Row],[GroupByKey]]),(ContinuousStatsTable[GroupByKey]=ContinuousStatsTable[[#This Row],[GroupByKey]])*ContinuousStatsTable[Average]))</f>
        <v>3</v>
      </c>
      <c r="U241">
        <f>IF((ContinuousStatsTable[[#This Row],[RepsRequested]]&gt;1),ContinuousStatsTable[[#This Row],[HalfWidth]],ContinuousStatsTable[[#This Row],[BatchMeansHalfWidth]])</f>
        <v>0</v>
      </c>
    </row>
    <row r="242" spans="1:21" x14ac:dyDescent="0.2">
      <c r="A242" t="s">
        <v>67</v>
      </c>
      <c r="B242" t="s">
        <v>70</v>
      </c>
      <c r="C242">
        <v>11</v>
      </c>
      <c r="D242" t="s">
        <v>93</v>
      </c>
      <c r="E242" t="s">
        <v>94</v>
      </c>
      <c r="F242" t="s">
        <v>95</v>
      </c>
      <c r="G242">
        <v>0.25964912280701702</v>
      </c>
      <c r="H242">
        <v>1.7283413802748299E-2</v>
      </c>
      <c r="I242">
        <v>0</v>
      </c>
      <c r="J242">
        <v>1</v>
      </c>
      <c r="K242">
        <v>0</v>
      </c>
      <c r="L242">
        <v>0</v>
      </c>
      <c r="M242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242" cm="1">
        <f t="array" ref="N242">MAX(IF((ProjectInfoTable[ProjectName]=ContinuousStatsTable[[#This Row],[ProjectName]]),(ProjectInfoTable[ProjectName]=ContinuousStatsTable[[#This Row],[ProjectName]])*ProjectInfoTable[NumberOfReplications]))</f>
        <v>30</v>
      </c>
      <c r="O242" cm="1">
        <f t="array" ref="O242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242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242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242" cm="1">
        <f t="array" ref="S242">MIN(IF((ContinuousStatsTable[GroupByKey]=ContinuousStatsTable[[#This Row],[GroupByKey]]),(ContinuousStatsTable[GroupByKey]=ContinuousStatsTable[[#This Row],[GroupByKey]])*ContinuousStatsTable[Average]))</f>
        <v>0.233333333333333</v>
      </c>
      <c r="T242" cm="1">
        <f t="array" ref="T242">MAX(IF((ContinuousStatsTable[GroupByKey]=ContinuousStatsTable[[#This Row],[GroupByKey]]),(ContinuousStatsTable[GroupByKey]=ContinuousStatsTable[[#This Row],[GroupByKey]])*ContinuousStatsTable[Average]))</f>
        <v>0.27905535859326402</v>
      </c>
      <c r="U242">
        <f>IF((ContinuousStatsTable[[#This Row],[RepsRequested]]&gt;1),ContinuousStatsTable[[#This Row],[HalfWidth]],ContinuousStatsTable[[#This Row],[BatchMeansHalfWidth]])</f>
        <v>4.2029769261323026E-3</v>
      </c>
    </row>
    <row r="243" spans="1:21" x14ac:dyDescent="0.2">
      <c r="A243" t="s">
        <v>67</v>
      </c>
      <c r="B243" t="s">
        <v>70</v>
      </c>
      <c r="C243">
        <v>11</v>
      </c>
      <c r="D243" t="s">
        <v>93</v>
      </c>
      <c r="E243" t="s">
        <v>96</v>
      </c>
      <c r="F243" t="s">
        <v>95</v>
      </c>
      <c r="G243">
        <v>0.25964912280701702</v>
      </c>
      <c r="H243">
        <v>1.7283413802748299E-2</v>
      </c>
      <c r="I243">
        <v>0</v>
      </c>
      <c r="J243">
        <v>1</v>
      </c>
      <c r="K243">
        <v>0</v>
      </c>
      <c r="L243">
        <v>0</v>
      </c>
      <c r="M243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243" cm="1">
        <f t="array" ref="N243">MAX(IF((ProjectInfoTable[ProjectName]=ContinuousStatsTable[[#This Row],[ProjectName]]),(ProjectInfoTable[ProjectName]=ContinuousStatsTable[[#This Row],[ProjectName]])*ProjectInfoTable[NumberOfReplications]))</f>
        <v>30</v>
      </c>
      <c r="O243" cm="1">
        <f t="array" ref="O243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243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243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243" cm="1">
        <f t="array" ref="S243">MIN(IF((ContinuousStatsTable[GroupByKey]=ContinuousStatsTable[[#This Row],[GroupByKey]]),(ContinuousStatsTable[GroupByKey]=ContinuousStatsTable[[#This Row],[GroupByKey]])*ContinuousStatsTable[Average]))</f>
        <v>0.233333333333333</v>
      </c>
      <c r="T243" cm="1">
        <f t="array" ref="T243">MAX(IF((ContinuousStatsTable[GroupByKey]=ContinuousStatsTable[[#This Row],[GroupByKey]]),(ContinuousStatsTable[GroupByKey]=ContinuousStatsTable[[#This Row],[GroupByKey]])*ContinuousStatsTable[Average]))</f>
        <v>0.27905535859326402</v>
      </c>
      <c r="U243">
        <f>IF((ContinuousStatsTable[[#This Row],[RepsRequested]]&gt;1),ContinuousStatsTable[[#This Row],[HalfWidth]],ContinuousStatsTable[[#This Row],[BatchMeansHalfWidth]])</f>
        <v>4.2029769261323026E-3</v>
      </c>
    </row>
    <row r="244" spans="1:21" x14ac:dyDescent="0.2">
      <c r="A244" t="s">
        <v>67</v>
      </c>
      <c r="B244" t="s">
        <v>70</v>
      </c>
      <c r="C244">
        <v>11</v>
      </c>
      <c r="D244" t="s">
        <v>93</v>
      </c>
      <c r="E244" t="s">
        <v>97</v>
      </c>
      <c r="F244" t="s">
        <v>95</v>
      </c>
      <c r="G244">
        <v>1</v>
      </c>
      <c r="H244">
        <v>2E+20</v>
      </c>
      <c r="I244">
        <v>1</v>
      </c>
      <c r="J244">
        <v>1</v>
      </c>
      <c r="K244">
        <v>1</v>
      </c>
      <c r="L244">
        <v>0</v>
      </c>
      <c r="M244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244" cm="1">
        <f t="array" ref="N244">MAX(IF((ProjectInfoTable[ProjectName]=ContinuousStatsTable[[#This Row],[ProjectName]]),(ProjectInfoTable[ProjectName]=ContinuousStatsTable[[#This Row],[ProjectName]])*ProjectInfoTable[NumberOfReplications]))</f>
        <v>30</v>
      </c>
      <c r="O244" cm="1">
        <f t="array" ref="O244">IFERROR(AVERAGE(IF((ContinuousStatsTable[GroupByKey]=ContinuousStatsTable[[#This Row],[GroupByKey]]),(ContinuousStatsTable[GroupByKey]=ContinuousStatsTable[[#This Row],[GroupByKey]])*ContinuousStatsTable[Average])),0)</f>
        <v>1</v>
      </c>
      <c r="P244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</v>
      </c>
      <c r="Q244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4" cm="1">
        <f t="array" ref="S244">MIN(IF((ContinuousStatsTable[GroupByKey]=ContinuousStatsTable[[#This Row],[GroupByKey]]),(ContinuousStatsTable[GroupByKey]=ContinuousStatsTable[[#This Row],[GroupByKey]])*ContinuousStatsTable[Average]))</f>
        <v>1</v>
      </c>
      <c r="T244" cm="1">
        <f t="array" ref="T244">MAX(IF((ContinuousStatsTable[GroupByKey]=ContinuousStatsTable[[#This Row],[GroupByKey]]),(ContinuousStatsTable[GroupByKey]=ContinuousStatsTable[[#This Row],[GroupByKey]])*ContinuousStatsTable[Average]))</f>
        <v>1</v>
      </c>
      <c r="U244">
        <f>IF((ContinuousStatsTable[[#This Row],[RepsRequested]]&gt;1),ContinuousStatsTable[[#This Row],[HalfWidth]],ContinuousStatsTable[[#This Row],[BatchMeansHalfWidth]])</f>
        <v>0</v>
      </c>
    </row>
    <row r="245" spans="1:21" x14ac:dyDescent="0.2">
      <c r="A245" t="s">
        <v>67</v>
      </c>
      <c r="B245" t="s">
        <v>70</v>
      </c>
      <c r="C245">
        <v>11</v>
      </c>
      <c r="D245" t="s">
        <v>71</v>
      </c>
      <c r="E245" t="s">
        <v>98</v>
      </c>
      <c r="F245" t="s">
        <v>73</v>
      </c>
      <c r="G245">
        <v>2.7557303278707201E-2</v>
      </c>
      <c r="H245">
        <v>2E+20</v>
      </c>
      <c r="I245">
        <v>0</v>
      </c>
      <c r="J245">
        <v>2</v>
      </c>
      <c r="K245">
        <v>0</v>
      </c>
      <c r="L245">
        <v>0</v>
      </c>
      <c r="M245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245" cm="1">
        <f t="array" ref="N245">MAX(IF((ProjectInfoTable[ProjectName]=ContinuousStatsTable[[#This Row],[ProjectName]]),(ProjectInfoTable[ProjectName]=ContinuousStatsTable[[#This Row],[ProjectName]])*ProjectInfoTable[NumberOfReplications]))</f>
        <v>30</v>
      </c>
      <c r="O245" cm="1">
        <f t="array" ref="O245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24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24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245" cm="1">
        <f t="array" ref="S245">MIN(IF((ContinuousStatsTable[GroupByKey]=ContinuousStatsTable[[#This Row],[GroupByKey]]),(ContinuousStatsTable[GroupByKey]=ContinuousStatsTable[[#This Row],[GroupByKey]])*ContinuousStatsTable[Average]))</f>
        <v>1.9664517785186901E-2</v>
      </c>
      <c r="T245" cm="1">
        <f t="array" ref="T245">MAX(IF((ContinuousStatsTable[GroupByKey]=ContinuousStatsTable[[#This Row],[GroupByKey]]),(ContinuousStatsTable[GroupByKey]=ContinuousStatsTable[[#This Row],[GroupByKey]])*ContinuousStatsTable[Average]))</f>
        <v>3.9738966906982302E-2</v>
      </c>
      <c r="U245">
        <f>IF((ContinuousStatsTable[[#This Row],[RepsRequested]]&gt;1),ContinuousStatsTable[[#This Row],[HalfWidth]],ContinuousStatsTable[[#This Row],[BatchMeansHalfWidth]])</f>
        <v>1.6627262085570247E-3</v>
      </c>
    </row>
    <row r="246" spans="1:21" x14ac:dyDescent="0.2">
      <c r="A246" t="s">
        <v>67</v>
      </c>
      <c r="B246" t="s">
        <v>70</v>
      </c>
      <c r="C246">
        <v>11</v>
      </c>
      <c r="D246" t="s">
        <v>99</v>
      </c>
      <c r="E246" t="s">
        <v>94</v>
      </c>
      <c r="F246" t="s">
        <v>95</v>
      </c>
      <c r="G246">
        <v>0.64453744943541502</v>
      </c>
      <c r="H246">
        <v>5.7474498419981403E-2</v>
      </c>
      <c r="I246">
        <v>0</v>
      </c>
      <c r="J246">
        <v>1</v>
      </c>
      <c r="K246">
        <v>0.5</v>
      </c>
      <c r="L246">
        <v>0</v>
      </c>
      <c r="M246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246" cm="1">
        <f t="array" ref="N246">MAX(IF((ProjectInfoTable[ProjectName]=ContinuousStatsTable[[#This Row],[ProjectName]]),(ProjectInfoTable[ProjectName]=ContinuousStatsTable[[#This Row],[ProjectName]])*ProjectInfoTable[NumberOfReplications]))</f>
        <v>30</v>
      </c>
      <c r="O246" cm="1">
        <f t="array" ref="O246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246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246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246" cm="1">
        <f t="array" ref="S246">MIN(IF((ContinuousStatsTable[GroupByKey]=ContinuousStatsTable[[#This Row],[GroupByKey]]),(ContinuousStatsTable[GroupByKey]=ContinuousStatsTable[[#This Row],[GroupByKey]])*ContinuousStatsTable[Average]))</f>
        <v>0.58256422876290004</v>
      </c>
      <c r="T246" cm="1">
        <f t="array" ref="T246">MAX(IF((ContinuousStatsTable[GroupByKey]=ContinuousStatsTable[[#This Row],[GroupByKey]]),(ContinuousStatsTable[GroupByKey]=ContinuousStatsTable[[#This Row],[GroupByKey]])*ContinuousStatsTable[Average]))</f>
        <v>0.68643238055161704</v>
      </c>
      <c r="U246">
        <f>IF((ContinuousStatsTable[[#This Row],[RepsRequested]]&gt;1),ContinuousStatsTable[[#This Row],[HalfWidth]],ContinuousStatsTable[[#This Row],[BatchMeansHalfWidth]])</f>
        <v>9.8490003000806757E-3</v>
      </c>
    </row>
    <row r="247" spans="1:21" x14ac:dyDescent="0.2">
      <c r="A247" t="s">
        <v>67</v>
      </c>
      <c r="B247" t="s">
        <v>70</v>
      </c>
      <c r="C247">
        <v>11</v>
      </c>
      <c r="D247" t="s">
        <v>99</v>
      </c>
      <c r="E247" t="s">
        <v>96</v>
      </c>
      <c r="F247" t="s">
        <v>95</v>
      </c>
      <c r="G247">
        <v>1.28907489887083</v>
      </c>
      <c r="H247">
        <v>0.114948996839963</v>
      </c>
      <c r="I247">
        <v>0</v>
      </c>
      <c r="J247">
        <v>2</v>
      </c>
      <c r="K247">
        <v>1</v>
      </c>
      <c r="L247">
        <v>0</v>
      </c>
      <c r="M247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247" cm="1">
        <f t="array" ref="N247">MAX(IF((ProjectInfoTable[ProjectName]=ContinuousStatsTable[[#This Row],[ProjectName]]),(ProjectInfoTable[ProjectName]=ContinuousStatsTable[[#This Row],[ProjectName]])*ProjectInfoTable[NumberOfReplications]))</f>
        <v>30</v>
      </c>
      <c r="O247" cm="1">
        <f t="array" ref="O247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247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247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247" cm="1">
        <f t="array" ref="S247">MIN(IF((ContinuousStatsTable[GroupByKey]=ContinuousStatsTable[[#This Row],[GroupByKey]]),(ContinuousStatsTable[GroupByKey]=ContinuousStatsTable[[#This Row],[GroupByKey]])*ContinuousStatsTable[Average]))</f>
        <v>1.1651284575258001</v>
      </c>
      <c r="T247" cm="1">
        <f t="array" ref="T247">MAX(IF((ContinuousStatsTable[GroupByKey]=ContinuousStatsTable[[#This Row],[GroupByKey]]),(ContinuousStatsTable[GroupByKey]=ContinuousStatsTable[[#This Row],[GroupByKey]])*ContinuousStatsTable[Average]))</f>
        <v>1.3728647611032301</v>
      </c>
      <c r="U247">
        <f>IF((ContinuousStatsTable[[#This Row],[RepsRequested]]&gt;1),ContinuousStatsTable[[#This Row],[HalfWidth]],ContinuousStatsTable[[#This Row],[BatchMeansHalfWidth]])</f>
        <v>1.9698000600160998E-2</v>
      </c>
    </row>
    <row r="248" spans="1:21" x14ac:dyDescent="0.2">
      <c r="A248" t="s">
        <v>67</v>
      </c>
      <c r="B248" t="s">
        <v>70</v>
      </c>
      <c r="C248">
        <v>11</v>
      </c>
      <c r="D248" t="s">
        <v>99</v>
      </c>
      <c r="E248" t="s">
        <v>97</v>
      </c>
      <c r="F248" t="s">
        <v>95</v>
      </c>
      <c r="G248">
        <v>2</v>
      </c>
      <c r="H248">
        <v>2E+20</v>
      </c>
      <c r="I248">
        <v>2</v>
      </c>
      <c r="J248">
        <v>2</v>
      </c>
      <c r="K248">
        <v>2</v>
      </c>
      <c r="L248">
        <v>0</v>
      </c>
      <c r="M248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248" cm="1">
        <f t="array" ref="N248">MAX(IF((ProjectInfoTable[ProjectName]=ContinuousStatsTable[[#This Row],[ProjectName]]),(ProjectInfoTable[ProjectName]=ContinuousStatsTable[[#This Row],[ProjectName]])*ProjectInfoTable[NumberOfReplications]))</f>
        <v>30</v>
      </c>
      <c r="O248" cm="1">
        <f t="array" ref="O248">IFERROR(AVERAGE(IF((ContinuousStatsTable[GroupByKey]=ContinuousStatsTable[[#This Row],[GroupByKey]]),(ContinuousStatsTable[GroupByKey]=ContinuousStatsTable[[#This Row],[GroupByKey]])*ContinuousStatsTable[Average])),0)</f>
        <v>2</v>
      </c>
      <c r="P248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0</v>
      </c>
      <c r="Q248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8" cm="1">
        <f t="array" ref="S248">MIN(IF((ContinuousStatsTable[GroupByKey]=ContinuousStatsTable[[#This Row],[GroupByKey]]),(ContinuousStatsTable[GroupByKey]=ContinuousStatsTable[[#This Row],[GroupByKey]])*ContinuousStatsTable[Average]))</f>
        <v>2</v>
      </c>
      <c r="T248" cm="1">
        <f t="array" ref="T248">MAX(IF((ContinuousStatsTable[GroupByKey]=ContinuousStatsTable[[#This Row],[GroupByKey]]),(ContinuousStatsTable[GroupByKey]=ContinuousStatsTable[[#This Row],[GroupByKey]])*ContinuousStatsTable[Average]))</f>
        <v>2</v>
      </c>
      <c r="U248">
        <f>IF((ContinuousStatsTable[[#This Row],[RepsRequested]]&gt;1),ContinuousStatsTable[[#This Row],[HalfWidth]],ContinuousStatsTable[[#This Row],[BatchMeansHalfWidth]])</f>
        <v>0</v>
      </c>
    </row>
    <row r="249" spans="1:21" x14ac:dyDescent="0.2">
      <c r="A249" t="s">
        <v>67</v>
      </c>
      <c r="B249" t="s">
        <v>70</v>
      </c>
      <c r="C249">
        <v>11</v>
      </c>
      <c r="D249" t="s">
        <v>74</v>
      </c>
      <c r="E249" t="s">
        <v>100</v>
      </c>
      <c r="F249" t="s">
        <v>76</v>
      </c>
      <c r="G249">
        <v>15.920877113457699</v>
      </c>
      <c r="H249">
        <v>1.15122234857964</v>
      </c>
      <c r="I249">
        <v>3</v>
      </c>
      <c r="J249">
        <v>34</v>
      </c>
      <c r="K249">
        <v>9</v>
      </c>
      <c r="L249">
        <v>0</v>
      </c>
      <c r="M249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49" cm="1">
        <f t="array" ref="N249">MAX(IF((ProjectInfoTable[ProjectName]=ContinuousStatsTable[[#This Row],[ProjectName]]),(ProjectInfoTable[ProjectName]=ContinuousStatsTable[[#This Row],[ProjectName]])*ProjectInfoTable[NumberOfReplications]))</f>
        <v>30</v>
      </c>
      <c r="O249" cm="1">
        <f t="array" ref="O249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249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249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249" cm="1">
        <f t="array" ref="S249">MIN(IF((ContinuousStatsTable[GroupByKey]=ContinuousStatsTable[[#This Row],[GroupByKey]]),(ContinuousStatsTable[GroupByKey]=ContinuousStatsTable[[#This Row],[GroupByKey]])*ContinuousStatsTable[Average]))</f>
        <v>14.4112589759764</v>
      </c>
      <c r="T249" cm="1">
        <f t="array" ref="T249">MAX(IF((ContinuousStatsTable[GroupByKey]=ContinuousStatsTable[[#This Row],[GroupByKey]]),(ContinuousStatsTable[GroupByKey]=ContinuousStatsTable[[#This Row],[GroupByKey]])*ContinuousStatsTable[Average]))</f>
        <v>16.972707717517899</v>
      </c>
      <c r="U249">
        <f>IF((ContinuousStatsTable[[#This Row],[RepsRequested]]&gt;1),ContinuousStatsTable[[#This Row],[HalfWidth]],ContinuousStatsTable[[#This Row],[BatchMeansHalfWidth]])</f>
        <v>0.25870181881670146</v>
      </c>
    </row>
    <row r="250" spans="1:21" x14ac:dyDescent="0.2">
      <c r="A250" t="s">
        <v>67</v>
      </c>
      <c r="B250" t="s">
        <v>70</v>
      </c>
      <c r="C250">
        <v>11</v>
      </c>
      <c r="D250" t="s">
        <v>82</v>
      </c>
      <c r="E250" t="s">
        <v>98</v>
      </c>
      <c r="F250" t="s">
        <v>73</v>
      </c>
      <c r="G250">
        <v>0.17409151039624299</v>
      </c>
      <c r="H250">
        <v>2E+20</v>
      </c>
      <c r="I250">
        <v>0</v>
      </c>
      <c r="J250">
        <v>4</v>
      </c>
      <c r="K250">
        <v>0</v>
      </c>
      <c r="L250">
        <v>0</v>
      </c>
      <c r="M250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250" cm="1">
        <f t="array" ref="N250">MAX(IF((ProjectInfoTable[ProjectName]=ContinuousStatsTable[[#This Row],[ProjectName]]),(ProjectInfoTable[ProjectName]=ContinuousStatsTable[[#This Row],[ProjectName]])*ProjectInfoTable[NumberOfReplications]))</f>
        <v>30</v>
      </c>
      <c r="O250" cm="1">
        <f t="array" ref="O250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250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250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250" cm="1">
        <f t="array" ref="S250">MIN(IF((ContinuousStatsTable[GroupByKey]=ContinuousStatsTable[[#This Row],[GroupByKey]]),(ContinuousStatsTable[GroupByKey]=ContinuousStatsTable[[#This Row],[GroupByKey]])*ContinuousStatsTable[Average]))</f>
        <v>7.4406608295854798E-2</v>
      </c>
      <c r="T250" cm="1">
        <f t="array" ref="T250">MAX(IF((ContinuousStatsTable[GroupByKey]=ContinuousStatsTable[[#This Row],[GroupByKey]]),(ContinuousStatsTable[GroupByKey]=ContinuousStatsTable[[#This Row],[GroupByKey]])*ContinuousStatsTable[Average]))</f>
        <v>0.29874320707386398</v>
      </c>
      <c r="U250">
        <f>IF((ContinuousStatsTable[[#This Row],[RepsRequested]]&gt;1),ContinuousStatsTable[[#This Row],[HalfWidth]],ContinuousStatsTable[[#This Row],[BatchMeansHalfWidth]])</f>
        <v>2.0058204231149332E-2</v>
      </c>
    </row>
    <row r="251" spans="1:21" x14ac:dyDescent="0.2">
      <c r="A251" t="s">
        <v>67</v>
      </c>
      <c r="B251" t="s">
        <v>70</v>
      </c>
      <c r="C251">
        <v>11</v>
      </c>
      <c r="D251" t="s">
        <v>101</v>
      </c>
      <c r="E251" t="s">
        <v>94</v>
      </c>
      <c r="F251" t="s">
        <v>95</v>
      </c>
      <c r="G251">
        <v>1.86951754385965E-3</v>
      </c>
      <c r="H251">
        <v>2.21718442738106E-4</v>
      </c>
      <c r="I251">
        <v>0</v>
      </c>
      <c r="J251">
        <v>3.7499999999999999E-2</v>
      </c>
      <c r="K251">
        <v>0</v>
      </c>
      <c r="L251">
        <v>0</v>
      </c>
      <c r="M251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251" cm="1">
        <f t="array" ref="N251">MAX(IF((ProjectInfoTable[ProjectName]=ContinuousStatsTable[[#This Row],[ProjectName]]),(ProjectInfoTable[ProjectName]=ContinuousStatsTable[[#This Row],[ProjectName]])*ProjectInfoTable[NumberOfReplications]))</f>
        <v>30</v>
      </c>
      <c r="O251" cm="1">
        <f t="array" ref="O251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251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251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251" cm="1">
        <f t="array" ref="S251">MIN(IF((ContinuousStatsTable[GroupByKey]=ContinuousStatsTable[[#This Row],[GroupByKey]]),(ContinuousStatsTable[GroupByKey]=ContinuousStatsTable[[#This Row],[GroupByKey]])*ContinuousStatsTable[Average]))</f>
        <v>1.70504385964912E-3</v>
      </c>
      <c r="T251" cm="1">
        <f t="array" ref="T251">MAX(IF((ContinuousStatsTable[GroupByKey]=ContinuousStatsTable[[#This Row],[GroupByKey]]),(ContinuousStatsTable[GroupByKey]=ContinuousStatsTable[[#This Row],[GroupByKey]])*ContinuousStatsTable[Average]))</f>
        <v>2.17031677925951E-3</v>
      </c>
      <c r="U251">
        <f>IF((ContinuousStatsTable[[#This Row],[RepsRequested]]&gt;1),ContinuousStatsTable[[#This Row],[HalfWidth]],ContinuousStatsTable[[#This Row],[BatchMeansHalfWidth]])</f>
        <v>4.4865881583116605E-5</v>
      </c>
    </row>
    <row r="252" spans="1:21" x14ac:dyDescent="0.2">
      <c r="A252" t="s">
        <v>67</v>
      </c>
      <c r="B252" t="s">
        <v>70</v>
      </c>
      <c r="C252">
        <v>11</v>
      </c>
      <c r="D252" t="s">
        <v>101</v>
      </c>
      <c r="E252" t="s">
        <v>96</v>
      </c>
      <c r="F252" t="s">
        <v>95</v>
      </c>
      <c r="G252">
        <v>0.14956140350877201</v>
      </c>
      <c r="H252">
        <v>1.77374754190485E-2</v>
      </c>
      <c r="I252">
        <v>0</v>
      </c>
      <c r="J252">
        <v>3</v>
      </c>
      <c r="K252">
        <v>0</v>
      </c>
      <c r="L252">
        <v>0</v>
      </c>
      <c r="M252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252" cm="1">
        <f t="array" ref="N252">MAX(IF((ProjectInfoTable[ProjectName]=ContinuousStatsTable[[#This Row],[ProjectName]]),(ProjectInfoTable[ProjectName]=ContinuousStatsTable[[#This Row],[ProjectName]])*ProjectInfoTable[NumberOfReplications]))</f>
        <v>30</v>
      </c>
      <c r="O252" cm="1">
        <f t="array" ref="O252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252" cm="1">
        <f t="array" ref="P252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252" cm="1">
        <f t="array" ref="Q252">MAX(IF((ProjectInfoTable[ProjectName]=ContinuousStatsTable[[#This Row],[ProjectName]]),(ProjectInfoTable[ProjectName]=ContinuousStatsTable[[#This Row],[ProjectName]])*ProjectInfoTable[ConfidenceInterval]))</f>
        <v>0.95</v>
      </c>
      <c r="R2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252" cm="1">
        <f t="array" ref="S252">MIN(IF((ContinuousStatsTable[GroupByKey]=ContinuousStatsTable[[#This Row],[GroupByKey]]),(ContinuousStatsTable[GroupByKey]=ContinuousStatsTable[[#This Row],[GroupByKey]])*ContinuousStatsTable[Average]))</f>
        <v>0.13640350877193</v>
      </c>
      <c r="T252" cm="1">
        <f t="array" ref="T252">MAX(IF((ContinuousStatsTable[GroupByKey]=ContinuousStatsTable[[#This Row],[GroupByKey]]),(ContinuousStatsTable[GroupByKey]=ContinuousStatsTable[[#This Row],[GroupByKey]])*ContinuousStatsTable[Average]))</f>
        <v>0.17362534234076099</v>
      </c>
      <c r="U252">
        <f>IF((ContinuousStatsTable[[#This Row],[RepsRequested]]&gt;1),ContinuousStatsTable[[#This Row],[HalfWidth]],ContinuousStatsTable[[#This Row],[BatchMeansHalfWidth]])</f>
        <v>3.5892705266493139E-3</v>
      </c>
    </row>
    <row r="253" spans="1:21" x14ac:dyDescent="0.2">
      <c r="A253" t="s">
        <v>67</v>
      </c>
      <c r="B253" t="s">
        <v>70</v>
      </c>
      <c r="C253">
        <v>11</v>
      </c>
      <c r="D253" t="s">
        <v>101</v>
      </c>
      <c r="E253" t="s">
        <v>97</v>
      </c>
      <c r="F253" t="s">
        <v>95</v>
      </c>
      <c r="G253">
        <v>80</v>
      </c>
      <c r="H253">
        <v>2E+20</v>
      </c>
      <c r="I253">
        <v>80</v>
      </c>
      <c r="J253">
        <v>80</v>
      </c>
      <c r="K253">
        <v>80</v>
      </c>
      <c r="L253">
        <v>0</v>
      </c>
      <c r="M253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253" cm="1">
        <f t="array" ref="N253">MAX(IF((ProjectInfoTable[ProjectName]=ContinuousStatsTable[[#This Row],[ProjectName]]),(ProjectInfoTable[ProjectName]=ContinuousStatsTable[[#This Row],[ProjectName]])*ProjectInfoTable[NumberOfReplications]))</f>
        <v>30</v>
      </c>
      <c r="O253" cm="1">
        <f t="array" ref="O253">IFERROR(AVERAGE(IF((ContinuousStatsTable[GroupByKey]=ContinuousStatsTable[[#This Row],[GroupByKey]]),(ContinuousStatsTable[GroupByKey]=ContinuousStatsTable[[#This Row],[GroupByKey]])*ContinuousStatsTable[Average])),0)</f>
        <v>80</v>
      </c>
      <c r="P253" cm="1">
        <f t="array" ref="P253">IFERROR(_xlfn.STDEV.S(IF((ContinuousStatsTable[GroupByKey]=ContinuousStatsTable[[#This Row],[GroupByKey]]),(ContinuousStatsTable[GroupByKey]=ContinuousStatsTable[[#This Row],[GroupByKey]])*ContinuousStatsTable[Average])),0)</f>
        <v>0</v>
      </c>
      <c r="Q253" cm="1">
        <f t="array" ref="Q253">MAX(IF((ProjectInfoTable[ProjectName]=ContinuousStatsTable[[#This Row],[ProjectName]]),(ProjectInfoTable[ProjectName]=ContinuousStatsTable[[#This Row],[ProjectName]])*ProjectInfoTable[ConfidenceInterval]))</f>
        <v>0.95</v>
      </c>
      <c r="R2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3" cm="1">
        <f t="array" ref="S253">MIN(IF((ContinuousStatsTable[GroupByKey]=ContinuousStatsTable[[#This Row],[GroupByKey]]),(ContinuousStatsTable[GroupByKey]=ContinuousStatsTable[[#This Row],[GroupByKey]])*ContinuousStatsTable[Average]))</f>
        <v>80</v>
      </c>
      <c r="T253" cm="1">
        <f t="array" ref="T253">MAX(IF((ContinuousStatsTable[GroupByKey]=ContinuousStatsTable[[#This Row],[GroupByKey]]),(ContinuousStatsTable[GroupByKey]=ContinuousStatsTable[[#This Row],[GroupByKey]])*ContinuousStatsTable[Average]))</f>
        <v>80</v>
      </c>
      <c r="U253">
        <f>IF((ContinuousStatsTable[[#This Row],[RepsRequested]]&gt;1),ContinuousStatsTable[[#This Row],[HalfWidth]],ContinuousStatsTable[[#This Row],[BatchMeansHalfWidth]])</f>
        <v>0</v>
      </c>
    </row>
    <row r="254" spans="1:21" x14ac:dyDescent="0.2">
      <c r="A254" t="s">
        <v>67</v>
      </c>
      <c r="B254" t="s">
        <v>70</v>
      </c>
      <c r="C254">
        <v>11</v>
      </c>
      <c r="D254" t="s">
        <v>86</v>
      </c>
      <c r="E254" t="s">
        <v>98</v>
      </c>
      <c r="F254" t="s">
        <v>73</v>
      </c>
      <c r="G254">
        <v>0</v>
      </c>
      <c r="H254">
        <v>2E+20</v>
      </c>
      <c r="I254">
        <v>0</v>
      </c>
      <c r="J254">
        <v>0</v>
      </c>
      <c r="K254">
        <v>0</v>
      </c>
      <c r="L254">
        <v>0</v>
      </c>
      <c r="M254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254" cm="1">
        <f t="array" ref="N254">MAX(IF((ProjectInfoTable[ProjectName]=ContinuousStatsTable[[#This Row],[ProjectName]]),(ProjectInfoTable[ProjectName]=ContinuousStatsTable[[#This Row],[ProjectName]])*ProjectInfoTable[NumberOfReplications]))</f>
        <v>30</v>
      </c>
      <c r="O254" cm="1">
        <f t="array" ref="O254">IFERROR(AVERAGE(IF((ContinuousStatsTable[GroupByKey]=ContinuousStatsTable[[#This Row],[GroupByKey]]),(ContinuousStatsTable[GroupByKey]=ContinuousStatsTable[[#This Row],[GroupByKey]])*ContinuousStatsTable[Average])),0)</f>
        <v>0</v>
      </c>
      <c r="P254" cm="1">
        <f t="array" ref="P254">IFERROR(_xlfn.STDEV.S(IF((ContinuousStatsTable[GroupByKey]=ContinuousStatsTable[[#This Row],[GroupByKey]]),(ContinuousStatsTable[GroupByKey]=ContinuousStatsTable[[#This Row],[GroupByKey]])*ContinuousStatsTable[Average])),0)</f>
        <v>0</v>
      </c>
      <c r="Q254" cm="1">
        <f t="array" ref="Q254">MAX(IF((ProjectInfoTable[ProjectName]=ContinuousStatsTable[[#This Row],[ProjectName]]),(ProjectInfoTable[ProjectName]=ContinuousStatsTable[[#This Row],[ProjectName]])*ProjectInfoTable[ConfidenceInterval]))</f>
        <v>0.95</v>
      </c>
      <c r="R2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4" cm="1">
        <f t="array" ref="S254">MIN(IF((ContinuousStatsTable[GroupByKey]=ContinuousStatsTable[[#This Row],[GroupByKey]]),(ContinuousStatsTable[GroupByKey]=ContinuousStatsTable[[#This Row],[GroupByKey]])*ContinuousStatsTable[Average]))</f>
        <v>0</v>
      </c>
      <c r="T254" cm="1">
        <f t="array" ref="T254">MAX(IF((ContinuousStatsTable[GroupByKey]=ContinuousStatsTable[[#This Row],[GroupByKey]]),(ContinuousStatsTable[GroupByKey]=ContinuousStatsTable[[#This Row],[GroupByKey]])*ContinuousStatsTable[Average]))</f>
        <v>0</v>
      </c>
      <c r="U254">
        <f>IF((ContinuousStatsTable[[#This Row],[RepsRequested]]&gt;1),ContinuousStatsTable[[#This Row],[HalfWidth]],ContinuousStatsTable[[#This Row],[BatchMeansHalfWidth]])</f>
        <v>0</v>
      </c>
    </row>
    <row r="255" spans="1:21" x14ac:dyDescent="0.2">
      <c r="A255" t="s">
        <v>67</v>
      </c>
      <c r="B255" t="s">
        <v>70</v>
      </c>
      <c r="C255">
        <v>11</v>
      </c>
      <c r="D255" t="s">
        <v>87</v>
      </c>
      <c r="E255" t="s">
        <v>98</v>
      </c>
      <c r="F255" t="s">
        <v>73</v>
      </c>
      <c r="G255">
        <v>0</v>
      </c>
      <c r="H255">
        <v>2E+20</v>
      </c>
      <c r="I255">
        <v>0</v>
      </c>
      <c r="J255">
        <v>0</v>
      </c>
      <c r="K255">
        <v>0</v>
      </c>
      <c r="L255">
        <v>0</v>
      </c>
      <c r="M255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255" cm="1">
        <f t="array" ref="N255">MAX(IF((ProjectInfoTable[ProjectName]=ContinuousStatsTable[[#This Row],[ProjectName]]),(ProjectInfoTable[ProjectName]=ContinuousStatsTable[[#This Row],[ProjectName]])*ProjectInfoTable[NumberOfReplications]))</f>
        <v>30</v>
      </c>
      <c r="O255" cm="1">
        <f t="array" ref="O255">IFERROR(AVERAGE(IF((ContinuousStatsTable[GroupByKey]=ContinuousStatsTable[[#This Row],[GroupByKey]]),(ContinuousStatsTable[GroupByKey]=ContinuousStatsTable[[#This Row],[GroupByKey]])*ContinuousStatsTable[Average])),0)</f>
        <v>0</v>
      </c>
      <c r="P255" cm="1">
        <f t="array" ref="P255">IFERROR(_xlfn.STDEV.S(IF((ContinuousStatsTable[GroupByKey]=ContinuousStatsTable[[#This Row],[GroupByKey]]),(ContinuousStatsTable[GroupByKey]=ContinuousStatsTable[[#This Row],[GroupByKey]])*ContinuousStatsTable[Average])),0)</f>
        <v>0</v>
      </c>
      <c r="Q255" cm="1">
        <f t="array" ref="Q255">MAX(IF((ProjectInfoTable[ProjectName]=ContinuousStatsTable[[#This Row],[ProjectName]]),(ProjectInfoTable[ProjectName]=ContinuousStatsTable[[#This Row],[ProjectName]])*ProjectInfoTable[ConfidenceInterval]))</f>
        <v>0.95</v>
      </c>
      <c r="R2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5" cm="1">
        <f t="array" ref="S255">MIN(IF((ContinuousStatsTable[GroupByKey]=ContinuousStatsTable[[#This Row],[GroupByKey]]),(ContinuousStatsTable[GroupByKey]=ContinuousStatsTable[[#This Row],[GroupByKey]])*ContinuousStatsTable[Average]))</f>
        <v>0</v>
      </c>
      <c r="T255" cm="1">
        <f t="array" ref="T255">MAX(IF((ContinuousStatsTable[GroupByKey]=ContinuousStatsTable[[#This Row],[GroupByKey]]),(ContinuousStatsTable[GroupByKey]=ContinuousStatsTable[[#This Row],[GroupByKey]])*ContinuousStatsTable[Average]))</f>
        <v>0</v>
      </c>
      <c r="U255">
        <f>IF((ContinuousStatsTable[[#This Row],[RepsRequested]]&gt;1),ContinuousStatsTable[[#This Row],[HalfWidth]],ContinuousStatsTable[[#This Row],[BatchMeansHalfWidth]])</f>
        <v>0</v>
      </c>
    </row>
    <row r="256" spans="1:21" x14ac:dyDescent="0.2">
      <c r="A256" t="s">
        <v>67</v>
      </c>
      <c r="B256" t="s">
        <v>70</v>
      </c>
      <c r="C256">
        <v>11</v>
      </c>
      <c r="D256" t="s">
        <v>88</v>
      </c>
      <c r="E256" t="s">
        <v>98</v>
      </c>
      <c r="F256" t="s">
        <v>73</v>
      </c>
      <c r="G256">
        <v>1.5109806998200099</v>
      </c>
      <c r="H256">
        <v>7.2631265955431804E-2</v>
      </c>
      <c r="I256">
        <v>0</v>
      </c>
      <c r="J256">
        <v>4</v>
      </c>
      <c r="K256">
        <v>3</v>
      </c>
      <c r="L256">
        <v>0</v>
      </c>
      <c r="M256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256" cm="1">
        <f t="array" ref="N256">MAX(IF((ProjectInfoTable[ProjectName]=ContinuousStatsTable[[#This Row],[ProjectName]]),(ProjectInfoTable[ProjectName]=ContinuousStatsTable[[#This Row],[ProjectName]])*ProjectInfoTable[NumberOfReplications]))</f>
        <v>30</v>
      </c>
      <c r="O256" cm="1">
        <f t="array" ref="O256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256" cm="1">
        <f t="array" ref="P256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256" cm="1">
        <f t="array" ref="Q256">MAX(IF((ProjectInfoTable[ProjectName]=ContinuousStatsTable[[#This Row],[ProjectName]]),(ProjectInfoTable[ProjectName]=ContinuousStatsTable[[#This Row],[ProjectName]])*ProjectInfoTable[ConfidenceInterval]))</f>
        <v>0.95</v>
      </c>
      <c r="R2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256" cm="1">
        <f t="array" ref="S256">MIN(IF((ContinuousStatsTable[GroupByKey]=ContinuousStatsTable[[#This Row],[GroupByKey]]),(ContinuousStatsTable[GroupByKey]=ContinuousStatsTable[[#This Row],[GroupByKey]])*ContinuousStatsTable[Average]))</f>
        <v>1.4062336911317099</v>
      </c>
      <c r="T256" cm="1">
        <f t="array" ref="T256">MAX(IF((ContinuousStatsTable[GroupByKey]=ContinuousStatsTable[[#This Row],[GroupByKey]]),(ContinuousStatsTable[GroupByKey]=ContinuousStatsTable[[#This Row],[GroupByKey]])*ContinuousStatsTable[Average]))</f>
        <v>1.5889769030929</v>
      </c>
      <c r="U256">
        <f>IF((ContinuousStatsTable[[#This Row],[RepsRequested]]&gt;1),ContinuousStatsTable[[#This Row],[HalfWidth]],ContinuousStatsTable[[#This Row],[BatchMeansHalfWidth]])</f>
        <v>1.602866983772662E-2</v>
      </c>
    </row>
    <row r="257" spans="1:21" x14ac:dyDescent="0.2">
      <c r="A257" t="s">
        <v>67</v>
      </c>
      <c r="B257" t="s">
        <v>70</v>
      </c>
      <c r="C257">
        <v>11</v>
      </c>
      <c r="D257" t="s">
        <v>102</v>
      </c>
      <c r="E257" t="s">
        <v>94</v>
      </c>
      <c r="F257" t="s">
        <v>95</v>
      </c>
      <c r="G257">
        <v>5.3947368421052603E-3</v>
      </c>
      <c r="H257">
        <v>6.6799570802777996E-4</v>
      </c>
      <c r="I257">
        <v>0</v>
      </c>
      <c r="J257">
        <v>0.15</v>
      </c>
      <c r="K257">
        <v>0</v>
      </c>
      <c r="L257">
        <v>0</v>
      </c>
      <c r="M257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257" cm="1">
        <f t="array" ref="N257">MAX(IF((ProjectInfoTable[ProjectName]=ContinuousStatsTable[[#This Row],[ProjectName]]),(ProjectInfoTable[ProjectName]=ContinuousStatsTable[[#This Row],[ProjectName]])*ProjectInfoTable[NumberOfReplications]))</f>
        <v>30</v>
      </c>
      <c r="O257" cm="1">
        <f t="array" ref="O257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257" cm="1">
        <f t="array" ref="P257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257" cm="1">
        <f t="array" ref="Q257">MAX(IF((ProjectInfoTable[ProjectName]=ContinuousStatsTable[[#This Row],[ProjectName]]),(ProjectInfoTable[ProjectName]=ContinuousStatsTable[[#This Row],[ProjectName]])*ProjectInfoTable[ConfidenceInterval]))</f>
        <v>0.95</v>
      </c>
      <c r="R2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257" cm="1">
        <f t="array" ref="S257">MIN(IF((ContinuousStatsTable[GroupByKey]=ContinuousStatsTable[[#This Row],[GroupByKey]]),(ContinuousStatsTable[GroupByKey]=ContinuousStatsTable[[#This Row],[GroupByKey]])*ContinuousStatsTable[Average]))</f>
        <v>4.4956140350877203E-3</v>
      </c>
      <c r="T257" cm="1">
        <f t="array" ref="T257">MAX(IF((ContinuousStatsTable[GroupByKey]=ContinuousStatsTable[[#This Row],[GroupByKey]]),(ContinuousStatsTable[GroupByKey]=ContinuousStatsTable[[#This Row],[GroupByKey]])*ContinuousStatsTable[Average]))</f>
        <v>5.5482456140350904E-3</v>
      </c>
      <c r="U257">
        <f>IF((ContinuousStatsTable[[#This Row],[RepsRequested]]&gt;1),ContinuousStatsTable[[#This Row],[HalfWidth]],ContinuousStatsTable[[#This Row],[BatchMeansHalfWidth]])</f>
        <v>1.0144486472958472E-4</v>
      </c>
    </row>
    <row r="258" spans="1:21" x14ac:dyDescent="0.2">
      <c r="A258" t="s">
        <v>67</v>
      </c>
      <c r="B258" t="s">
        <v>70</v>
      </c>
      <c r="C258">
        <v>11</v>
      </c>
      <c r="D258" t="s">
        <v>102</v>
      </c>
      <c r="E258" t="s">
        <v>96</v>
      </c>
      <c r="F258" t="s">
        <v>95</v>
      </c>
      <c r="G258">
        <v>0.107894736842105</v>
      </c>
      <c r="H258">
        <v>1.3359914160555601E-2</v>
      </c>
      <c r="I258">
        <v>0</v>
      </c>
      <c r="J258">
        <v>3</v>
      </c>
      <c r="K258">
        <v>0</v>
      </c>
      <c r="L258">
        <v>0</v>
      </c>
      <c r="M258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258" cm="1">
        <f t="array" ref="N258">MAX(IF((ProjectInfoTable[ProjectName]=ContinuousStatsTable[[#This Row],[ProjectName]]),(ProjectInfoTable[ProjectName]=ContinuousStatsTable[[#This Row],[ProjectName]])*ProjectInfoTable[NumberOfReplications]))</f>
        <v>30</v>
      </c>
      <c r="O258" cm="1">
        <f t="array" ref="O258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258" cm="1">
        <f t="array" ref="P258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258" cm="1">
        <f t="array" ref="Q258">MAX(IF((ProjectInfoTable[ProjectName]=ContinuousStatsTable[[#This Row],[ProjectName]]),(ProjectInfoTable[ProjectName]=ContinuousStatsTable[[#This Row],[ProjectName]])*ProjectInfoTable[ConfidenceInterval]))</f>
        <v>0.95</v>
      </c>
      <c r="R2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258" cm="1">
        <f t="array" ref="S258">MIN(IF((ContinuousStatsTable[GroupByKey]=ContinuousStatsTable[[#This Row],[GroupByKey]]),(ContinuousStatsTable[GroupByKey]=ContinuousStatsTable[[#This Row],[GroupByKey]])*ContinuousStatsTable[Average]))</f>
        <v>8.9912280701754305E-2</v>
      </c>
      <c r="T258" cm="1">
        <f t="array" ref="T258">MAX(IF((ContinuousStatsTable[GroupByKey]=ContinuousStatsTable[[#This Row],[GroupByKey]]),(ContinuousStatsTable[GroupByKey]=ContinuousStatsTable[[#This Row],[GroupByKey]])*ContinuousStatsTable[Average]))</f>
        <v>0.110964912280702</v>
      </c>
      <c r="U258">
        <f>IF((ContinuousStatsTable[[#This Row],[RepsRequested]]&gt;1),ContinuousStatsTable[[#This Row],[HalfWidth]],ContinuousStatsTable[[#This Row],[BatchMeansHalfWidth]])</f>
        <v>2.0288972945916956E-3</v>
      </c>
    </row>
    <row r="259" spans="1:21" x14ac:dyDescent="0.2">
      <c r="A259" t="s">
        <v>67</v>
      </c>
      <c r="B259" t="s">
        <v>70</v>
      </c>
      <c r="C259">
        <v>11</v>
      </c>
      <c r="D259" t="s">
        <v>102</v>
      </c>
      <c r="E259" t="s">
        <v>97</v>
      </c>
      <c r="F259" t="s">
        <v>95</v>
      </c>
      <c r="G259">
        <v>20</v>
      </c>
      <c r="H259">
        <v>2E+20</v>
      </c>
      <c r="I259">
        <v>20</v>
      </c>
      <c r="J259">
        <v>20</v>
      </c>
      <c r="K259">
        <v>20</v>
      </c>
      <c r="L259">
        <v>0</v>
      </c>
      <c r="M259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259" cm="1">
        <f t="array" ref="N259">MAX(IF((ProjectInfoTable[ProjectName]=ContinuousStatsTable[[#This Row],[ProjectName]]),(ProjectInfoTable[ProjectName]=ContinuousStatsTable[[#This Row],[ProjectName]])*ProjectInfoTable[NumberOfReplications]))</f>
        <v>30</v>
      </c>
      <c r="O259" cm="1">
        <f t="array" ref="O259">IFERROR(AVERAGE(IF((ContinuousStatsTable[GroupByKey]=ContinuousStatsTable[[#This Row],[GroupByKey]]),(ContinuousStatsTable[GroupByKey]=ContinuousStatsTable[[#This Row],[GroupByKey]])*ContinuousStatsTable[Average])),0)</f>
        <v>20</v>
      </c>
      <c r="P259" cm="1">
        <f t="array" ref="P259">IFERROR(_xlfn.STDEV.S(IF((ContinuousStatsTable[GroupByKey]=ContinuousStatsTable[[#This Row],[GroupByKey]]),(ContinuousStatsTable[GroupByKey]=ContinuousStatsTable[[#This Row],[GroupByKey]])*ContinuousStatsTable[Average])),0)</f>
        <v>0</v>
      </c>
      <c r="Q259" cm="1">
        <f t="array" ref="Q259">MAX(IF((ProjectInfoTable[ProjectName]=ContinuousStatsTable[[#This Row],[ProjectName]]),(ProjectInfoTable[ProjectName]=ContinuousStatsTable[[#This Row],[ProjectName]])*ProjectInfoTable[ConfidenceInterval]))</f>
        <v>0.95</v>
      </c>
      <c r="R2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9" cm="1">
        <f t="array" ref="S259">MIN(IF((ContinuousStatsTable[GroupByKey]=ContinuousStatsTable[[#This Row],[GroupByKey]]),(ContinuousStatsTable[GroupByKey]=ContinuousStatsTable[[#This Row],[GroupByKey]])*ContinuousStatsTable[Average]))</f>
        <v>20</v>
      </c>
      <c r="T259" cm="1">
        <f t="array" ref="T259">MAX(IF((ContinuousStatsTable[GroupByKey]=ContinuousStatsTable[[#This Row],[GroupByKey]]),(ContinuousStatsTable[GroupByKey]=ContinuousStatsTable[[#This Row],[GroupByKey]])*ContinuousStatsTable[Average]))</f>
        <v>20</v>
      </c>
      <c r="U259">
        <f>IF((ContinuousStatsTable[[#This Row],[RepsRequested]]&gt;1),ContinuousStatsTable[[#This Row],[HalfWidth]],ContinuousStatsTable[[#This Row],[BatchMeansHalfWidth]])</f>
        <v>0</v>
      </c>
    </row>
    <row r="260" spans="1:21" x14ac:dyDescent="0.2">
      <c r="A260" t="s">
        <v>67</v>
      </c>
      <c r="B260" t="s">
        <v>70</v>
      </c>
      <c r="C260">
        <v>11</v>
      </c>
      <c r="D260" t="s">
        <v>90</v>
      </c>
      <c r="E260" t="s">
        <v>98</v>
      </c>
      <c r="F260" t="s">
        <v>73</v>
      </c>
      <c r="G260">
        <v>0</v>
      </c>
      <c r="H260">
        <v>2E+20</v>
      </c>
      <c r="I260">
        <v>0</v>
      </c>
      <c r="J260">
        <v>0</v>
      </c>
      <c r="K260">
        <v>0</v>
      </c>
      <c r="L260">
        <v>0</v>
      </c>
      <c r="M260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260" cm="1">
        <f t="array" ref="N260">MAX(IF((ProjectInfoTable[ProjectName]=ContinuousStatsTable[[#This Row],[ProjectName]]),(ProjectInfoTable[ProjectName]=ContinuousStatsTable[[#This Row],[ProjectName]])*ProjectInfoTable[NumberOfReplications]))</f>
        <v>30</v>
      </c>
      <c r="O260" cm="1">
        <f t="array" ref="O260">IFERROR(AVERAGE(IF((ContinuousStatsTable[GroupByKey]=ContinuousStatsTable[[#This Row],[GroupByKey]]),(ContinuousStatsTable[GroupByKey]=ContinuousStatsTable[[#This Row],[GroupByKey]])*ContinuousStatsTable[Average])),0)</f>
        <v>0</v>
      </c>
      <c r="P260" cm="1">
        <f t="array" ref="P260">IFERROR(_xlfn.STDEV.S(IF((ContinuousStatsTable[GroupByKey]=ContinuousStatsTable[[#This Row],[GroupByKey]]),(ContinuousStatsTable[GroupByKey]=ContinuousStatsTable[[#This Row],[GroupByKey]])*ContinuousStatsTable[Average])),0)</f>
        <v>0</v>
      </c>
      <c r="Q260" cm="1">
        <f t="array" ref="Q260">MAX(IF((ProjectInfoTable[ProjectName]=ContinuousStatsTable[[#This Row],[ProjectName]]),(ProjectInfoTable[ProjectName]=ContinuousStatsTable[[#This Row],[ProjectName]])*ProjectInfoTable[ConfidenceInterval]))</f>
        <v>0.95</v>
      </c>
      <c r="R2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0" cm="1">
        <f t="array" ref="S260">MIN(IF((ContinuousStatsTable[GroupByKey]=ContinuousStatsTable[[#This Row],[GroupByKey]]),(ContinuousStatsTable[GroupByKey]=ContinuousStatsTable[[#This Row],[GroupByKey]])*ContinuousStatsTable[Average]))</f>
        <v>0</v>
      </c>
      <c r="T260" cm="1">
        <f t="array" ref="T260">MAX(IF((ContinuousStatsTable[GroupByKey]=ContinuousStatsTable[[#This Row],[GroupByKey]]),(ContinuousStatsTable[GroupByKey]=ContinuousStatsTable[[#This Row],[GroupByKey]])*ContinuousStatsTable[Average]))</f>
        <v>0</v>
      </c>
      <c r="U260">
        <f>IF((ContinuousStatsTable[[#This Row],[RepsRequested]]&gt;1),ContinuousStatsTable[[#This Row],[HalfWidth]],ContinuousStatsTable[[#This Row],[BatchMeansHalfWidth]])</f>
        <v>0</v>
      </c>
    </row>
    <row r="261" spans="1:21" x14ac:dyDescent="0.2">
      <c r="A261" t="s">
        <v>67</v>
      </c>
      <c r="B261" t="s">
        <v>70</v>
      </c>
      <c r="C261">
        <v>11</v>
      </c>
      <c r="D261" t="s">
        <v>91</v>
      </c>
      <c r="E261" t="s">
        <v>98</v>
      </c>
      <c r="F261" t="s">
        <v>73</v>
      </c>
      <c r="G261">
        <v>0</v>
      </c>
      <c r="H261">
        <v>2E+20</v>
      </c>
      <c r="I261">
        <v>0</v>
      </c>
      <c r="J261">
        <v>0</v>
      </c>
      <c r="K261">
        <v>0</v>
      </c>
      <c r="L261">
        <v>0</v>
      </c>
      <c r="M261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261" cm="1">
        <f t="array" ref="N261">MAX(IF((ProjectInfoTable[ProjectName]=ContinuousStatsTable[[#This Row],[ProjectName]]),(ProjectInfoTable[ProjectName]=ContinuousStatsTable[[#This Row],[ProjectName]])*ProjectInfoTable[NumberOfReplications]))</f>
        <v>30</v>
      </c>
      <c r="O261" cm="1">
        <f t="array" ref="O261">IFERROR(AVERAGE(IF((ContinuousStatsTable[GroupByKey]=ContinuousStatsTable[[#This Row],[GroupByKey]]),(ContinuousStatsTable[GroupByKey]=ContinuousStatsTable[[#This Row],[GroupByKey]])*ContinuousStatsTable[Average])),0)</f>
        <v>0</v>
      </c>
      <c r="P261" cm="1">
        <f t="array" ref="P261">IFERROR(_xlfn.STDEV.S(IF((ContinuousStatsTable[GroupByKey]=ContinuousStatsTable[[#This Row],[GroupByKey]]),(ContinuousStatsTable[GroupByKey]=ContinuousStatsTable[[#This Row],[GroupByKey]])*ContinuousStatsTable[Average])),0)</f>
        <v>0</v>
      </c>
      <c r="Q261" cm="1">
        <f t="array" ref="Q261">MAX(IF((ProjectInfoTable[ProjectName]=ContinuousStatsTable[[#This Row],[ProjectName]]),(ProjectInfoTable[ProjectName]=ContinuousStatsTable[[#This Row],[ProjectName]])*ProjectInfoTable[ConfidenceInterval]))</f>
        <v>0.95</v>
      </c>
      <c r="R2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1" cm="1">
        <f t="array" ref="S261">MIN(IF((ContinuousStatsTable[GroupByKey]=ContinuousStatsTable[[#This Row],[GroupByKey]]),(ContinuousStatsTable[GroupByKey]=ContinuousStatsTable[[#This Row],[GroupByKey]])*ContinuousStatsTable[Average]))</f>
        <v>0</v>
      </c>
      <c r="T261" cm="1">
        <f t="array" ref="T261">MAX(IF((ContinuousStatsTable[GroupByKey]=ContinuousStatsTable[[#This Row],[GroupByKey]]),(ContinuousStatsTable[GroupByKey]=ContinuousStatsTable[[#This Row],[GroupByKey]])*ContinuousStatsTable[Average]))</f>
        <v>0</v>
      </c>
      <c r="U261">
        <f>IF((ContinuousStatsTable[[#This Row],[RepsRequested]]&gt;1),ContinuousStatsTable[[#This Row],[HalfWidth]],ContinuousStatsTable[[#This Row],[BatchMeansHalfWidth]])</f>
        <v>0</v>
      </c>
    </row>
    <row r="262" spans="1:21" x14ac:dyDescent="0.2">
      <c r="A262" t="s">
        <v>67</v>
      </c>
      <c r="B262" t="s">
        <v>70</v>
      </c>
      <c r="C262">
        <v>11</v>
      </c>
      <c r="D262" t="s">
        <v>92</v>
      </c>
      <c r="E262" t="s">
        <v>98</v>
      </c>
      <c r="F262" t="s">
        <v>73</v>
      </c>
      <c r="G262">
        <v>0</v>
      </c>
      <c r="H262">
        <v>2E+20</v>
      </c>
      <c r="I262">
        <v>0</v>
      </c>
      <c r="J262">
        <v>0</v>
      </c>
      <c r="K262">
        <v>0</v>
      </c>
      <c r="L262">
        <v>0</v>
      </c>
      <c r="M262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262" cm="1">
        <f t="array" ref="N262">MAX(IF((ProjectInfoTable[ProjectName]=ContinuousStatsTable[[#This Row],[ProjectName]]),(ProjectInfoTable[ProjectName]=ContinuousStatsTable[[#This Row],[ProjectName]])*ProjectInfoTable[NumberOfReplications]))</f>
        <v>30</v>
      </c>
      <c r="O262" cm="1">
        <f t="array" ref="O262">IFERROR(AVERAGE(IF((ContinuousStatsTable[GroupByKey]=ContinuousStatsTable[[#This Row],[GroupByKey]]),(ContinuousStatsTable[GroupByKey]=ContinuousStatsTable[[#This Row],[GroupByKey]])*ContinuousStatsTable[Average])),0)</f>
        <v>0</v>
      </c>
      <c r="P262" cm="1">
        <f t="array" ref="P262">IFERROR(_xlfn.STDEV.S(IF((ContinuousStatsTable[GroupByKey]=ContinuousStatsTable[[#This Row],[GroupByKey]]),(ContinuousStatsTable[GroupByKey]=ContinuousStatsTable[[#This Row],[GroupByKey]])*ContinuousStatsTable[Average])),0)</f>
        <v>0</v>
      </c>
      <c r="Q262" cm="1">
        <f t="array" ref="Q262">MAX(IF((ProjectInfoTable[ProjectName]=ContinuousStatsTable[[#This Row],[ProjectName]]),(ProjectInfoTable[ProjectName]=ContinuousStatsTable[[#This Row],[ProjectName]])*ProjectInfoTable[ConfidenceInterval]))</f>
        <v>0.95</v>
      </c>
      <c r="R2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2" cm="1">
        <f t="array" ref="S262">MIN(IF((ContinuousStatsTable[GroupByKey]=ContinuousStatsTable[[#This Row],[GroupByKey]]),(ContinuousStatsTable[GroupByKey]=ContinuousStatsTable[[#This Row],[GroupByKey]])*ContinuousStatsTable[Average]))</f>
        <v>0</v>
      </c>
      <c r="T262" cm="1">
        <f t="array" ref="T262">MAX(IF((ContinuousStatsTable[GroupByKey]=ContinuousStatsTable[[#This Row],[GroupByKey]]),(ContinuousStatsTable[GroupByKey]=ContinuousStatsTable[[#This Row],[GroupByKey]])*ContinuousStatsTable[Average]))</f>
        <v>0</v>
      </c>
      <c r="U262">
        <f>IF((ContinuousStatsTable[[#This Row],[RepsRequested]]&gt;1),ContinuousStatsTable[[#This Row],[HalfWidth]],ContinuousStatsTable[[#This Row],[BatchMeansHalfWidth]])</f>
        <v>0</v>
      </c>
    </row>
    <row r="263" spans="1:21" x14ac:dyDescent="0.2">
      <c r="A263" t="s">
        <v>67</v>
      </c>
      <c r="B263" t="s">
        <v>70</v>
      </c>
      <c r="C263">
        <v>11</v>
      </c>
      <c r="D263" t="s">
        <v>103</v>
      </c>
      <c r="E263" t="s">
        <v>94</v>
      </c>
      <c r="F263" t="s">
        <v>95</v>
      </c>
      <c r="G263">
        <v>8.6936295587702203E-2</v>
      </c>
      <c r="H263">
        <v>2E+20</v>
      </c>
      <c r="I263">
        <v>0</v>
      </c>
      <c r="J263">
        <v>0.66666666666666696</v>
      </c>
      <c r="K263">
        <v>0</v>
      </c>
      <c r="L263">
        <v>0</v>
      </c>
      <c r="M263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263" cm="1">
        <f t="array" ref="N263">MAX(IF((ProjectInfoTable[ProjectName]=ContinuousStatsTable[[#This Row],[ProjectName]]),(ProjectInfoTable[ProjectName]=ContinuousStatsTable[[#This Row],[ProjectName]])*ProjectInfoTable[NumberOfReplications]))</f>
        <v>30</v>
      </c>
      <c r="O263" cm="1">
        <f t="array" ref="O263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263" cm="1">
        <f t="array" ref="P263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263" cm="1">
        <f t="array" ref="Q263">MAX(IF((ProjectInfoTable[ProjectName]=ContinuousStatsTable[[#This Row],[ProjectName]]),(ProjectInfoTable[ProjectName]=ContinuousStatsTable[[#This Row],[ProjectName]])*ProjectInfoTable[ConfidenceInterval]))</f>
        <v>0.95</v>
      </c>
      <c r="R2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263" cm="1">
        <f t="array" ref="S263">MIN(IF((ContinuousStatsTable[GroupByKey]=ContinuousStatsTable[[#This Row],[GroupByKey]]),(ContinuousStatsTable[GroupByKey]=ContinuousStatsTable[[#This Row],[GroupByKey]])*ContinuousStatsTable[Average]))</f>
        <v>7.7176470357846902E-2</v>
      </c>
      <c r="T263" cm="1">
        <f t="array" ref="T263">MAX(IF((ContinuousStatsTable[GroupByKey]=ContinuousStatsTable[[#This Row],[GroupByKey]]),(ContinuousStatsTable[GroupByKey]=ContinuousStatsTable[[#This Row],[GroupByKey]])*ContinuousStatsTable[Average]))</f>
        <v>9.2534326714405896E-2</v>
      </c>
      <c r="U263">
        <f>IF((ContinuousStatsTable[[#This Row],[RepsRequested]]&gt;1),ContinuousStatsTable[[#This Row],[HalfWidth]],ContinuousStatsTable[[#This Row],[BatchMeansHalfWidth]])</f>
        <v>1.3238327186697659E-3</v>
      </c>
    </row>
    <row r="264" spans="1:21" x14ac:dyDescent="0.2">
      <c r="A264" t="s">
        <v>67</v>
      </c>
      <c r="B264" t="s">
        <v>70</v>
      </c>
      <c r="C264">
        <v>11</v>
      </c>
      <c r="D264" t="s">
        <v>103</v>
      </c>
      <c r="E264" t="s">
        <v>96</v>
      </c>
      <c r="F264" t="s">
        <v>95</v>
      </c>
      <c r="G264">
        <v>0.26080888676310698</v>
      </c>
      <c r="H264">
        <v>2E+20</v>
      </c>
      <c r="I264">
        <v>0</v>
      </c>
      <c r="J264">
        <v>2</v>
      </c>
      <c r="K264">
        <v>0</v>
      </c>
      <c r="L264">
        <v>0</v>
      </c>
      <c r="M264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264" cm="1">
        <f t="array" ref="N264">MAX(IF((ProjectInfoTable[ProjectName]=ContinuousStatsTable[[#This Row],[ProjectName]]),(ProjectInfoTable[ProjectName]=ContinuousStatsTable[[#This Row],[ProjectName]])*ProjectInfoTable[NumberOfReplications]))</f>
        <v>30</v>
      </c>
      <c r="O264" cm="1">
        <f t="array" ref="O264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264" cm="1">
        <f t="array" ref="P264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264" cm="1">
        <f t="array" ref="Q264">MAX(IF((ProjectInfoTable[ProjectName]=ContinuousStatsTable[[#This Row],[ProjectName]]),(ProjectInfoTable[ProjectName]=ContinuousStatsTable[[#This Row],[ProjectName]])*ProjectInfoTable[ConfidenceInterval]))</f>
        <v>0.95</v>
      </c>
      <c r="R2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264" cm="1">
        <f t="array" ref="S264">MIN(IF((ContinuousStatsTable[GroupByKey]=ContinuousStatsTable[[#This Row],[GroupByKey]]),(ContinuousStatsTable[GroupByKey]=ContinuousStatsTable[[#This Row],[GroupByKey]])*ContinuousStatsTable[Average]))</f>
        <v>0.231529411073541</v>
      </c>
      <c r="T264" cm="1">
        <f t="array" ref="T264">MAX(IF((ContinuousStatsTable[GroupByKey]=ContinuousStatsTable[[#This Row],[GroupByKey]]),(ContinuousStatsTable[GroupByKey]=ContinuousStatsTable[[#This Row],[GroupByKey]])*ContinuousStatsTable[Average]))</f>
        <v>0.27760298014321699</v>
      </c>
      <c r="U264">
        <f>IF((ContinuousStatsTable[[#This Row],[RepsRequested]]&gt;1),ContinuousStatsTable[[#This Row],[HalfWidth]],ContinuousStatsTable[[#This Row],[BatchMeansHalfWidth]])</f>
        <v>3.9714981560092996E-3</v>
      </c>
    </row>
    <row r="265" spans="1:21" x14ac:dyDescent="0.2">
      <c r="A265" t="s">
        <v>67</v>
      </c>
      <c r="B265" t="s">
        <v>70</v>
      </c>
      <c r="C265">
        <v>11</v>
      </c>
      <c r="D265" t="s">
        <v>103</v>
      </c>
      <c r="E265" t="s">
        <v>97</v>
      </c>
      <c r="F265" t="s">
        <v>95</v>
      </c>
      <c r="G265">
        <v>3</v>
      </c>
      <c r="H265">
        <v>2E+20</v>
      </c>
      <c r="I265">
        <v>3</v>
      </c>
      <c r="J265">
        <v>3</v>
      </c>
      <c r="K265">
        <v>3</v>
      </c>
      <c r="L265">
        <v>0</v>
      </c>
      <c r="M265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265" cm="1">
        <f t="array" ref="N265">MAX(IF((ProjectInfoTable[ProjectName]=ContinuousStatsTable[[#This Row],[ProjectName]]),(ProjectInfoTable[ProjectName]=ContinuousStatsTable[[#This Row],[ProjectName]])*ProjectInfoTable[NumberOfReplications]))</f>
        <v>30</v>
      </c>
      <c r="O265" cm="1">
        <f t="array" ref="O265">IFERROR(AVERAGE(IF((ContinuousStatsTable[GroupByKey]=ContinuousStatsTable[[#This Row],[GroupByKey]]),(ContinuousStatsTable[GroupByKey]=ContinuousStatsTable[[#This Row],[GroupByKey]])*ContinuousStatsTable[Average])),0)</f>
        <v>3</v>
      </c>
      <c r="P265" cm="1">
        <f t="array" ref="P265">IFERROR(_xlfn.STDEV.S(IF((ContinuousStatsTable[GroupByKey]=ContinuousStatsTable[[#This Row],[GroupByKey]]),(ContinuousStatsTable[GroupByKey]=ContinuousStatsTable[[#This Row],[GroupByKey]])*ContinuousStatsTable[Average])),0)</f>
        <v>0</v>
      </c>
      <c r="Q265" cm="1">
        <f t="array" ref="Q265">MAX(IF((ProjectInfoTable[ProjectName]=ContinuousStatsTable[[#This Row],[ProjectName]]),(ProjectInfoTable[ProjectName]=ContinuousStatsTable[[#This Row],[ProjectName]])*ProjectInfoTable[ConfidenceInterval]))</f>
        <v>0.95</v>
      </c>
      <c r="R2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5" cm="1">
        <f t="array" ref="S265">MIN(IF((ContinuousStatsTable[GroupByKey]=ContinuousStatsTable[[#This Row],[GroupByKey]]),(ContinuousStatsTable[GroupByKey]=ContinuousStatsTable[[#This Row],[GroupByKey]])*ContinuousStatsTable[Average]))</f>
        <v>3</v>
      </c>
      <c r="T265" cm="1">
        <f t="array" ref="T265">MAX(IF((ContinuousStatsTable[GroupByKey]=ContinuousStatsTable[[#This Row],[GroupByKey]]),(ContinuousStatsTable[GroupByKey]=ContinuousStatsTable[[#This Row],[GroupByKey]])*ContinuousStatsTable[Average]))</f>
        <v>3</v>
      </c>
      <c r="U265">
        <f>IF((ContinuousStatsTable[[#This Row],[RepsRequested]]&gt;1),ContinuousStatsTable[[#This Row],[HalfWidth]],ContinuousStatsTable[[#This Row],[BatchMeansHalfWidth]])</f>
        <v>0</v>
      </c>
    </row>
    <row r="266" spans="1:21" x14ac:dyDescent="0.2">
      <c r="A266" t="s">
        <v>67</v>
      </c>
      <c r="B266" t="s">
        <v>70</v>
      </c>
      <c r="C266">
        <v>12</v>
      </c>
      <c r="D266" t="s">
        <v>93</v>
      </c>
      <c r="E266" t="s">
        <v>94</v>
      </c>
      <c r="F266" t="s">
        <v>95</v>
      </c>
      <c r="G266">
        <v>0.262280701754386</v>
      </c>
      <c r="H266">
        <v>2.49128103046076E-2</v>
      </c>
      <c r="I266">
        <v>0</v>
      </c>
      <c r="J266">
        <v>1</v>
      </c>
      <c r="K266">
        <v>0</v>
      </c>
      <c r="L266">
        <v>0</v>
      </c>
      <c r="M266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266" cm="1">
        <f t="array" ref="N266">MAX(IF((ProjectInfoTable[ProjectName]=ContinuousStatsTable[[#This Row],[ProjectName]]),(ProjectInfoTable[ProjectName]=ContinuousStatsTable[[#This Row],[ProjectName]])*ProjectInfoTable[NumberOfReplications]))</f>
        <v>30</v>
      </c>
      <c r="O266" cm="1">
        <f t="array" ref="O266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266" cm="1">
        <f t="array" ref="P266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266" cm="1">
        <f t="array" ref="Q266">MAX(IF((ProjectInfoTable[ProjectName]=ContinuousStatsTable[[#This Row],[ProjectName]]),(ProjectInfoTable[ProjectName]=ContinuousStatsTable[[#This Row],[ProjectName]])*ProjectInfoTable[ConfidenceInterval]))</f>
        <v>0.95</v>
      </c>
      <c r="R2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266" cm="1">
        <f t="array" ref="S266">MIN(IF((ContinuousStatsTable[GroupByKey]=ContinuousStatsTable[[#This Row],[GroupByKey]]),(ContinuousStatsTable[GroupByKey]=ContinuousStatsTable[[#This Row],[GroupByKey]])*ContinuousStatsTable[Average]))</f>
        <v>0.233333333333333</v>
      </c>
      <c r="T266" cm="1">
        <f t="array" ref="T266">MAX(IF((ContinuousStatsTable[GroupByKey]=ContinuousStatsTable[[#This Row],[GroupByKey]]),(ContinuousStatsTable[GroupByKey]=ContinuousStatsTable[[#This Row],[GroupByKey]])*ContinuousStatsTable[Average]))</f>
        <v>0.27905535859326402</v>
      </c>
      <c r="U266">
        <f>IF((ContinuousStatsTable[[#This Row],[RepsRequested]]&gt;1),ContinuousStatsTable[[#This Row],[HalfWidth]],ContinuousStatsTable[[#This Row],[BatchMeansHalfWidth]])</f>
        <v>4.2029769261323026E-3</v>
      </c>
    </row>
    <row r="267" spans="1:21" x14ac:dyDescent="0.2">
      <c r="A267" t="s">
        <v>67</v>
      </c>
      <c r="B267" t="s">
        <v>70</v>
      </c>
      <c r="C267">
        <v>12</v>
      </c>
      <c r="D267" t="s">
        <v>93</v>
      </c>
      <c r="E267" t="s">
        <v>96</v>
      </c>
      <c r="F267" t="s">
        <v>95</v>
      </c>
      <c r="G267">
        <v>0.262280701754386</v>
      </c>
      <c r="H267">
        <v>2.49128103046076E-2</v>
      </c>
      <c r="I267">
        <v>0</v>
      </c>
      <c r="J267">
        <v>1</v>
      </c>
      <c r="K267">
        <v>0</v>
      </c>
      <c r="L267">
        <v>0</v>
      </c>
      <c r="M267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267" cm="1">
        <f t="array" ref="N267">MAX(IF((ProjectInfoTable[ProjectName]=ContinuousStatsTable[[#This Row],[ProjectName]]),(ProjectInfoTable[ProjectName]=ContinuousStatsTable[[#This Row],[ProjectName]])*ProjectInfoTable[NumberOfReplications]))</f>
        <v>30</v>
      </c>
      <c r="O267" cm="1">
        <f t="array" ref="O267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267" cm="1">
        <f t="array" ref="P267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267" cm="1">
        <f t="array" ref="Q267">MAX(IF((ProjectInfoTable[ProjectName]=ContinuousStatsTable[[#This Row],[ProjectName]]),(ProjectInfoTable[ProjectName]=ContinuousStatsTable[[#This Row],[ProjectName]])*ProjectInfoTable[ConfidenceInterval]))</f>
        <v>0.95</v>
      </c>
      <c r="R2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267" cm="1">
        <f t="array" ref="S267">MIN(IF((ContinuousStatsTable[GroupByKey]=ContinuousStatsTable[[#This Row],[GroupByKey]]),(ContinuousStatsTable[GroupByKey]=ContinuousStatsTable[[#This Row],[GroupByKey]])*ContinuousStatsTable[Average]))</f>
        <v>0.233333333333333</v>
      </c>
      <c r="T267" cm="1">
        <f t="array" ref="T267">MAX(IF((ContinuousStatsTable[GroupByKey]=ContinuousStatsTable[[#This Row],[GroupByKey]]),(ContinuousStatsTable[GroupByKey]=ContinuousStatsTable[[#This Row],[GroupByKey]])*ContinuousStatsTable[Average]))</f>
        <v>0.27905535859326402</v>
      </c>
      <c r="U267">
        <f>IF((ContinuousStatsTable[[#This Row],[RepsRequested]]&gt;1),ContinuousStatsTable[[#This Row],[HalfWidth]],ContinuousStatsTable[[#This Row],[BatchMeansHalfWidth]])</f>
        <v>4.2029769261323026E-3</v>
      </c>
    </row>
    <row r="268" spans="1:21" x14ac:dyDescent="0.2">
      <c r="A268" t="s">
        <v>67</v>
      </c>
      <c r="B268" t="s">
        <v>70</v>
      </c>
      <c r="C268">
        <v>12</v>
      </c>
      <c r="D268" t="s">
        <v>93</v>
      </c>
      <c r="E268" t="s">
        <v>97</v>
      </c>
      <c r="F268" t="s">
        <v>95</v>
      </c>
      <c r="G268">
        <v>1</v>
      </c>
      <c r="H268">
        <v>2E+20</v>
      </c>
      <c r="I268">
        <v>1</v>
      </c>
      <c r="J268">
        <v>1</v>
      </c>
      <c r="K268">
        <v>1</v>
      </c>
      <c r="L268">
        <v>0</v>
      </c>
      <c r="M268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268" cm="1">
        <f t="array" ref="N268">MAX(IF((ProjectInfoTable[ProjectName]=ContinuousStatsTable[[#This Row],[ProjectName]]),(ProjectInfoTable[ProjectName]=ContinuousStatsTable[[#This Row],[ProjectName]])*ProjectInfoTable[NumberOfReplications]))</f>
        <v>30</v>
      </c>
      <c r="O268" cm="1">
        <f t="array" ref="O268">IFERROR(AVERAGE(IF((ContinuousStatsTable[GroupByKey]=ContinuousStatsTable[[#This Row],[GroupByKey]]),(ContinuousStatsTable[GroupByKey]=ContinuousStatsTable[[#This Row],[GroupByKey]])*ContinuousStatsTable[Average])),0)</f>
        <v>1</v>
      </c>
      <c r="P268" cm="1">
        <f t="array" ref="P268">IFERROR(_xlfn.STDEV.S(IF((ContinuousStatsTable[GroupByKey]=ContinuousStatsTable[[#This Row],[GroupByKey]]),(ContinuousStatsTable[GroupByKey]=ContinuousStatsTable[[#This Row],[GroupByKey]])*ContinuousStatsTable[Average])),0)</f>
        <v>0</v>
      </c>
      <c r="Q268" cm="1">
        <f t="array" ref="Q268">MAX(IF((ProjectInfoTable[ProjectName]=ContinuousStatsTable[[#This Row],[ProjectName]]),(ProjectInfoTable[ProjectName]=ContinuousStatsTable[[#This Row],[ProjectName]])*ProjectInfoTable[ConfidenceInterval]))</f>
        <v>0.95</v>
      </c>
      <c r="R2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8" cm="1">
        <f t="array" ref="S268">MIN(IF((ContinuousStatsTable[GroupByKey]=ContinuousStatsTable[[#This Row],[GroupByKey]]),(ContinuousStatsTable[GroupByKey]=ContinuousStatsTable[[#This Row],[GroupByKey]])*ContinuousStatsTable[Average]))</f>
        <v>1</v>
      </c>
      <c r="T268" cm="1">
        <f t="array" ref="T268">MAX(IF((ContinuousStatsTable[GroupByKey]=ContinuousStatsTable[[#This Row],[GroupByKey]]),(ContinuousStatsTable[GroupByKey]=ContinuousStatsTable[[#This Row],[GroupByKey]])*ContinuousStatsTable[Average]))</f>
        <v>1</v>
      </c>
      <c r="U268">
        <f>IF((ContinuousStatsTable[[#This Row],[RepsRequested]]&gt;1),ContinuousStatsTable[[#This Row],[HalfWidth]],ContinuousStatsTable[[#This Row],[BatchMeansHalfWidth]])</f>
        <v>0</v>
      </c>
    </row>
    <row r="269" spans="1:21" x14ac:dyDescent="0.2">
      <c r="A269" t="s">
        <v>67</v>
      </c>
      <c r="B269" t="s">
        <v>70</v>
      </c>
      <c r="C269">
        <v>12</v>
      </c>
      <c r="D269" t="s">
        <v>71</v>
      </c>
      <c r="E269" t="s">
        <v>98</v>
      </c>
      <c r="F269" t="s">
        <v>73</v>
      </c>
      <c r="G269">
        <v>3.9738966906982302E-2</v>
      </c>
      <c r="H269">
        <v>2E+20</v>
      </c>
      <c r="I269">
        <v>0</v>
      </c>
      <c r="J269">
        <v>2</v>
      </c>
      <c r="K269">
        <v>0</v>
      </c>
      <c r="L269">
        <v>0</v>
      </c>
      <c r="M269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269" cm="1">
        <f t="array" ref="N269">MAX(IF((ProjectInfoTable[ProjectName]=ContinuousStatsTable[[#This Row],[ProjectName]]),(ProjectInfoTable[ProjectName]=ContinuousStatsTable[[#This Row],[ProjectName]])*ProjectInfoTable[NumberOfReplications]))</f>
        <v>30</v>
      </c>
      <c r="O269" cm="1">
        <f t="array" ref="O269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269" cm="1">
        <f t="array" ref="P269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269" cm="1">
        <f t="array" ref="Q269">MAX(IF((ProjectInfoTable[ProjectName]=ContinuousStatsTable[[#This Row],[ProjectName]]),(ProjectInfoTable[ProjectName]=ContinuousStatsTable[[#This Row],[ProjectName]])*ProjectInfoTable[ConfidenceInterval]))</f>
        <v>0.95</v>
      </c>
      <c r="R2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269" cm="1">
        <f t="array" ref="S269">MIN(IF((ContinuousStatsTable[GroupByKey]=ContinuousStatsTable[[#This Row],[GroupByKey]]),(ContinuousStatsTable[GroupByKey]=ContinuousStatsTable[[#This Row],[GroupByKey]])*ContinuousStatsTable[Average]))</f>
        <v>1.9664517785186901E-2</v>
      </c>
      <c r="T269" cm="1">
        <f t="array" ref="T269">MAX(IF((ContinuousStatsTable[GroupByKey]=ContinuousStatsTable[[#This Row],[GroupByKey]]),(ContinuousStatsTable[GroupByKey]=ContinuousStatsTable[[#This Row],[GroupByKey]])*ContinuousStatsTable[Average]))</f>
        <v>3.9738966906982302E-2</v>
      </c>
      <c r="U269">
        <f>IF((ContinuousStatsTable[[#This Row],[RepsRequested]]&gt;1),ContinuousStatsTable[[#This Row],[HalfWidth]],ContinuousStatsTable[[#This Row],[BatchMeansHalfWidth]])</f>
        <v>1.6627262085570247E-3</v>
      </c>
    </row>
    <row r="270" spans="1:21" x14ac:dyDescent="0.2">
      <c r="A270" t="s">
        <v>67</v>
      </c>
      <c r="B270" t="s">
        <v>70</v>
      </c>
      <c r="C270">
        <v>12</v>
      </c>
      <c r="D270" t="s">
        <v>99</v>
      </c>
      <c r="E270" t="s">
        <v>94</v>
      </c>
      <c r="F270" t="s">
        <v>95</v>
      </c>
      <c r="G270">
        <v>0.64543431332300205</v>
      </c>
      <c r="H270">
        <v>2E+20</v>
      </c>
      <c r="I270">
        <v>0</v>
      </c>
      <c r="J270">
        <v>1</v>
      </c>
      <c r="K270">
        <v>1</v>
      </c>
      <c r="L270">
        <v>0</v>
      </c>
      <c r="M270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270" cm="1">
        <f t="array" ref="N270">MAX(IF((ProjectInfoTable[ProjectName]=ContinuousStatsTable[[#This Row],[ProjectName]]),(ProjectInfoTable[ProjectName]=ContinuousStatsTable[[#This Row],[ProjectName]])*ProjectInfoTable[NumberOfReplications]))</f>
        <v>30</v>
      </c>
      <c r="O270" cm="1">
        <f t="array" ref="O270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270" cm="1">
        <f t="array" ref="P270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270" cm="1">
        <f t="array" ref="Q270">MAX(IF((ProjectInfoTable[ProjectName]=ContinuousStatsTable[[#This Row],[ProjectName]]),(ProjectInfoTable[ProjectName]=ContinuousStatsTable[[#This Row],[ProjectName]])*ProjectInfoTable[ConfidenceInterval]))</f>
        <v>0.95</v>
      </c>
      <c r="R2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270" cm="1">
        <f t="array" ref="S270">MIN(IF((ContinuousStatsTable[GroupByKey]=ContinuousStatsTable[[#This Row],[GroupByKey]]),(ContinuousStatsTable[GroupByKey]=ContinuousStatsTable[[#This Row],[GroupByKey]])*ContinuousStatsTable[Average]))</f>
        <v>0.58256422876290004</v>
      </c>
      <c r="T270" cm="1">
        <f t="array" ref="T270">MAX(IF((ContinuousStatsTable[GroupByKey]=ContinuousStatsTable[[#This Row],[GroupByKey]]),(ContinuousStatsTable[GroupByKey]=ContinuousStatsTable[[#This Row],[GroupByKey]])*ContinuousStatsTable[Average]))</f>
        <v>0.68643238055161704</v>
      </c>
      <c r="U270">
        <f>IF((ContinuousStatsTable[[#This Row],[RepsRequested]]&gt;1),ContinuousStatsTable[[#This Row],[HalfWidth]],ContinuousStatsTable[[#This Row],[BatchMeansHalfWidth]])</f>
        <v>9.8490003000806757E-3</v>
      </c>
    </row>
    <row r="271" spans="1:21" x14ac:dyDescent="0.2">
      <c r="A271" t="s">
        <v>67</v>
      </c>
      <c r="B271" t="s">
        <v>70</v>
      </c>
      <c r="C271">
        <v>12</v>
      </c>
      <c r="D271" t="s">
        <v>99</v>
      </c>
      <c r="E271" t="s">
        <v>96</v>
      </c>
      <c r="F271" t="s">
        <v>95</v>
      </c>
      <c r="G271">
        <v>1.2908686266460001</v>
      </c>
      <c r="H271">
        <v>2E+20</v>
      </c>
      <c r="I271">
        <v>0</v>
      </c>
      <c r="J271">
        <v>2</v>
      </c>
      <c r="K271">
        <v>2</v>
      </c>
      <c r="L271">
        <v>0</v>
      </c>
      <c r="M271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271" cm="1">
        <f t="array" ref="N271">MAX(IF((ProjectInfoTable[ProjectName]=ContinuousStatsTable[[#This Row],[ProjectName]]),(ProjectInfoTable[ProjectName]=ContinuousStatsTable[[#This Row],[ProjectName]])*ProjectInfoTable[NumberOfReplications]))</f>
        <v>30</v>
      </c>
      <c r="O271" cm="1">
        <f t="array" ref="O271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271" cm="1">
        <f t="array" ref="P271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271" cm="1">
        <f t="array" ref="Q271">MAX(IF((ProjectInfoTable[ProjectName]=ContinuousStatsTable[[#This Row],[ProjectName]]),(ProjectInfoTable[ProjectName]=ContinuousStatsTable[[#This Row],[ProjectName]])*ProjectInfoTable[ConfidenceInterval]))</f>
        <v>0.95</v>
      </c>
      <c r="R2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271" cm="1">
        <f t="array" ref="S271">MIN(IF((ContinuousStatsTable[GroupByKey]=ContinuousStatsTable[[#This Row],[GroupByKey]]),(ContinuousStatsTable[GroupByKey]=ContinuousStatsTable[[#This Row],[GroupByKey]])*ContinuousStatsTable[Average]))</f>
        <v>1.1651284575258001</v>
      </c>
      <c r="T271" cm="1">
        <f t="array" ref="T271">MAX(IF((ContinuousStatsTable[GroupByKey]=ContinuousStatsTable[[#This Row],[GroupByKey]]),(ContinuousStatsTable[GroupByKey]=ContinuousStatsTable[[#This Row],[GroupByKey]])*ContinuousStatsTable[Average]))</f>
        <v>1.3728647611032301</v>
      </c>
      <c r="U271">
        <f>IF((ContinuousStatsTable[[#This Row],[RepsRequested]]&gt;1),ContinuousStatsTable[[#This Row],[HalfWidth]],ContinuousStatsTable[[#This Row],[BatchMeansHalfWidth]])</f>
        <v>1.9698000600160998E-2</v>
      </c>
    </row>
    <row r="272" spans="1:21" x14ac:dyDescent="0.2">
      <c r="A272" t="s">
        <v>67</v>
      </c>
      <c r="B272" t="s">
        <v>70</v>
      </c>
      <c r="C272">
        <v>12</v>
      </c>
      <c r="D272" t="s">
        <v>99</v>
      </c>
      <c r="E272" t="s">
        <v>97</v>
      </c>
      <c r="F272" t="s">
        <v>95</v>
      </c>
      <c r="G272">
        <v>2</v>
      </c>
      <c r="H272">
        <v>2E+20</v>
      </c>
      <c r="I272">
        <v>2</v>
      </c>
      <c r="J272">
        <v>2</v>
      </c>
      <c r="K272">
        <v>2</v>
      </c>
      <c r="L272">
        <v>0</v>
      </c>
      <c r="M272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272" cm="1">
        <f t="array" ref="N272">MAX(IF((ProjectInfoTable[ProjectName]=ContinuousStatsTable[[#This Row],[ProjectName]]),(ProjectInfoTable[ProjectName]=ContinuousStatsTable[[#This Row],[ProjectName]])*ProjectInfoTable[NumberOfReplications]))</f>
        <v>30</v>
      </c>
      <c r="O272" cm="1">
        <f t="array" ref="O272">IFERROR(AVERAGE(IF((ContinuousStatsTable[GroupByKey]=ContinuousStatsTable[[#This Row],[GroupByKey]]),(ContinuousStatsTable[GroupByKey]=ContinuousStatsTable[[#This Row],[GroupByKey]])*ContinuousStatsTable[Average])),0)</f>
        <v>2</v>
      </c>
      <c r="P272" cm="1">
        <f t="array" ref="P272">IFERROR(_xlfn.STDEV.S(IF((ContinuousStatsTable[GroupByKey]=ContinuousStatsTable[[#This Row],[GroupByKey]]),(ContinuousStatsTable[GroupByKey]=ContinuousStatsTable[[#This Row],[GroupByKey]])*ContinuousStatsTable[Average])),0)</f>
        <v>0</v>
      </c>
      <c r="Q272" cm="1">
        <f t="array" ref="Q272">MAX(IF((ProjectInfoTable[ProjectName]=ContinuousStatsTable[[#This Row],[ProjectName]]),(ProjectInfoTable[ProjectName]=ContinuousStatsTable[[#This Row],[ProjectName]])*ProjectInfoTable[ConfidenceInterval]))</f>
        <v>0.95</v>
      </c>
      <c r="R2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2" cm="1">
        <f t="array" ref="S272">MIN(IF((ContinuousStatsTable[GroupByKey]=ContinuousStatsTable[[#This Row],[GroupByKey]]),(ContinuousStatsTable[GroupByKey]=ContinuousStatsTable[[#This Row],[GroupByKey]])*ContinuousStatsTable[Average]))</f>
        <v>2</v>
      </c>
      <c r="T272" cm="1">
        <f t="array" ref="T272">MAX(IF((ContinuousStatsTable[GroupByKey]=ContinuousStatsTable[[#This Row],[GroupByKey]]),(ContinuousStatsTable[GroupByKey]=ContinuousStatsTable[[#This Row],[GroupByKey]])*ContinuousStatsTable[Average]))</f>
        <v>2</v>
      </c>
      <c r="U272">
        <f>IF((ContinuousStatsTable[[#This Row],[RepsRequested]]&gt;1),ContinuousStatsTable[[#This Row],[HalfWidth]],ContinuousStatsTable[[#This Row],[BatchMeansHalfWidth]])</f>
        <v>0</v>
      </c>
    </row>
    <row r="273" spans="1:21" x14ac:dyDescent="0.2">
      <c r="A273" t="s">
        <v>67</v>
      </c>
      <c r="B273" t="s">
        <v>70</v>
      </c>
      <c r="C273">
        <v>12</v>
      </c>
      <c r="D273" t="s">
        <v>74</v>
      </c>
      <c r="E273" t="s">
        <v>100</v>
      </c>
      <c r="F273" t="s">
        <v>76</v>
      </c>
      <c r="G273">
        <v>16.273555365026201</v>
      </c>
      <c r="H273">
        <v>1.6082733395895401</v>
      </c>
      <c r="I273">
        <v>2</v>
      </c>
      <c r="J273">
        <v>38</v>
      </c>
      <c r="K273">
        <v>7</v>
      </c>
      <c r="L273">
        <v>0</v>
      </c>
      <c r="M273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3" cm="1">
        <f t="array" ref="N273">MAX(IF((ProjectInfoTable[ProjectName]=ContinuousStatsTable[[#This Row],[ProjectName]]),(ProjectInfoTable[ProjectName]=ContinuousStatsTable[[#This Row],[ProjectName]])*ProjectInfoTable[NumberOfReplications]))</f>
        <v>30</v>
      </c>
      <c r="O273" cm="1">
        <f t="array" ref="O273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273" cm="1">
        <f t="array" ref="P273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273" cm="1">
        <f t="array" ref="Q273">MAX(IF((ProjectInfoTable[ProjectName]=ContinuousStatsTable[[#This Row],[ProjectName]]),(ProjectInfoTable[ProjectName]=ContinuousStatsTable[[#This Row],[ProjectName]])*ProjectInfoTable[ConfidenceInterval]))</f>
        <v>0.95</v>
      </c>
      <c r="R2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273" cm="1">
        <f t="array" ref="S273">MIN(IF((ContinuousStatsTable[GroupByKey]=ContinuousStatsTable[[#This Row],[GroupByKey]]),(ContinuousStatsTable[GroupByKey]=ContinuousStatsTable[[#This Row],[GroupByKey]])*ContinuousStatsTable[Average]))</f>
        <v>14.4112589759764</v>
      </c>
      <c r="T273" cm="1">
        <f t="array" ref="T273">MAX(IF((ContinuousStatsTable[GroupByKey]=ContinuousStatsTable[[#This Row],[GroupByKey]]),(ContinuousStatsTable[GroupByKey]=ContinuousStatsTable[[#This Row],[GroupByKey]])*ContinuousStatsTable[Average]))</f>
        <v>16.972707717517899</v>
      </c>
      <c r="U273">
        <f>IF((ContinuousStatsTable[[#This Row],[RepsRequested]]&gt;1),ContinuousStatsTable[[#This Row],[HalfWidth]],ContinuousStatsTable[[#This Row],[BatchMeansHalfWidth]])</f>
        <v>0.25870181881670146</v>
      </c>
    </row>
    <row r="274" spans="1:21" x14ac:dyDescent="0.2">
      <c r="A274" t="s">
        <v>67</v>
      </c>
      <c r="B274" t="s">
        <v>70</v>
      </c>
      <c r="C274">
        <v>12</v>
      </c>
      <c r="D274" t="s">
        <v>82</v>
      </c>
      <c r="E274" t="s">
        <v>98</v>
      </c>
      <c r="F274" t="s">
        <v>73</v>
      </c>
      <c r="G274">
        <v>0.29707451798048601</v>
      </c>
      <c r="H274">
        <v>2E+20</v>
      </c>
      <c r="I274">
        <v>0</v>
      </c>
      <c r="J274">
        <v>6</v>
      </c>
      <c r="K274">
        <v>0</v>
      </c>
      <c r="L274">
        <v>0</v>
      </c>
      <c r="M274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274" cm="1">
        <f t="array" ref="N274">MAX(IF((ProjectInfoTable[ProjectName]=ContinuousStatsTable[[#This Row],[ProjectName]]),(ProjectInfoTable[ProjectName]=ContinuousStatsTable[[#This Row],[ProjectName]])*ProjectInfoTable[NumberOfReplications]))</f>
        <v>30</v>
      </c>
      <c r="O274" cm="1">
        <f t="array" ref="O274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274" cm="1">
        <f t="array" ref="P274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274" cm="1">
        <f t="array" ref="Q274">MAX(IF((ProjectInfoTable[ProjectName]=ContinuousStatsTable[[#This Row],[ProjectName]]),(ProjectInfoTable[ProjectName]=ContinuousStatsTable[[#This Row],[ProjectName]])*ProjectInfoTable[ConfidenceInterval]))</f>
        <v>0.95</v>
      </c>
      <c r="R2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274" cm="1">
        <f t="array" ref="S274">MIN(IF((ContinuousStatsTable[GroupByKey]=ContinuousStatsTable[[#This Row],[GroupByKey]]),(ContinuousStatsTable[GroupByKey]=ContinuousStatsTable[[#This Row],[GroupByKey]])*ContinuousStatsTable[Average]))</f>
        <v>7.4406608295854798E-2</v>
      </c>
      <c r="T274" cm="1">
        <f t="array" ref="T274">MAX(IF((ContinuousStatsTable[GroupByKey]=ContinuousStatsTable[[#This Row],[GroupByKey]]),(ContinuousStatsTable[GroupByKey]=ContinuousStatsTable[[#This Row],[GroupByKey]])*ContinuousStatsTable[Average]))</f>
        <v>0.29874320707386398</v>
      </c>
      <c r="U274">
        <f>IF((ContinuousStatsTable[[#This Row],[RepsRequested]]&gt;1),ContinuousStatsTable[[#This Row],[HalfWidth]],ContinuousStatsTable[[#This Row],[BatchMeansHalfWidth]])</f>
        <v>2.0058204231149332E-2</v>
      </c>
    </row>
    <row r="275" spans="1:21" x14ac:dyDescent="0.2">
      <c r="A275" t="s">
        <v>67</v>
      </c>
      <c r="B275" t="s">
        <v>70</v>
      </c>
      <c r="C275">
        <v>12</v>
      </c>
      <c r="D275" t="s">
        <v>101</v>
      </c>
      <c r="E275" t="s">
        <v>94</v>
      </c>
      <c r="F275" t="s">
        <v>95</v>
      </c>
      <c r="G275">
        <v>1.85855263157895E-3</v>
      </c>
      <c r="H275">
        <v>2.0449969415686301E-4</v>
      </c>
      <c r="I275">
        <v>0</v>
      </c>
      <c r="J275">
        <v>3.7499999999999999E-2</v>
      </c>
      <c r="K275">
        <v>0</v>
      </c>
      <c r="L275">
        <v>0</v>
      </c>
      <c r="M275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275" cm="1">
        <f t="array" ref="N275">MAX(IF((ProjectInfoTable[ProjectName]=ContinuousStatsTable[[#This Row],[ProjectName]]),(ProjectInfoTable[ProjectName]=ContinuousStatsTable[[#This Row],[ProjectName]])*ProjectInfoTable[NumberOfReplications]))</f>
        <v>30</v>
      </c>
      <c r="O275" cm="1">
        <f t="array" ref="O275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275" cm="1">
        <f t="array" ref="P275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275" cm="1">
        <f t="array" ref="Q275">MAX(IF((ProjectInfoTable[ProjectName]=ContinuousStatsTable[[#This Row],[ProjectName]]),(ProjectInfoTable[ProjectName]=ContinuousStatsTable[[#This Row],[ProjectName]])*ProjectInfoTable[ConfidenceInterval]))</f>
        <v>0.95</v>
      </c>
      <c r="R2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275" cm="1">
        <f t="array" ref="S275">MIN(IF((ContinuousStatsTable[GroupByKey]=ContinuousStatsTable[[#This Row],[GroupByKey]]),(ContinuousStatsTable[GroupByKey]=ContinuousStatsTable[[#This Row],[GroupByKey]])*ContinuousStatsTable[Average]))</f>
        <v>1.70504385964912E-3</v>
      </c>
      <c r="T275" cm="1">
        <f t="array" ref="T275">MAX(IF((ContinuousStatsTable[GroupByKey]=ContinuousStatsTable[[#This Row],[GroupByKey]]),(ContinuousStatsTable[GroupByKey]=ContinuousStatsTable[[#This Row],[GroupByKey]])*ContinuousStatsTable[Average]))</f>
        <v>2.17031677925951E-3</v>
      </c>
      <c r="U275">
        <f>IF((ContinuousStatsTable[[#This Row],[RepsRequested]]&gt;1),ContinuousStatsTable[[#This Row],[HalfWidth]],ContinuousStatsTable[[#This Row],[BatchMeansHalfWidth]])</f>
        <v>4.4865881583116605E-5</v>
      </c>
    </row>
    <row r="276" spans="1:21" x14ac:dyDescent="0.2">
      <c r="A276" t="s">
        <v>67</v>
      </c>
      <c r="B276" t="s">
        <v>70</v>
      </c>
      <c r="C276">
        <v>12</v>
      </c>
      <c r="D276" t="s">
        <v>101</v>
      </c>
      <c r="E276" t="s">
        <v>96</v>
      </c>
      <c r="F276" t="s">
        <v>95</v>
      </c>
      <c r="G276">
        <v>0.148684210526316</v>
      </c>
      <c r="H276">
        <v>1.6359975532549E-2</v>
      </c>
      <c r="I276">
        <v>0</v>
      </c>
      <c r="J276">
        <v>3</v>
      </c>
      <c r="K276">
        <v>0</v>
      </c>
      <c r="L276">
        <v>0</v>
      </c>
      <c r="M276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276" cm="1">
        <f t="array" ref="N276">MAX(IF((ProjectInfoTable[ProjectName]=ContinuousStatsTable[[#This Row],[ProjectName]]),(ProjectInfoTable[ProjectName]=ContinuousStatsTable[[#This Row],[ProjectName]])*ProjectInfoTable[NumberOfReplications]))</f>
        <v>30</v>
      </c>
      <c r="O276" cm="1">
        <f t="array" ref="O276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276" cm="1">
        <f t="array" ref="P276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276" cm="1">
        <f t="array" ref="Q276">MAX(IF((ProjectInfoTable[ProjectName]=ContinuousStatsTable[[#This Row],[ProjectName]]),(ProjectInfoTable[ProjectName]=ContinuousStatsTable[[#This Row],[ProjectName]])*ProjectInfoTable[ConfidenceInterval]))</f>
        <v>0.95</v>
      </c>
      <c r="R2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276" cm="1">
        <f t="array" ref="S276">MIN(IF((ContinuousStatsTable[GroupByKey]=ContinuousStatsTable[[#This Row],[GroupByKey]]),(ContinuousStatsTable[GroupByKey]=ContinuousStatsTable[[#This Row],[GroupByKey]])*ContinuousStatsTable[Average]))</f>
        <v>0.13640350877193</v>
      </c>
      <c r="T276" cm="1">
        <f t="array" ref="T276">MAX(IF((ContinuousStatsTable[GroupByKey]=ContinuousStatsTable[[#This Row],[GroupByKey]]),(ContinuousStatsTable[GroupByKey]=ContinuousStatsTable[[#This Row],[GroupByKey]])*ContinuousStatsTable[Average]))</f>
        <v>0.17362534234076099</v>
      </c>
      <c r="U276">
        <f>IF((ContinuousStatsTable[[#This Row],[RepsRequested]]&gt;1),ContinuousStatsTable[[#This Row],[HalfWidth]],ContinuousStatsTable[[#This Row],[BatchMeansHalfWidth]])</f>
        <v>3.5892705266493139E-3</v>
      </c>
    </row>
    <row r="277" spans="1:21" x14ac:dyDescent="0.2">
      <c r="A277" t="s">
        <v>67</v>
      </c>
      <c r="B277" t="s">
        <v>70</v>
      </c>
      <c r="C277">
        <v>12</v>
      </c>
      <c r="D277" t="s">
        <v>101</v>
      </c>
      <c r="E277" t="s">
        <v>97</v>
      </c>
      <c r="F277" t="s">
        <v>95</v>
      </c>
      <c r="G277">
        <v>80</v>
      </c>
      <c r="H277">
        <v>2E+20</v>
      </c>
      <c r="I277">
        <v>80</v>
      </c>
      <c r="J277">
        <v>80</v>
      </c>
      <c r="K277">
        <v>80</v>
      </c>
      <c r="L277">
        <v>0</v>
      </c>
      <c r="M277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277" cm="1">
        <f t="array" ref="N277">MAX(IF((ProjectInfoTable[ProjectName]=ContinuousStatsTable[[#This Row],[ProjectName]]),(ProjectInfoTable[ProjectName]=ContinuousStatsTable[[#This Row],[ProjectName]])*ProjectInfoTable[NumberOfReplications]))</f>
        <v>30</v>
      </c>
      <c r="O277" cm="1">
        <f t="array" ref="O277">IFERROR(AVERAGE(IF((ContinuousStatsTable[GroupByKey]=ContinuousStatsTable[[#This Row],[GroupByKey]]),(ContinuousStatsTable[GroupByKey]=ContinuousStatsTable[[#This Row],[GroupByKey]])*ContinuousStatsTable[Average])),0)</f>
        <v>80</v>
      </c>
      <c r="P277" cm="1">
        <f t="array" ref="P277">IFERROR(_xlfn.STDEV.S(IF((ContinuousStatsTable[GroupByKey]=ContinuousStatsTable[[#This Row],[GroupByKey]]),(ContinuousStatsTable[GroupByKey]=ContinuousStatsTable[[#This Row],[GroupByKey]])*ContinuousStatsTable[Average])),0)</f>
        <v>0</v>
      </c>
      <c r="Q277" cm="1">
        <f t="array" ref="Q277">MAX(IF((ProjectInfoTable[ProjectName]=ContinuousStatsTable[[#This Row],[ProjectName]]),(ProjectInfoTable[ProjectName]=ContinuousStatsTable[[#This Row],[ProjectName]])*ProjectInfoTable[ConfidenceInterval]))</f>
        <v>0.95</v>
      </c>
      <c r="R2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7" cm="1">
        <f t="array" ref="S277">MIN(IF((ContinuousStatsTable[GroupByKey]=ContinuousStatsTable[[#This Row],[GroupByKey]]),(ContinuousStatsTable[GroupByKey]=ContinuousStatsTable[[#This Row],[GroupByKey]])*ContinuousStatsTable[Average]))</f>
        <v>80</v>
      </c>
      <c r="T277" cm="1">
        <f t="array" ref="T277">MAX(IF((ContinuousStatsTable[GroupByKey]=ContinuousStatsTable[[#This Row],[GroupByKey]]),(ContinuousStatsTable[GroupByKey]=ContinuousStatsTable[[#This Row],[GroupByKey]])*ContinuousStatsTable[Average]))</f>
        <v>80</v>
      </c>
      <c r="U277">
        <f>IF((ContinuousStatsTable[[#This Row],[RepsRequested]]&gt;1),ContinuousStatsTable[[#This Row],[HalfWidth]],ContinuousStatsTable[[#This Row],[BatchMeansHalfWidth]])</f>
        <v>0</v>
      </c>
    </row>
    <row r="278" spans="1:21" x14ac:dyDescent="0.2">
      <c r="A278" t="s">
        <v>67</v>
      </c>
      <c r="B278" t="s">
        <v>70</v>
      </c>
      <c r="C278">
        <v>12</v>
      </c>
      <c r="D278" t="s">
        <v>86</v>
      </c>
      <c r="E278" t="s">
        <v>98</v>
      </c>
      <c r="F278" t="s">
        <v>73</v>
      </c>
      <c r="G278">
        <v>0</v>
      </c>
      <c r="H278">
        <v>2E+20</v>
      </c>
      <c r="I278">
        <v>0</v>
      </c>
      <c r="J278">
        <v>0</v>
      </c>
      <c r="K278">
        <v>0</v>
      </c>
      <c r="L278">
        <v>0</v>
      </c>
      <c r="M278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278" cm="1">
        <f t="array" ref="N278">MAX(IF((ProjectInfoTable[ProjectName]=ContinuousStatsTable[[#This Row],[ProjectName]]),(ProjectInfoTable[ProjectName]=ContinuousStatsTable[[#This Row],[ProjectName]])*ProjectInfoTable[NumberOfReplications]))</f>
        <v>30</v>
      </c>
      <c r="O278" cm="1">
        <f t="array" ref="O278">IFERROR(AVERAGE(IF((ContinuousStatsTable[GroupByKey]=ContinuousStatsTable[[#This Row],[GroupByKey]]),(ContinuousStatsTable[GroupByKey]=ContinuousStatsTable[[#This Row],[GroupByKey]])*ContinuousStatsTable[Average])),0)</f>
        <v>0</v>
      </c>
      <c r="P278" cm="1">
        <f t="array" ref="P278">IFERROR(_xlfn.STDEV.S(IF((ContinuousStatsTable[GroupByKey]=ContinuousStatsTable[[#This Row],[GroupByKey]]),(ContinuousStatsTable[GroupByKey]=ContinuousStatsTable[[#This Row],[GroupByKey]])*ContinuousStatsTable[Average])),0)</f>
        <v>0</v>
      </c>
      <c r="Q278" cm="1">
        <f t="array" ref="Q278">MAX(IF((ProjectInfoTable[ProjectName]=ContinuousStatsTable[[#This Row],[ProjectName]]),(ProjectInfoTable[ProjectName]=ContinuousStatsTable[[#This Row],[ProjectName]])*ProjectInfoTable[ConfidenceInterval]))</f>
        <v>0.95</v>
      </c>
      <c r="R2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8" cm="1">
        <f t="array" ref="S278">MIN(IF((ContinuousStatsTable[GroupByKey]=ContinuousStatsTable[[#This Row],[GroupByKey]]),(ContinuousStatsTable[GroupByKey]=ContinuousStatsTable[[#This Row],[GroupByKey]])*ContinuousStatsTable[Average]))</f>
        <v>0</v>
      </c>
      <c r="T278" cm="1">
        <f t="array" ref="T278">MAX(IF((ContinuousStatsTable[GroupByKey]=ContinuousStatsTable[[#This Row],[GroupByKey]]),(ContinuousStatsTable[GroupByKey]=ContinuousStatsTable[[#This Row],[GroupByKey]])*ContinuousStatsTable[Average]))</f>
        <v>0</v>
      </c>
      <c r="U278">
        <f>IF((ContinuousStatsTable[[#This Row],[RepsRequested]]&gt;1),ContinuousStatsTable[[#This Row],[HalfWidth]],ContinuousStatsTable[[#This Row],[BatchMeansHalfWidth]])</f>
        <v>0</v>
      </c>
    </row>
    <row r="279" spans="1:21" x14ac:dyDescent="0.2">
      <c r="A279" t="s">
        <v>67</v>
      </c>
      <c r="B279" t="s">
        <v>70</v>
      </c>
      <c r="C279">
        <v>12</v>
      </c>
      <c r="D279" t="s">
        <v>87</v>
      </c>
      <c r="E279" t="s">
        <v>98</v>
      </c>
      <c r="F279" t="s">
        <v>73</v>
      </c>
      <c r="G279">
        <v>0</v>
      </c>
      <c r="H279">
        <v>2E+20</v>
      </c>
      <c r="I279">
        <v>0</v>
      </c>
      <c r="J279">
        <v>0</v>
      </c>
      <c r="K279">
        <v>0</v>
      </c>
      <c r="L279">
        <v>0</v>
      </c>
      <c r="M279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279" cm="1">
        <f t="array" ref="N279">MAX(IF((ProjectInfoTable[ProjectName]=ContinuousStatsTable[[#This Row],[ProjectName]]),(ProjectInfoTable[ProjectName]=ContinuousStatsTable[[#This Row],[ProjectName]])*ProjectInfoTable[NumberOfReplications]))</f>
        <v>30</v>
      </c>
      <c r="O279" cm="1">
        <f t="array" ref="O279">IFERROR(AVERAGE(IF((ContinuousStatsTable[GroupByKey]=ContinuousStatsTable[[#This Row],[GroupByKey]]),(ContinuousStatsTable[GroupByKey]=ContinuousStatsTable[[#This Row],[GroupByKey]])*ContinuousStatsTable[Average])),0)</f>
        <v>0</v>
      </c>
      <c r="P279" cm="1">
        <f t="array" ref="P279">IFERROR(_xlfn.STDEV.S(IF((ContinuousStatsTable[GroupByKey]=ContinuousStatsTable[[#This Row],[GroupByKey]]),(ContinuousStatsTable[GroupByKey]=ContinuousStatsTable[[#This Row],[GroupByKey]])*ContinuousStatsTable[Average])),0)</f>
        <v>0</v>
      </c>
      <c r="Q279" cm="1">
        <f t="array" ref="Q279">MAX(IF((ProjectInfoTable[ProjectName]=ContinuousStatsTable[[#This Row],[ProjectName]]),(ProjectInfoTable[ProjectName]=ContinuousStatsTable[[#This Row],[ProjectName]])*ProjectInfoTable[ConfidenceInterval]))</f>
        <v>0.95</v>
      </c>
      <c r="R2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9" cm="1">
        <f t="array" ref="S279">MIN(IF((ContinuousStatsTable[GroupByKey]=ContinuousStatsTable[[#This Row],[GroupByKey]]),(ContinuousStatsTable[GroupByKey]=ContinuousStatsTable[[#This Row],[GroupByKey]])*ContinuousStatsTable[Average]))</f>
        <v>0</v>
      </c>
      <c r="T279" cm="1">
        <f t="array" ref="T279">MAX(IF((ContinuousStatsTable[GroupByKey]=ContinuousStatsTable[[#This Row],[GroupByKey]]),(ContinuousStatsTable[GroupByKey]=ContinuousStatsTable[[#This Row],[GroupByKey]])*ContinuousStatsTable[Average]))</f>
        <v>0</v>
      </c>
      <c r="U279">
        <f>IF((ContinuousStatsTable[[#This Row],[RepsRequested]]&gt;1),ContinuousStatsTable[[#This Row],[HalfWidth]],ContinuousStatsTable[[#This Row],[BatchMeansHalfWidth]])</f>
        <v>0</v>
      </c>
    </row>
    <row r="280" spans="1:21" x14ac:dyDescent="0.2">
      <c r="A280" t="s">
        <v>67</v>
      </c>
      <c r="B280" t="s">
        <v>70</v>
      </c>
      <c r="C280">
        <v>12</v>
      </c>
      <c r="D280" t="s">
        <v>88</v>
      </c>
      <c r="E280" t="s">
        <v>98</v>
      </c>
      <c r="F280" t="s">
        <v>73</v>
      </c>
      <c r="G280">
        <v>1.4670708532421599</v>
      </c>
      <c r="H280">
        <v>0.114097190859504</v>
      </c>
      <c r="I280">
        <v>0</v>
      </c>
      <c r="J280">
        <v>4</v>
      </c>
      <c r="K280">
        <v>0</v>
      </c>
      <c r="L280">
        <v>0</v>
      </c>
      <c r="M280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280" cm="1">
        <f t="array" ref="N280">MAX(IF((ProjectInfoTable[ProjectName]=ContinuousStatsTable[[#This Row],[ProjectName]]),(ProjectInfoTable[ProjectName]=ContinuousStatsTable[[#This Row],[ProjectName]])*ProjectInfoTable[NumberOfReplications]))</f>
        <v>30</v>
      </c>
      <c r="O280" cm="1">
        <f t="array" ref="O280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280" cm="1">
        <f t="array" ref="P280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280" cm="1">
        <f t="array" ref="Q280">MAX(IF((ProjectInfoTable[ProjectName]=ContinuousStatsTable[[#This Row],[ProjectName]]),(ProjectInfoTable[ProjectName]=ContinuousStatsTable[[#This Row],[ProjectName]])*ProjectInfoTable[ConfidenceInterval]))</f>
        <v>0.95</v>
      </c>
      <c r="R2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280" cm="1">
        <f t="array" ref="S280">MIN(IF((ContinuousStatsTable[GroupByKey]=ContinuousStatsTable[[#This Row],[GroupByKey]]),(ContinuousStatsTable[GroupByKey]=ContinuousStatsTable[[#This Row],[GroupByKey]])*ContinuousStatsTable[Average]))</f>
        <v>1.4062336911317099</v>
      </c>
      <c r="T280" cm="1">
        <f t="array" ref="T280">MAX(IF((ContinuousStatsTable[GroupByKey]=ContinuousStatsTable[[#This Row],[GroupByKey]]),(ContinuousStatsTable[GroupByKey]=ContinuousStatsTable[[#This Row],[GroupByKey]])*ContinuousStatsTable[Average]))</f>
        <v>1.5889769030929</v>
      </c>
      <c r="U280">
        <f>IF((ContinuousStatsTable[[#This Row],[RepsRequested]]&gt;1),ContinuousStatsTable[[#This Row],[HalfWidth]],ContinuousStatsTable[[#This Row],[BatchMeansHalfWidth]])</f>
        <v>1.602866983772662E-2</v>
      </c>
    </row>
    <row r="281" spans="1:21" x14ac:dyDescent="0.2">
      <c r="A281" t="s">
        <v>67</v>
      </c>
      <c r="B281" t="s">
        <v>70</v>
      </c>
      <c r="C281">
        <v>12</v>
      </c>
      <c r="D281" t="s">
        <v>102</v>
      </c>
      <c r="E281" t="s">
        <v>94</v>
      </c>
      <c r="F281" t="s">
        <v>95</v>
      </c>
      <c r="G281">
        <v>5.5482456140350904E-3</v>
      </c>
      <c r="H281">
        <v>9.5887378570681705E-4</v>
      </c>
      <c r="I281">
        <v>0</v>
      </c>
      <c r="J281">
        <v>0.1</v>
      </c>
      <c r="K281">
        <v>0</v>
      </c>
      <c r="L281">
        <v>0</v>
      </c>
      <c r="M281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281" cm="1">
        <f t="array" ref="N281">MAX(IF((ProjectInfoTable[ProjectName]=ContinuousStatsTable[[#This Row],[ProjectName]]),(ProjectInfoTable[ProjectName]=ContinuousStatsTable[[#This Row],[ProjectName]])*ProjectInfoTable[NumberOfReplications]))</f>
        <v>30</v>
      </c>
      <c r="O281" cm="1">
        <f t="array" ref="O281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281" cm="1">
        <f t="array" ref="P281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281" cm="1">
        <f t="array" ref="Q281">MAX(IF((ProjectInfoTable[ProjectName]=ContinuousStatsTable[[#This Row],[ProjectName]]),(ProjectInfoTable[ProjectName]=ContinuousStatsTable[[#This Row],[ProjectName]])*ProjectInfoTable[ConfidenceInterval]))</f>
        <v>0.95</v>
      </c>
      <c r="R2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281" cm="1">
        <f t="array" ref="S281">MIN(IF((ContinuousStatsTable[GroupByKey]=ContinuousStatsTable[[#This Row],[GroupByKey]]),(ContinuousStatsTable[GroupByKey]=ContinuousStatsTable[[#This Row],[GroupByKey]])*ContinuousStatsTable[Average]))</f>
        <v>4.4956140350877203E-3</v>
      </c>
      <c r="T281" cm="1">
        <f t="array" ref="T281">MAX(IF((ContinuousStatsTable[GroupByKey]=ContinuousStatsTable[[#This Row],[GroupByKey]]),(ContinuousStatsTable[GroupByKey]=ContinuousStatsTable[[#This Row],[GroupByKey]])*ContinuousStatsTable[Average]))</f>
        <v>5.5482456140350904E-3</v>
      </c>
      <c r="U281">
        <f>IF((ContinuousStatsTable[[#This Row],[RepsRequested]]&gt;1),ContinuousStatsTable[[#This Row],[HalfWidth]],ContinuousStatsTable[[#This Row],[BatchMeansHalfWidth]])</f>
        <v>1.0144486472958472E-4</v>
      </c>
    </row>
    <row r="282" spans="1:21" x14ac:dyDescent="0.2">
      <c r="A282" t="s">
        <v>67</v>
      </c>
      <c r="B282" t="s">
        <v>70</v>
      </c>
      <c r="C282">
        <v>12</v>
      </c>
      <c r="D282" t="s">
        <v>102</v>
      </c>
      <c r="E282" t="s">
        <v>96</v>
      </c>
      <c r="F282" t="s">
        <v>95</v>
      </c>
      <c r="G282">
        <v>0.110964912280702</v>
      </c>
      <c r="H282">
        <v>1.9177475714136302E-2</v>
      </c>
      <c r="I282">
        <v>0</v>
      </c>
      <c r="J282">
        <v>2</v>
      </c>
      <c r="K282">
        <v>0</v>
      </c>
      <c r="L282">
        <v>0</v>
      </c>
      <c r="M282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282" cm="1">
        <f t="array" ref="N282">MAX(IF((ProjectInfoTable[ProjectName]=ContinuousStatsTable[[#This Row],[ProjectName]]),(ProjectInfoTable[ProjectName]=ContinuousStatsTable[[#This Row],[ProjectName]])*ProjectInfoTable[NumberOfReplications]))</f>
        <v>30</v>
      </c>
      <c r="O282" cm="1">
        <f t="array" ref="O282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282" cm="1">
        <f t="array" ref="P282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282" cm="1">
        <f t="array" ref="Q282">MAX(IF((ProjectInfoTable[ProjectName]=ContinuousStatsTable[[#This Row],[ProjectName]]),(ProjectInfoTable[ProjectName]=ContinuousStatsTable[[#This Row],[ProjectName]])*ProjectInfoTable[ConfidenceInterval]))</f>
        <v>0.95</v>
      </c>
      <c r="R2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282" cm="1">
        <f t="array" ref="S282">MIN(IF((ContinuousStatsTable[GroupByKey]=ContinuousStatsTable[[#This Row],[GroupByKey]]),(ContinuousStatsTable[GroupByKey]=ContinuousStatsTable[[#This Row],[GroupByKey]])*ContinuousStatsTable[Average]))</f>
        <v>8.9912280701754305E-2</v>
      </c>
      <c r="T282" cm="1">
        <f t="array" ref="T282">MAX(IF((ContinuousStatsTable[GroupByKey]=ContinuousStatsTable[[#This Row],[GroupByKey]]),(ContinuousStatsTable[GroupByKey]=ContinuousStatsTable[[#This Row],[GroupByKey]])*ContinuousStatsTable[Average]))</f>
        <v>0.110964912280702</v>
      </c>
      <c r="U282">
        <f>IF((ContinuousStatsTable[[#This Row],[RepsRequested]]&gt;1),ContinuousStatsTable[[#This Row],[HalfWidth]],ContinuousStatsTable[[#This Row],[BatchMeansHalfWidth]])</f>
        <v>2.0288972945916956E-3</v>
      </c>
    </row>
    <row r="283" spans="1:21" x14ac:dyDescent="0.2">
      <c r="A283" t="s">
        <v>67</v>
      </c>
      <c r="B283" t="s">
        <v>70</v>
      </c>
      <c r="C283">
        <v>12</v>
      </c>
      <c r="D283" t="s">
        <v>102</v>
      </c>
      <c r="E283" t="s">
        <v>97</v>
      </c>
      <c r="F283" t="s">
        <v>95</v>
      </c>
      <c r="G283">
        <v>20</v>
      </c>
      <c r="H283">
        <v>2E+20</v>
      </c>
      <c r="I283">
        <v>20</v>
      </c>
      <c r="J283">
        <v>20</v>
      </c>
      <c r="K283">
        <v>20</v>
      </c>
      <c r="L283">
        <v>0</v>
      </c>
      <c r="M283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283" cm="1">
        <f t="array" ref="N283">MAX(IF((ProjectInfoTable[ProjectName]=ContinuousStatsTable[[#This Row],[ProjectName]]),(ProjectInfoTable[ProjectName]=ContinuousStatsTable[[#This Row],[ProjectName]])*ProjectInfoTable[NumberOfReplications]))</f>
        <v>30</v>
      </c>
      <c r="O283" cm="1">
        <f t="array" ref="O283">IFERROR(AVERAGE(IF((ContinuousStatsTable[GroupByKey]=ContinuousStatsTable[[#This Row],[GroupByKey]]),(ContinuousStatsTable[GroupByKey]=ContinuousStatsTable[[#This Row],[GroupByKey]])*ContinuousStatsTable[Average])),0)</f>
        <v>20</v>
      </c>
      <c r="P283" cm="1">
        <f t="array" ref="P283">IFERROR(_xlfn.STDEV.S(IF((ContinuousStatsTable[GroupByKey]=ContinuousStatsTable[[#This Row],[GroupByKey]]),(ContinuousStatsTable[GroupByKey]=ContinuousStatsTable[[#This Row],[GroupByKey]])*ContinuousStatsTable[Average])),0)</f>
        <v>0</v>
      </c>
      <c r="Q283" cm="1">
        <f t="array" ref="Q283">MAX(IF((ProjectInfoTable[ProjectName]=ContinuousStatsTable[[#This Row],[ProjectName]]),(ProjectInfoTable[ProjectName]=ContinuousStatsTable[[#This Row],[ProjectName]])*ProjectInfoTable[ConfidenceInterval]))</f>
        <v>0.95</v>
      </c>
      <c r="R2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3" cm="1">
        <f t="array" ref="S283">MIN(IF((ContinuousStatsTable[GroupByKey]=ContinuousStatsTable[[#This Row],[GroupByKey]]),(ContinuousStatsTable[GroupByKey]=ContinuousStatsTable[[#This Row],[GroupByKey]])*ContinuousStatsTable[Average]))</f>
        <v>20</v>
      </c>
      <c r="T283" cm="1">
        <f t="array" ref="T283">MAX(IF((ContinuousStatsTable[GroupByKey]=ContinuousStatsTable[[#This Row],[GroupByKey]]),(ContinuousStatsTable[GroupByKey]=ContinuousStatsTable[[#This Row],[GroupByKey]])*ContinuousStatsTable[Average]))</f>
        <v>20</v>
      </c>
      <c r="U283">
        <f>IF((ContinuousStatsTable[[#This Row],[RepsRequested]]&gt;1),ContinuousStatsTable[[#This Row],[HalfWidth]],ContinuousStatsTable[[#This Row],[BatchMeansHalfWidth]])</f>
        <v>0</v>
      </c>
    </row>
    <row r="284" spans="1:21" x14ac:dyDescent="0.2">
      <c r="A284" t="s">
        <v>67</v>
      </c>
      <c r="B284" t="s">
        <v>70</v>
      </c>
      <c r="C284">
        <v>12</v>
      </c>
      <c r="D284" t="s">
        <v>90</v>
      </c>
      <c r="E284" t="s">
        <v>98</v>
      </c>
      <c r="F284" t="s">
        <v>73</v>
      </c>
      <c r="G284">
        <v>0</v>
      </c>
      <c r="H284">
        <v>2E+20</v>
      </c>
      <c r="I284">
        <v>0</v>
      </c>
      <c r="J284">
        <v>0</v>
      </c>
      <c r="K284">
        <v>0</v>
      </c>
      <c r="L284">
        <v>0</v>
      </c>
      <c r="M284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284" cm="1">
        <f t="array" ref="N284">MAX(IF((ProjectInfoTable[ProjectName]=ContinuousStatsTable[[#This Row],[ProjectName]]),(ProjectInfoTable[ProjectName]=ContinuousStatsTable[[#This Row],[ProjectName]])*ProjectInfoTable[NumberOfReplications]))</f>
        <v>30</v>
      </c>
      <c r="O284" cm="1">
        <f t="array" ref="O284">IFERROR(AVERAGE(IF((ContinuousStatsTable[GroupByKey]=ContinuousStatsTable[[#This Row],[GroupByKey]]),(ContinuousStatsTable[GroupByKey]=ContinuousStatsTable[[#This Row],[GroupByKey]])*ContinuousStatsTable[Average])),0)</f>
        <v>0</v>
      </c>
      <c r="P284" cm="1">
        <f t="array" ref="P284">IFERROR(_xlfn.STDEV.S(IF((ContinuousStatsTable[GroupByKey]=ContinuousStatsTable[[#This Row],[GroupByKey]]),(ContinuousStatsTable[GroupByKey]=ContinuousStatsTable[[#This Row],[GroupByKey]])*ContinuousStatsTable[Average])),0)</f>
        <v>0</v>
      </c>
      <c r="Q284" cm="1">
        <f t="array" ref="Q284">MAX(IF((ProjectInfoTable[ProjectName]=ContinuousStatsTable[[#This Row],[ProjectName]]),(ProjectInfoTable[ProjectName]=ContinuousStatsTable[[#This Row],[ProjectName]])*ProjectInfoTable[ConfidenceInterval]))</f>
        <v>0.95</v>
      </c>
      <c r="R2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4" cm="1">
        <f t="array" ref="S284">MIN(IF((ContinuousStatsTable[GroupByKey]=ContinuousStatsTable[[#This Row],[GroupByKey]]),(ContinuousStatsTable[GroupByKey]=ContinuousStatsTable[[#This Row],[GroupByKey]])*ContinuousStatsTable[Average]))</f>
        <v>0</v>
      </c>
      <c r="T284" cm="1">
        <f t="array" ref="T284">MAX(IF((ContinuousStatsTable[GroupByKey]=ContinuousStatsTable[[#This Row],[GroupByKey]]),(ContinuousStatsTable[GroupByKey]=ContinuousStatsTable[[#This Row],[GroupByKey]])*ContinuousStatsTable[Average]))</f>
        <v>0</v>
      </c>
      <c r="U284">
        <f>IF((ContinuousStatsTable[[#This Row],[RepsRequested]]&gt;1),ContinuousStatsTable[[#This Row],[HalfWidth]],ContinuousStatsTable[[#This Row],[BatchMeansHalfWidth]])</f>
        <v>0</v>
      </c>
    </row>
    <row r="285" spans="1:21" x14ac:dyDescent="0.2">
      <c r="A285" t="s">
        <v>67</v>
      </c>
      <c r="B285" t="s">
        <v>70</v>
      </c>
      <c r="C285">
        <v>12</v>
      </c>
      <c r="D285" t="s">
        <v>91</v>
      </c>
      <c r="E285" t="s">
        <v>98</v>
      </c>
      <c r="F285" t="s">
        <v>73</v>
      </c>
      <c r="G285">
        <v>0</v>
      </c>
      <c r="H285">
        <v>2E+20</v>
      </c>
      <c r="I285">
        <v>0</v>
      </c>
      <c r="J285">
        <v>0</v>
      </c>
      <c r="K285">
        <v>0</v>
      </c>
      <c r="L285">
        <v>0</v>
      </c>
      <c r="M285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285" cm="1">
        <f t="array" ref="N285">MAX(IF((ProjectInfoTable[ProjectName]=ContinuousStatsTable[[#This Row],[ProjectName]]),(ProjectInfoTable[ProjectName]=ContinuousStatsTable[[#This Row],[ProjectName]])*ProjectInfoTable[NumberOfReplications]))</f>
        <v>30</v>
      </c>
      <c r="O285" cm="1">
        <f t="array" ref="O285">IFERROR(AVERAGE(IF((ContinuousStatsTable[GroupByKey]=ContinuousStatsTable[[#This Row],[GroupByKey]]),(ContinuousStatsTable[GroupByKey]=ContinuousStatsTable[[#This Row],[GroupByKey]])*ContinuousStatsTable[Average])),0)</f>
        <v>0</v>
      </c>
      <c r="P285" cm="1">
        <f t="array" ref="P285">IFERROR(_xlfn.STDEV.S(IF((ContinuousStatsTable[GroupByKey]=ContinuousStatsTable[[#This Row],[GroupByKey]]),(ContinuousStatsTable[GroupByKey]=ContinuousStatsTable[[#This Row],[GroupByKey]])*ContinuousStatsTable[Average])),0)</f>
        <v>0</v>
      </c>
      <c r="Q285" cm="1">
        <f t="array" ref="Q285">MAX(IF((ProjectInfoTable[ProjectName]=ContinuousStatsTable[[#This Row],[ProjectName]]),(ProjectInfoTable[ProjectName]=ContinuousStatsTable[[#This Row],[ProjectName]])*ProjectInfoTable[ConfidenceInterval]))</f>
        <v>0.95</v>
      </c>
      <c r="R2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5" cm="1">
        <f t="array" ref="S285">MIN(IF((ContinuousStatsTable[GroupByKey]=ContinuousStatsTable[[#This Row],[GroupByKey]]),(ContinuousStatsTable[GroupByKey]=ContinuousStatsTable[[#This Row],[GroupByKey]])*ContinuousStatsTable[Average]))</f>
        <v>0</v>
      </c>
      <c r="T285" cm="1">
        <f t="array" ref="T285">MAX(IF((ContinuousStatsTable[GroupByKey]=ContinuousStatsTable[[#This Row],[GroupByKey]]),(ContinuousStatsTable[GroupByKey]=ContinuousStatsTable[[#This Row],[GroupByKey]])*ContinuousStatsTable[Average]))</f>
        <v>0</v>
      </c>
      <c r="U285">
        <f>IF((ContinuousStatsTable[[#This Row],[RepsRequested]]&gt;1),ContinuousStatsTable[[#This Row],[HalfWidth]],ContinuousStatsTable[[#This Row],[BatchMeansHalfWidth]])</f>
        <v>0</v>
      </c>
    </row>
    <row r="286" spans="1:21" x14ac:dyDescent="0.2">
      <c r="A286" t="s">
        <v>67</v>
      </c>
      <c r="B286" t="s">
        <v>70</v>
      </c>
      <c r="C286">
        <v>12</v>
      </c>
      <c r="D286" t="s">
        <v>92</v>
      </c>
      <c r="E286" t="s">
        <v>98</v>
      </c>
      <c r="F286" t="s">
        <v>73</v>
      </c>
      <c r="G286">
        <v>0</v>
      </c>
      <c r="H286">
        <v>2E+20</v>
      </c>
      <c r="I286">
        <v>0</v>
      </c>
      <c r="J286">
        <v>0</v>
      </c>
      <c r="K286">
        <v>0</v>
      </c>
      <c r="L286">
        <v>0</v>
      </c>
      <c r="M286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286" cm="1">
        <f t="array" ref="N286">MAX(IF((ProjectInfoTable[ProjectName]=ContinuousStatsTable[[#This Row],[ProjectName]]),(ProjectInfoTable[ProjectName]=ContinuousStatsTable[[#This Row],[ProjectName]])*ProjectInfoTable[NumberOfReplications]))</f>
        <v>30</v>
      </c>
      <c r="O286" cm="1">
        <f t="array" ref="O286">IFERROR(AVERAGE(IF((ContinuousStatsTable[GroupByKey]=ContinuousStatsTable[[#This Row],[GroupByKey]]),(ContinuousStatsTable[GroupByKey]=ContinuousStatsTable[[#This Row],[GroupByKey]])*ContinuousStatsTable[Average])),0)</f>
        <v>0</v>
      </c>
      <c r="P286" cm="1">
        <f t="array" ref="P286">IFERROR(_xlfn.STDEV.S(IF((ContinuousStatsTable[GroupByKey]=ContinuousStatsTable[[#This Row],[GroupByKey]]),(ContinuousStatsTable[GroupByKey]=ContinuousStatsTable[[#This Row],[GroupByKey]])*ContinuousStatsTable[Average])),0)</f>
        <v>0</v>
      </c>
      <c r="Q286" cm="1">
        <f t="array" ref="Q286">MAX(IF((ProjectInfoTable[ProjectName]=ContinuousStatsTable[[#This Row],[ProjectName]]),(ProjectInfoTable[ProjectName]=ContinuousStatsTable[[#This Row],[ProjectName]])*ProjectInfoTable[ConfidenceInterval]))</f>
        <v>0.95</v>
      </c>
      <c r="R2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6" cm="1">
        <f t="array" ref="S286">MIN(IF((ContinuousStatsTable[GroupByKey]=ContinuousStatsTable[[#This Row],[GroupByKey]]),(ContinuousStatsTable[GroupByKey]=ContinuousStatsTable[[#This Row],[GroupByKey]])*ContinuousStatsTable[Average]))</f>
        <v>0</v>
      </c>
      <c r="T286" cm="1">
        <f t="array" ref="T286">MAX(IF((ContinuousStatsTable[GroupByKey]=ContinuousStatsTable[[#This Row],[GroupByKey]]),(ContinuousStatsTable[GroupByKey]=ContinuousStatsTable[[#This Row],[GroupByKey]])*ContinuousStatsTable[Average]))</f>
        <v>0</v>
      </c>
      <c r="U286">
        <f>IF((ContinuousStatsTable[[#This Row],[RepsRequested]]&gt;1),ContinuousStatsTable[[#This Row],[HalfWidth]],ContinuousStatsTable[[#This Row],[BatchMeansHalfWidth]])</f>
        <v>0</v>
      </c>
    </row>
    <row r="287" spans="1:21" x14ac:dyDescent="0.2">
      <c r="A287" t="s">
        <v>67</v>
      </c>
      <c r="B287" t="s">
        <v>70</v>
      </c>
      <c r="C287">
        <v>12</v>
      </c>
      <c r="D287" t="s">
        <v>103</v>
      </c>
      <c r="E287" t="s">
        <v>94</v>
      </c>
      <c r="F287" t="s">
        <v>95</v>
      </c>
      <c r="G287">
        <v>8.7155605256225496E-2</v>
      </c>
      <c r="H287">
        <v>2E+20</v>
      </c>
      <c r="I287">
        <v>0</v>
      </c>
      <c r="J287">
        <v>0.66666666666666696</v>
      </c>
      <c r="K287">
        <v>0</v>
      </c>
      <c r="L287">
        <v>0</v>
      </c>
      <c r="M287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287" cm="1">
        <f t="array" ref="N287">MAX(IF((ProjectInfoTable[ProjectName]=ContinuousStatsTable[[#This Row],[ProjectName]]),(ProjectInfoTable[ProjectName]=ContinuousStatsTable[[#This Row],[ProjectName]])*ProjectInfoTable[NumberOfReplications]))</f>
        <v>30</v>
      </c>
      <c r="O287" cm="1">
        <f t="array" ref="O287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287" cm="1">
        <f t="array" ref="P287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287" cm="1">
        <f t="array" ref="Q287">MAX(IF((ProjectInfoTable[ProjectName]=ContinuousStatsTable[[#This Row],[ProjectName]]),(ProjectInfoTable[ProjectName]=ContinuousStatsTable[[#This Row],[ProjectName]])*ProjectInfoTable[ConfidenceInterval]))</f>
        <v>0.95</v>
      </c>
      <c r="R2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287" cm="1">
        <f t="array" ref="S287">MIN(IF((ContinuousStatsTable[GroupByKey]=ContinuousStatsTable[[#This Row],[GroupByKey]]),(ContinuousStatsTable[GroupByKey]=ContinuousStatsTable[[#This Row],[GroupByKey]])*ContinuousStatsTable[Average]))</f>
        <v>7.7176470357846902E-2</v>
      </c>
      <c r="T287" cm="1">
        <f t="array" ref="T287">MAX(IF((ContinuousStatsTable[GroupByKey]=ContinuousStatsTable[[#This Row],[GroupByKey]]),(ContinuousStatsTable[GroupByKey]=ContinuousStatsTable[[#This Row],[GroupByKey]])*ContinuousStatsTable[Average]))</f>
        <v>9.2534326714405896E-2</v>
      </c>
      <c r="U287">
        <f>IF((ContinuousStatsTable[[#This Row],[RepsRequested]]&gt;1),ContinuousStatsTable[[#This Row],[HalfWidth]],ContinuousStatsTable[[#This Row],[BatchMeansHalfWidth]])</f>
        <v>1.3238327186697659E-3</v>
      </c>
    </row>
    <row r="288" spans="1:21" x14ac:dyDescent="0.2">
      <c r="A288" t="s">
        <v>67</v>
      </c>
      <c r="B288" t="s">
        <v>70</v>
      </c>
      <c r="C288">
        <v>12</v>
      </c>
      <c r="D288" t="s">
        <v>103</v>
      </c>
      <c r="E288" t="s">
        <v>96</v>
      </c>
      <c r="F288" t="s">
        <v>95</v>
      </c>
      <c r="G288">
        <v>0.26146681576867598</v>
      </c>
      <c r="H288">
        <v>2E+20</v>
      </c>
      <c r="I288">
        <v>0</v>
      </c>
      <c r="J288">
        <v>2</v>
      </c>
      <c r="K288">
        <v>0</v>
      </c>
      <c r="L288">
        <v>0</v>
      </c>
      <c r="M288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288" cm="1">
        <f t="array" ref="N288">MAX(IF((ProjectInfoTable[ProjectName]=ContinuousStatsTable[[#This Row],[ProjectName]]),(ProjectInfoTable[ProjectName]=ContinuousStatsTable[[#This Row],[ProjectName]])*ProjectInfoTable[NumberOfReplications]))</f>
        <v>30</v>
      </c>
      <c r="O288" cm="1">
        <f t="array" ref="O288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288" cm="1">
        <f t="array" ref="P288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288" cm="1">
        <f t="array" ref="Q288">MAX(IF((ProjectInfoTable[ProjectName]=ContinuousStatsTable[[#This Row],[ProjectName]]),(ProjectInfoTable[ProjectName]=ContinuousStatsTable[[#This Row],[ProjectName]])*ProjectInfoTable[ConfidenceInterval]))</f>
        <v>0.95</v>
      </c>
      <c r="R2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288" cm="1">
        <f t="array" ref="S288">MIN(IF((ContinuousStatsTable[GroupByKey]=ContinuousStatsTable[[#This Row],[GroupByKey]]),(ContinuousStatsTable[GroupByKey]=ContinuousStatsTable[[#This Row],[GroupByKey]])*ContinuousStatsTable[Average]))</f>
        <v>0.231529411073541</v>
      </c>
      <c r="T288" cm="1">
        <f t="array" ref="T288">MAX(IF((ContinuousStatsTable[GroupByKey]=ContinuousStatsTable[[#This Row],[GroupByKey]]),(ContinuousStatsTable[GroupByKey]=ContinuousStatsTable[[#This Row],[GroupByKey]])*ContinuousStatsTable[Average]))</f>
        <v>0.27760298014321699</v>
      </c>
      <c r="U288">
        <f>IF((ContinuousStatsTable[[#This Row],[RepsRequested]]&gt;1),ContinuousStatsTable[[#This Row],[HalfWidth]],ContinuousStatsTable[[#This Row],[BatchMeansHalfWidth]])</f>
        <v>3.9714981560092996E-3</v>
      </c>
    </row>
    <row r="289" spans="1:21" x14ac:dyDescent="0.2">
      <c r="A289" t="s">
        <v>67</v>
      </c>
      <c r="B289" t="s">
        <v>70</v>
      </c>
      <c r="C289">
        <v>12</v>
      </c>
      <c r="D289" t="s">
        <v>103</v>
      </c>
      <c r="E289" t="s">
        <v>97</v>
      </c>
      <c r="F289" t="s">
        <v>95</v>
      </c>
      <c r="G289">
        <v>3</v>
      </c>
      <c r="H289">
        <v>2E+20</v>
      </c>
      <c r="I289">
        <v>3</v>
      </c>
      <c r="J289">
        <v>3</v>
      </c>
      <c r="K289">
        <v>3</v>
      </c>
      <c r="L289">
        <v>0</v>
      </c>
      <c r="M289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289" cm="1">
        <f t="array" ref="N289">MAX(IF((ProjectInfoTable[ProjectName]=ContinuousStatsTable[[#This Row],[ProjectName]]),(ProjectInfoTable[ProjectName]=ContinuousStatsTable[[#This Row],[ProjectName]])*ProjectInfoTable[NumberOfReplications]))</f>
        <v>30</v>
      </c>
      <c r="O289" cm="1">
        <f t="array" ref="O289">IFERROR(AVERAGE(IF((ContinuousStatsTable[GroupByKey]=ContinuousStatsTable[[#This Row],[GroupByKey]]),(ContinuousStatsTable[GroupByKey]=ContinuousStatsTable[[#This Row],[GroupByKey]])*ContinuousStatsTable[Average])),0)</f>
        <v>3</v>
      </c>
      <c r="P289" cm="1">
        <f t="array" ref="P289">IFERROR(_xlfn.STDEV.S(IF((ContinuousStatsTable[GroupByKey]=ContinuousStatsTable[[#This Row],[GroupByKey]]),(ContinuousStatsTable[GroupByKey]=ContinuousStatsTable[[#This Row],[GroupByKey]])*ContinuousStatsTable[Average])),0)</f>
        <v>0</v>
      </c>
      <c r="Q289" cm="1">
        <f t="array" ref="Q289">MAX(IF((ProjectInfoTable[ProjectName]=ContinuousStatsTable[[#This Row],[ProjectName]]),(ProjectInfoTable[ProjectName]=ContinuousStatsTable[[#This Row],[ProjectName]])*ProjectInfoTable[ConfidenceInterval]))</f>
        <v>0.95</v>
      </c>
      <c r="R2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89" cm="1">
        <f t="array" ref="S289">MIN(IF((ContinuousStatsTable[GroupByKey]=ContinuousStatsTable[[#This Row],[GroupByKey]]),(ContinuousStatsTable[GroupByKey]=ContinuousStatsTable[[#This Row],[GroupByKey]])*ContinuousStatsTable[Average]))</f>
        <v>3</v>
      </c>
      <c r="T289" cm="1">
        <f t="array" ref="T289">MAX(IF((ContinuousStatsTable[GroupByKey]=ContinuousStatsTable[[#This Row],[GroupByKey]]),(ContinuousStatsTable[GroupByKey]=ContinuousStatsTable[[#This Row],[GroupByKey]])*ContinuousStatsTable[Average]))</f>
        <v>3</v>
      </c>
      <c r="U289">
        <f>IF((ContinuousStatsTable[[#This Row],[RepsRequested]]&gt;1),ContinuousStatsTable[[#This Row],[HalfWidth]],ContinuousStatsTable[[#This Row],[BatchMeansHalfWidth]])</f>
        <v>0</v>
      </c>
    </row>
    <row r="290" spans="1:21" x14ac:dyDescent="0.2">
      <c r="A290" t="s">
        <v>67</v>
      </c>
      <c r="B290" t="s">
        <v>70</v>
      </c>
      <c r="C290">
        <v>13</v>
      </c>
      <c r="D290" t="s">
        <v>93</v>
      </c>
      <c r="E290" t="s">
        <v>94</v>
      </c>
      <c r="F290" t="s">
        <v>95</v>
      </c>
      <c r="G290">
        <v>0.26026130163086397</v>
      </c>
      <c r="H290">
        <v>2.3287149119436901E-2</v>
      </c>
      <c r="I290">
        <v>0</v>
      </c>
      <c r="J290">
        <v>1</v>
      </c>
      <c r="K290">
        <v>1</v>
      </c>
      <c r="L290">
        <v>0</v>
      </c>
      <c r="M290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290" cm="1">
        <f t="array" ref="N290">MAX(IF((ProjectInfoTable[ProjectName]=ContinuousStatsTable[[#This Row],[ProjectName]]),(ProjectInfoTable[ProjectName]=ContinuousStatsTable[[#This Row],[ProjectName]])*ProjectInfoTable[NumberOfReplications]))</f>
        <v>30</v>
      </c>
      <c r="O290" cm="1">
        <f t="array" ref="O290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290" cm="1">
        <f t="array" ref="P290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290" cm="1">
        <f t="array" ref="Q290">MAX(IF((ProjectInfoTable[ProjectName]=ContinuousStatsTable[[#This Row],[ProjectName]]),(ProjectInfoTable[ProjectName]=ContinuousStatsTable[[#This Row],[ProjectName]])*ProjectInfoTable[ConfidenceInterval]))</f>
        <v>0.95</v>
      </c>
      <c r="R2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290" cm="1">
        <f t="array" ref="S290">MIN(IF((ContinuousStatsTable[GroupByKey]=ContinuousStatsTable[[#This Row],[GroupByKey]]),(ContinuousStatsTable[GroupByKey]=ContinuousStatsTable[[#This Row],[GroupByKey]])*ContinuousStatsTable[Average]))</f>
        <v>0.233333333333333</v>
      </c>
      <c r="T290" cm="1">
        <f t="array" ref="T290">MAX(IF((ContinuousStatsTable[GroupByKey]=ContinuousStatsTable[[#This Row],[GroupByKey]]),(ContinuousStatsTable[GroupByKey]=ContinuousStatsTable[[#This Row],[GroupByKey]])*ContinuousStatsTable[Average]))</f>
        <v>0.27905535859326402</v>
      </c>
      <c r="U290">
        <f>IF((ContinuousStatsTable[[#This Row],[RepsRequested]]&gt;1),ContinuousStatsTable[[#This Row],[HalfWidth]],ContinuousStatsTable[[#This Row],[BatchMeansHalfWidth]])</f>
        <v>4.2029769261323026E-3</v>
      </c>
    </row>
    <row r="291" spans="1:21" x14ac:dyDescent="0.2">
      <c r="A291" t="s">
        <v>67</v>
      </c>
      <c r="B291" t="s">
        <v>70</v>
      </c>
      <c r="C291">
        <v>13</v>
      </c>
      <c r="D291" t="s">
        <v>93</v>
      </c>
      <c r="E291" t="s">
        <v>96</v>
      </c>
      <c r="F291" t="s">
        <v>95</v>
      </c>
      <c r="G291">
        <v>0.26026130163086397</v>
      </c>
      <c r="H291">
        <v>2.3287149119436901E-2</v>
      </c>
      <c r="I291">
        <v>0</v>
      </c>
      <c r="J291">
        <v>1</v>
      </c>
      <c r="K291">
        <v>1</v>
      </c>
      <c r="L291">
        <v>0</v>
      </c>
      <c r="M291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291" cm="1">
        <f t="array" ref="N291">MAX(IF((ProjectInfoTable[ProjectName]=ContinuousStatsTable[[#This Row],[ProjectName]]),(ProjectInfoTable[ProjectName]=ContinuousStatsTable[[#This Row],[ProjectName]])*ProjectInfoTable[NumberOfReplications]))</f>
        <v>30</v>
      </c>
      <c r="O291" cm="1">
        <f t="array" ref="O291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291" cm="1">
        <f t="array" ref="P291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291" cm="1">
        <f t="array" ref="Q291">MAX(IF((ProjectInfoTable[ProjectName]=ContinuousStatsTable[[#This Row],[ProjectName]]),(ProjectInfoTable[ProjectName]=ContinuousStatsTable[[#This Row],[ProjectName]])*ProjectInfoTable[ConfidenceInterval]))</f>
        <v>0.95</v>
      </c>
      <c r="R2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291" cm="1">
        <f t="array" ref="S291">MIN(IF((ContinuousStatsTable[GroupByKey]=ContinuousStatsTable[[#This Row],[GroupByKey]]),(ContinuousStatsTable[GroupByKey]=ContinuousStatsTable[[#This Row],[GroupByKey]])*ContinuousStatsTable[Average]))</f>
        <v>0.233333333333333</v>
      </c>
      <c r="T291" cm="1">
        <f t="array" ref="T291">MAX(IF((ContinuousStatsTable[GroupByKey]=ContinuousStatsTable[[#This Row],[GroupByKey]]),(ContinuousStatsTable[GroupByKey]=ContinuousStatsTable[[#This Row],[GroupByKey]])*ContinuousStatsTable[Average]))</f>
        <v>0.27905535859326402</v>
      </c>
      <c r="U291">
        <f>IF((ContinuousStatsTable[[#This Row],[RepsRequested]]&gt;1),ContinuousStatsTable[[#This Row],[HalfWidth]],ContinuousStatsTable[[#This Row],[BatchMeansHalfWidth]])</f>
        <v>4.2029769261323026E-3</v>
      </c>
    </row>
    <row r="292" spans="1:21" x14ac:dyDescent="0.2">
      <c r="A292" t="s">
        <v>67</v>
      </c>
      <c r="B292" t="s">
        <v>70</v>
      </c>
      <c r="C292">
        <v>13</v>
      </c>
      <c r="D292" t="s">
        <v>93</v>
      </c>
      <c r="E292" t="s">
        <v>97</v>
      </c>
      <c r="F292" t="s">
        <v>95</v>
      </c>
      <c r="G292">
        <v>1</v>
      </c>
      <c r="H292">
        <v>2E+20</v>
      </c>
      <c r="I292">
        <v>1</v>
      </c>
      <c r="J292">
        <v>1</v>
      </c>
      <c r="K292">
        <v>1</v>
      </c>
      <c r="L292">
        <v>0</v>
      </c>
      <c r="M292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292" cm="1">
        <f t="array" ref="N292">MAX(IF((ProjectInfoTable[ProjectName]=ContinuousStatsTable[[#This Row],[ProjectName]]),(ProjectInfoTable[ProjectName]=ContinuousStatsTable[[#This Row],[ProjectName]])*ProjectInfoTable[NumberOfReplications]))</f>
        <v>30</v>
      </c>
      <c r="O292" cm="1">
        <f t="array" ref="O292">IFERROR(AVERAGE(IF((ContinuousStatsTable[GroupByKey]=ContinuousStatsTable[[#This Row],[GroupByKey]]),(ContinuousStatsTable[GroupByKey]=ContinuousStatsTable[[#This Row],[GroupByKey]])*ContinuousStatsTable[Average])),0)</f>
        <v>1</v>
      </c>
      <c r="P292" cm="1">
        <f t="array" ref="P292">IFERROR(_xlfn.STDEV.S(IF((ContinuousStatsTable[GroupByKey]=ContinuousStatsTable[[#This Row],[GroupByKey]]),(ContinuousStatsTable[GroupByKey]=ContinuousStatsTable[[#This Row],[GroupByKey]])*ContinuousStatsTable[Average])),0)</f>
        <v>0</v>
      </c>
      <c r="Q292" cm="1">
        <f t="array" ref="Q292">MAX(IF((ProjectInfoTable[ProjectName]=ContinuousStatsTable[[#This Row],[ProjectName]]),(ProjectInfoTable[ProjectName]=ContinuousStatsTable[[#This Row],[ProjectName]])*ProjectInfoTable[ConfidenceInterval]))</f>
        <v>0.95</v>
      </c>
      <c r="R2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2" cm="1">
        <f t="array" ref="S292">MIN(IF((ContinuousStatsTable[GroupByKey]=ContinuousStatsTable[[#This Row],[GroupByKey]]),(ContinuousStatsTable[GroupByKey]=ContinuousStatsTable[[#This Row],[GroupByKey]])*ContinuousStatsTable[Average]))</f>
        <v>1</v>
      </c>
      <c r="T292" cm="1">
        <f t="array" ref="T292">MAX(IF((ContinuousStatsTable[GroupByKey]=ContinuousStatsTable[[#This Row],[GroupByKey]]),(ContinuousStatsTable[GroupByKey]=ContinuousStatsTable[[#This Row],[GroupByKey]])*ContinuousStatsTable[Average]))</f>
        <v>1</v>
      </c>
      <c r="U292">
        <f>IF((ContinuousStatsTable[[#This Row],[RepsRequested]]&gt;1),ContinuousStatsTable[[#This Row],[HalfWidth]],ContinuousStatsTable[[#This Row],[BatchMeansHalfWidth]])</f>
        <v>0</v>
      </c>
    </row>
    <row r="293" spans="1:21" x14ac:dyDescent="0.2">
      <c r="A293" t="s">
        <v>67</v>
      </c>
      <c r="B293" t="s">
        <v>70</v>
      </c>
      <c r="C293">
        <v>13</v>
      </c>
      <c r="D293" t="s">
        <v>71</v>
      </c>
      <c r="E293" t="s">
        <v>98</v>
      </c>
      <c r="F293" t="s">
        <v>73</v>
      </c>
      <c r="G293">
        <v>2.7322327391525798E-2</v>
      </c>
      <c r="H293">
        <v>2E+20</v>
      </c>
      <c r="I293">
        <v>0</v>
      </c>
      <c r="J293">
        <v>2</v>
      </c>
      <c r="K293">
        <v>0</v>
      </c>
      <c r="L293">
        <v>0</v>
      </c>
      <c r="M293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293" cm="1">
        <f t="array" ref="N293">MAX(IF((ProjectInfoTable[ProjectName]=ContinuousStatsTable[[#This Row],[ProjectName]]),(ProjectInfoTable[ProjectName]=ContinuousStatsTable[[#This Row],[ProjectName]])*ProjectInfoTable[NumberOfReplications]))</f>
        <v>30</v>
      </c>
      <c r="O293" cm="1">
        <f t="array" ref="O293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293" cm="1">
        <f t="array" ref="P293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293" cm="1">
        <f t="array" ref="Q293">MAX(IF((ProjectInfoTable[ProjectName]=ContinuousStatsTable[[#This Row],[ProjectName]]),(ProjectInfoTable[ProjectName]=ContinuousStatsTable[[#This Row],[ProjectName]])*ProjectInfoTable[ConfidenceInterval]))</f>
        <v>0.95</v>
      </c>
      <c r="R2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293" cm="1">
        <f t="array" ref="S293">MIN(IF((ContinuousStatsTable[GroupByKey]=ContinuousStatsTable[[#This Row],[GroupByKey]]),(ContinuousStatsTable[GroupByKey]=ContinuousStatsTable[[#This Row],[GroupByKey]])*ContinuousStatsTable[Average]))</f>
        <v>1.9664517785186901E-2</v>
      </c>
      <c r="T293" cm="1">
        <f t="array" ref="T293">MAX(IF((ContinuousStatsTable[GroupByKey]=ContinuousStatsTable[[#This Row],[GroupByKey]]),(ContinuousStatsTable[GroupByKey]=ContinuousStatsTable[[#This Row],[GroupByKey]])*ContinuousStatsTable[Average]))</f>
        <v>3.9738966906982302E-2</v>
      </c>
      <c r="U293">
        <f>IF((ContinuousStatsTable[[#This Row],[RepsRequested]]&gt;1),ContinuousStatsTable[[#This Row],[HalfWidth]],ContinuousStatsTable[[#This Row],[BatchMeansHalfWidth]])</f>
        <v>1.6627262085570247E-3</v>
      </c>
    </row>
    <row r="294" spans="1:21" x14ac:dyDescent="0.2">
      <c r="A294" t="s">
        <v>67</v>
      </c>
      <c r="B294" t="s">
        <v>70</v>
      </c>
      <c r="C294">
        <v>13</v>
      </c>
      <c r="D294" t="s">
        <v>99</v>
      </c>
      <c r="E294" t="s">
        <v>94</v>
      </c>
      <c r="F294" t="s">
        <v>95</v>
      </c>
      <c r="G294">
        <v>0.65057958120381199</v>
      </c>
      <c r="H294">
        <v>2E+20</v>
      </c>
      <c r="I294">
        <v>0</v>
      </c>
      <c r="J294">
        <v>1</v>
      </c>
      <c r="K294">
        <v>1</v>
      </c>
      <c r="L294">
        <v>0</v>
      </c>
      <c r="M294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294" cm="1">
        <f t="array" ref="N294">MAX(IF((ProjectInfoTable[ProjectName]=ContinuousStatsTable[[#This Row],[ProjectName]]),(ProjectInfoTable[ProjectName]=ContinuousStatsTable[[#This Row],[ProjectName]])*ProjectInfoTable[NumberOfReplications]))</f>
        <v>30</v>
      </c>
      <c r="O294" cm="1">
        <f t="array" ref="O294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294" cm="1">
        <f t="array" ref="P294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294" cm="1">
        <f t="array" ref="Q294">MAX(IF((ProjectInfoTable[ProjectName]=ContinuousStatsTable[[#This Row],[ProjectName]]),(ProjectInfoTable[ProjectName]=ContinuousStatsTable[[#This Row],[ProjectName]])*ProjectInfoTable[ConfidenceInterval]))</f>
        <v>0.95</v>
      </c>
      <c r="R2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294" cm="1">
        <f t="array" ref="S294">MIN(IF((ContinuousStatsTable[GroupByKey]=ContinuousStatsTable[[#This Row],[GroupByKey]]),(ContinuousStatsTable[GroupByKey]=ContinuousStatsTable[[#This Row],[GroupByKey]])*ContinuousStatsTable[Average]))</f>
        <v>0.58256422876290004</v>
      </c>
      <c r="T294" cm="1">
        <f t="array" ref="T294">MAX(IF((ContinuousStatsTable[GroupByKey]=ContinuousStatsTable[[#This Row],[GroupByKey]]),(ContinuousStatsTable[GroupByKey]=ContinuousStatsTable[[#This Row],[GroupByKey]])*ContinuousStatsTable[Average]))</f>
        <v>0.68643238055161704</v>
      </c>
      <c r="U294">
        <f>IF((ContinuousStatsTable[[#This Row],[RepsRequested]]&gt;1),ContinuousStatsTable[[#This Row],[HalfWidth]],ContinuousStatsTable[[#This Row],[BatchMeansHalfWidth]])</f>
        <v>9.8490003000806757E-3</v>
      </c>
    </row>
    <row r="295" spans="1:21" x14ac:dyDescent="0.2">
      <c r="A295" t="s">
        <v>67</v>
      </c>
      <c r="B295" t="s">
        <v>70</v>
      </c>
      <c r="C295">
        <v>13</v>
      </c>
      <c r="D295" t="s">
        <v>99</v>
      </c>
      <c r="E295" t="s">
        <v>96</v>
      </c>
      <c r="F295" t="s">
        <v>95</v>
      </c>
      <c r="G295">
        <v>1.30115916240762</v>
      </c>
      <c r="H295">
        <v>2E+20</v>
      </c>
      <c r="I295">
        <v>0</v>
      </c>
      <c r="J295">
        <v>2</v>
      </c>
      <c r="K295">
        <v>2</v>
      </c>
      <c r="L295">
        <v>0</v>
      </c>
      <c r="M295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295" cm="1">
        <f t="array" ref="N295">MAX(IF((ProjectInfoTable[ProjectName]=ContinuousStatsTable[[#This Row],[ProjectName]]),(ProjectInfoTable[ProjectName]=ContinuousStatsTable[[#This Row],[ProjectName]])*ProjectInfoTable[NumberOfReplications]))</f>
        <v>30</v>
      </c>
      <c r="O295" cm="1">
        <f t="array" ref="O295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295" cm="1">
        <f t="array" ref="P295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295" cm="1">
        <f t="array" ref="Q295">MAX(IF((ProjectInfoTable[ProjectName]=ContinuousStatsTable[[#This Row],[ProjectName]]),(ProjectInfoTable[ProjectName]=ContinuousStatsTable[[#This Row],[ProjectName]])*ProjectInfoTable[ConfidenceInterval]))</f>
        <v>0.95</v>
      </c>
      <c r="R2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295" cm="1">
        <f t="array" ref="S295">MIN(IF((ContinuousStatsTable[GroupByKey]=ContinuousStatsTable[[#This Row],[GroupByKey]]),(ContinuousStatsTable[GroupByKey]=ContinuousStatsTable[[#This Row],[GroupByKey]])*ContinuousStatsTable[Average]))</f>
        <v>1.1651284575258001</v>
      </c>
      <c r="T295" cm="1">
        <f t="array" ref="T295">MAX(IF((ContinuousStatsTable[GroupByKey]=ContinuousStatsTable[[#This Row],[GroupByKey]]),(ContinuousStatsTable[GroupByKey]=ContinuousStatsTable[[#This Row],[GroupByKey]])*ContinuousStatsTable[Average]))</f>
        <v>1.3728647611032301</v>
      </c>
      <c r="U295">
        <f>IF((ContinuousStatsTable[[#This Row],[RepsRequested]]&gt;1),ContinuousStatsTable[[#This Row],[HalfWidth]],ContinuousStatsTable[[#This Row],[BatchMeansHalfWidth]])</f>
        <v>1.9698000600160998E-2</v>
      </c>
    </row>
    <row r="296" spans="1:21" x14ac:dyDescent="0.2">
      <c r="A296" t="s">
        <v>67</v>
      </c>
      <c r="B296" t="s">
        <v>70</v>
      </c>
      <c r="C296">
        <v>13</v>
      </c>
      <c r="D296" t="s">
        <v>99</v>
      </c>
      <c r="E296" t="s">
        <v>97</v>
      </c>
      <c r="F296" t="s">
        <v>95</v>
      </c>
      <c r="G296">
        <v>2</v>
      </c>
      <c r="H296">
        <v>2E+20</v>
      </c>
      <c r="I296">
        <v>2</v>
      </c>
      <c r="J296">
        <v>2</v>
      </c>
      <c r="K296">
        <v>2</v>
      </c>
      <c r="L296">
        <v>0</v>
      </c>
      <c r="M296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296" cm="1">
        <f t="array" ref="N296">MAX(IF((ProjectInfoTable[ProjectName]=ContinuousStatsTable[[#This Row],[ProjectName]]),(ProjectInfoTable[ProjectName]=ContinuousStatsTable[[#This Row],[ProjectName]])*ProjectInfoTable[NumberOfReplications]))</f>
        <v>30</v>
      </c>
      <c r="O296" cm="1">
        <f t="array" ref="O296">IFERROR(AVERAGE(IF((ContinuousStatsTable[GroupByKey]=ContinuousStatsTable[[#This Row],[GroupByKey]]),(ContinuousStatsTable[GroupByKey]=ContinuousStatsTable[[#This Row],[GroupByKey]])*ContinuousStatsTable[Average])),0)</f>
        <v>2</v>
      </c>
      <c r="P296" cm="1">
        <f t="array" ref="P296">IFERROR(_xlfn.STDEV.S(IF((ContinuousStatsTable[GroupByKey]=ContinuousStatsTable[[#This Row],[GroupByKey]]),(ContinuousStatsTable[GroupByKey]=ContinuousStatsTable[[#This Row],[GroupByKey]])*ContinuousStatsTable[Average])),0)</f>
        <v>0</v>
      </c>
      <c r="Q296" cm="1">
        <f t="array" ref="Q296">MAX(IF((ProjectInfoTable[ProjectName]=ContinuousStatsTable[[#This Row],[ProjectName]]),(ProjectInfoTable[ProjectName]=ContinuousStatsTable[[#This Row],[ProjectName]])*ProjectInfoTable[ConfidenceInterval]))</f>
        <v>0.95</v>
      </c>
      <c r="R2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96" cm="1">
        <f t="array" ref="S296">MIN(IF((ContinuousStatsTable[GroupByKey]=ContinuousStatsTable[[#This Row],[GroupByKey]]),(ContinuousStatsTable[GroupByKey]=ContinuousStatsTable[[#This Row],[GroupByKey]])*ContinuousStatsTable[Average]))</f>
        <v>2</v>
      </c>
      <c r="T296" cm="1">
        <f t="array" ref="T296">MAX(IF((ContinuousStatsTable[GroupByKey]=ContinuousStatsTable[[#This Row],[GroupByKey]]),(ContinuousStatsTable[GroupByKey]=ContinuousStatsTable[[#This Row],[GroupByKey]])*ContinuousStatsTable[Average]))</f>
        <v>2</v>
      </c>
      <c r="U296">
        <f>IF((ContinuousStatsTable[[#This Row],[RepsRequested]]&gt;1),ContinuousStatsTable[[#This Row],[HalfWidth]],ContinuousStatsTable[[#This Row],[BatchMeansHalfWidth]])</f>
        <v>0</v>
      </c>
    </row>
    <row r="297" spans="1:21" x14ac:dyDescent="0.2">
      <c r="A297" t="s">
        <v>67</v>
      </c>
      <c r="B297" t="s">
        <v>70</v>
      </c>
      <c r="C297">
        <v>13</v>
      </c>
      <c r="D297" t="s">
        <v>74</v>
      </c>
      <c r="E297" t="s">
        <v>100</v>
      </c>
      <c r="F297" t="s">
        <v>76</v>
      </c>
      <c r="G297">
        <v>16.367874469329902</v>
      </c>
      <c r="H297">
        <v>1.19842484998098</v>
      </c>
      <c r="I297">
        <v>4</v>
      </c>
      <c r="J297">
        <v>32</v>
      </c>
      <c r="K297">
        <v>14</v>
      </c>
      <c r="L297">
        <v>0</v>
      </c>
      <c r="M2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97" cm="1">
        <f t="array" ref="N297">MAX(IF((ProjectInfoTable[ProjectName]=ContinuousStatsTable[[#This Row],[ProjectName]]),(ProjectInfoTable[ProjectName]=ContinuousStatsTable[[#This Row],[ProjectName]])*ProjectInfoTable[NumberOfReplications]))</f>
        <v>30</v>
      </c>
      <c r="O297" cm="1">
        <f t="array" ref="O297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297" cm="1">
        <f t="array" ref="P297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297" cm="1">
        <f t="array" ref="Q297">MAX(IF((ProjectInfoTable[ProjectName]=ContinuousStatsTable[[#This Row],[ProjectName]]),(ProjectInfoTable[ProjectName]=ContinuousStatsTable[[#This Row],[ProjectName]])*ProjectInfoTable[ConfidenceInterval]))</f>
        <v>0.95</v>
      </c>
      <c r="R2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297" cm="1">
        <f t="array" ref="S297">MIN(IF((ContinuousStatsTable[GroupByKey]=ContinuousStatsTable[[#This Row],[GroupByKey]]),(ContinuousStatsTable[GroupByKey]=ContinuousStatsTable[[#This Row],[GroupByKey]])*ContinuousStatsTable[Average]))</f>
        <v>14.4112589759764</v>
      </c>
      <c r="T297" cm="1">
        <f t="array" ref="T297">MAX(IF((ContinuousStatsTable[GroupByKey]=ContinuousStatsTable[[#This Row],[GroupByKey]]),(ContinuousStatsTable[GroupByKey]=ContinuousStatsTable[[#This Row],[GroupByKey]])*ContinuousStatsTable[Average]))</f>
        <v>16.972707717517899</v>
      </c>
      <c r="U297">
        <f>IF((ContinuousStatsTable[[#This Row],[RepsRequested]]&gt;1),ContinuousStatsTable[[#This Row],[HalfWidth]],ContinuousStatsTable[[#This Row],[BatchMeansHalfWidth]])</f>
        <v>0.25870181881670146</v>
      </c>
    </row>
    <row r="298" spans="1:21" x14ac:dyDescent="0.2">
      <c r="A298" t="s">
        <v>67</v>
      </c>
      <c r="B298" t="s">
        <v>70</v>
      </c>
      <c r="C298">
        <v>13</v>
      </c>
      <c r="D298" t="s">
        <v>82</v>
      </c>
      <c r="E298" t="s">
        <v>98</v>
      </c>
      <c r="F298" t="s">
        <v>73</v>
      </c>
      <c r="G298">
        <v>0.19769377828847101</v>
      </c>
      <c r="H298">
        <v>2E+20</v>
      </c>
      <c r="I298">
        <v>0</v>
      </c>
      <c r="J298">
        <v>4</v>
      </c>
      <c r="K298">
        <v>0</v>
      </c>
      <c r="L298">
        <v>0</v>
      </c>
      <c r="M298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298" cm="1">
        <f t="array" ref="N298">MAX(IF((ProjectInfoTable[ProjectName]=ContinuousStatsTable[[#This Row],[ProjectName]]),(ProjectInfoTable[ProjectName]=ContinuousStatsTable[[#This Row],[ProjectName]])*ProjectInfoTable[NumberOfReplications]))</f>
        <v>30</v>
      </c>
      <c r="O298" cm="1">
        <f t="array" ref="O298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298" cm="1">
        <f t="array" ref="P298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298" cm="1">
        <f t="array" ref="Q298">MAX(IF((ProjectInfoTable[ProjectName]=ContinuousStatsTable[[#This Row],[ProjectName]]),(ProjectInfoTable[ProjectName]=ContinuousStatsTable[[#This Row],[ProjectName]])*ProjectInfoTable[ConfidenceInterval]))</f>
        <v>0.95</v>
      </c>
      <c r="R2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298" cm="1">
        <f t="array" ref="S298">MIN(IF((ContinuousStatsTable[GroupByKey]=ContinuousStatsTable[[#This Row],[GroupByKey]]),(ContinuousStatsTable[GroupByKey]=ContinuousStatsTable[[#This Row],[GroupByKey]])*ContinuousStatsTable[Average]))</f>
        <v>7.4406608295854798E-2</v>
      </c>
      <c r="T298" cm="1">
        <f t="array" ref="T298">MAX(IF((ContinuousStatsTable[GroupByKey]=ContinuousStatsTable[[#This Row],[GroupByKey]]),(ContinuousStatsTable[GroupByKey]=ContinuousStatsTable[[#This Row],[GroupByKey]])*ContinuousStatsTable[Average]))</f>
        <v>0.29874320707386398</v>
      </c>
      <c r="U298">
        <f>IF((ContinuousStatsTable[[#This Row],[RepsRequested]]&gt;1),ContinuousStatsTable[[#This Row],[HalfWidth]],ContinuousStatsTable[[#This Row],[BatchMeansHalfWidth]])</f>
        <v>2.0058204231149332E-2</v>
      </c>
    </row>
    <row r="299" spans="1:21" x14ac:dyDescent="0.2">
      <c r="A299" t="s">
        <v>67</v>
      </c>
      <c r="B299" t="s">
        <v>70</v>
      </c>
      <c r="C299">
        <v>13</v>
      </c>
      <c r="D299" t="s">
        <v>101</v>
      </c>
      <c r="E299" t="s">
        <v>94</v>
      </c>
      <c r="F299" t="s">
        <v>95</v>
      </c>
      <c r="G299">
        <v>1.96271929824562E-3</v>
      </c>
      <c r="H299">
        <v>2.25639760773707E-4</v>
      </c>
      <c r="I299">
        <v>0</v>
      </c>
      <c r="J299">
        <v>3.7499999999999999E-2</v>
      </c>
      <c r="K299">
        <v>0</v>
      </c>
      <c r="L299">
        <v>0</v>
      </c>
      <c r="M299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299" cm="1">
        <f t="array" ref="N299">MAX(IF((ProjectInfoTable[ProjectName]=ContinuousStatsTable[[#This Row],[ProjectName]]),(ProjectInfoTable[ProjectName]=ContinuousStatsTable[[#This Row],[ProjectName]])*ProjectInfoTable[NumberOfReplications]))</f>
        <v>30</v>
      </c>
      <c r="O299" cm="1">
        <f t="array" ref="O299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299" cm="1">
        <f t="array" ref="P299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299" cm="1">
        <f t="array" ref="Q299">MAX(IF((ProjectInfoTable[ProjectName]=ContinuousStatsTable[[#This Row],[ProjectName]]),(ProjectInfoTable[ProjectName]=ContinuousStatsTable[[#This Row],[ProjectName]])*ProjectInfoTable[ConfidenceInterval]))</f>
        <v>0.95</v>
      </c>
      <c r="R2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299" cm="1">
        <f t="array" ref="S299">MIN(IF((ContinuousStatsTable[GroupByKey]=ContinuousStatsTable[[#This Row],[GroupByKey]]),(ContinuousStatsTable[GroupByKey]=ContinuousStatsTable[[#This Row],[GroupByKey]])*ContinuousStatsTable[Average]))</f>
        <v>1.70504385964912E-3</v>
      </c>
      <c r="T299" cm="1">
        <f t="array" ref="T299">MAX(IF((ContinuousStatsTable[GroupByKey]=ContinuousStatsTable[[#This Row],[GroupByKey]]),(ContinuousStatsTable[GroupByKey]=ContinuousStatsTable[[#This Row],[GroupByKey]])*ContinuousStatsTable[Average]))</f>
        <v>2.17031677925951E-3</v>
      </c>
      <c r="U299">
        <f>IF((ContinuousStatsTable[[#This Row],[RepsRequested]]&gt;1),ContinuousStatsTable[[#This Row],[HalfWidth]],ContinuousStatsTable[[#This Row],[BatchMeansHalfWidth]])</f>
        <v>4.4865881583116605E-5</v>
      </c>
    </row>
    <row r="300" spans="1:21" x14ac:dyDescent="0.2">
      <c r="A300" t="s">
        <v>67</v>
      </c>
      <c r="B300" t="s">
        <v>70</v>
      </c>
      <c r="C300">
        <v>13</v>
      </c>
      <c r="D300" t="s">
        <v>101</v>
      </c>
      <c r="E300" t="s">
        <v>96</v>
      </c>
      <c r="F300" t="s">
        <v>95</v>
      </c>
      <c r="G300">
        <v>0.157017543859649</v>
      </c>
      <c r="H300">
        <v>1.8051180861896499E-2</v>
      </c>
      <c r="I300">
        <v>0</v>
      </c>
      <c r="J300">
        <v>3</v>
      </c>
      <c r="K300">
        <v>0</v>
      </c>
      <c r="L300">
        <v>0</v>
      </c>
      <c r="M300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300" cm="1">
        <f t="array" ref="N300">MAX(IF((ProjectInfoTable[ProjectName]=ContinuousStatsTable[[#This Row],[ProjectName]]),(ProjectInfoTable[ProjectName]=ContinuousStatsTable[[#This Row],[ProjectName]])*ProjectInfoTable[NumberOfReplications]))</f>
        <v>30</v>
      </c>
      <c r="O300" cm="1">
        <f t="array" ref="O300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300" cm="1">
        <f t="array" ref="P300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300" cm="1">
        <f t="array" ref="Q300">MAX(IF((ProjectInfoTable[ProjectName]=ContinuousStatsTable[[#This Row],[ProjectName]]),(ProjectInfoTable[ProjectName]=ContinuousStatsTable[[#This Row],[ProjectName]])*ProjectInfoTable[ConfidenceInterval]))</f>
        <v>0.95</v>
      </c>
      <c r="R3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300" cm="1">
        <f t="array" ref="S300">MIN(IF((ContinuousStatsTable[GroupByKey]=ContinuousStatsTable[[#This Row],[GroupByKey]]),(ContinuousStatsTable[GroupByKey]=ContinuousStatsTable[[#This Row],[GroupByKey]])*ContinuousStatsTable[Average]))</f>
        <v>0.13640350877193</v>
      </c>
      <c r="T300" cm="1">
        <f t="array" ref="T300">MAX(IF((ContinuousStatsTable[GroupByKey]=ContinuousStatsTable[[#This Row],[GroupByKey]]),(ContinuousStatsTable[GroupByKey]=ContinuousStatsTable[[#This Row],[GroupByKey]])*ContinuousStatsTable[Average]))</f>
        <v>0.17362534234076099</v>
      </c>
      <c r="U300">
        <f>IF((ContinuousStatsTable[[#This Row],[RepsRequested]]&gt;1),ContinuousStatsTable[[#This Row],[HalfWidth]],ContinuousStatsTable[[#This Row],[BatchMeansHalfWidth]])</f>
        <v>3.5892705266493139E-3</v>
      </c>
    </row>
    <row r="301" spans="1:21" x14ac:dyDescent="0.2">
      <c r="A301" t="s">
        <v>67</v>
      </c>
      <c r="B301" t="s">
        <v>70</v>
      </c>
      <c r="C301">
        <v>13</v>
      </c>
      <c r="D301" t="s">
        <v>101</v>
      </c>
      <c r="E301" t="s">
        <v>97</v>
      </c>
      <c r="F301" t="s">
        <v>95</v>
      </c>
      <c r="G301">
        <v>80</v>
      </c>
      <c r="H301">
        <v>2E+20</v>
      </c>
      <c r="I301">
        <v>80</v>
      </c>
      <c r="J301">
        <v>80</v>
      </c>
      <c r="K301">
        <v>80</v>
      </c>
      <c r="L301">
        <v>0</v>
      </c>
      <c r="M301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301" cm="1">
        <f t="array" ref="N301">MAX(IF((ProjectInfoTable[ProjectName]=ContinuousStatsTable[[#This Row],[ProjectName]]),(ProjectInfoTable[ProjectName]=ContinuousStatsTable[[#This Row],[ProjectName]])*ProjectInfoTable[NumberOfReplications]))</f>
        <v>30</v>
      </c>
      <c r="O301" cm="1">
        <f t="array" ref="O301">IFERROR(AVERAGE(IF((ContinuousStatsTable[GroupByKey]=ContinuousStatsTable[[#This Row],[GroupByKey]]),(ContinuousStatsTable[GroupByKey]=ContinuousStatsTable[[#This Row],[GroupByKey]])*ContinuousStatsTable[Average])),0)</f>
        <v>80</v>
      </c>
      <c r="P301" cm="1">
        <f t="array" ref="P301">IFERROR(_xlfn.STDEV.S(IF((ContinuousStatsTable[GroupByKey]=ContinuousStatsTable[[#This Row],[GroupByKey]]),(ContinuousStatsTable[GroupByKey]=ContinuousStatsTable[[#This Row],[GroupByKey]])*ContinuousStatsTable[Average])),0)</f>
        <v>0</v>
      </c>
      <c r="Q301" cm="1">
        <f t="array" ref="Q301">MAX(IF((ProjectInfoTable[ProjectName]=ContinuousStatsTable[[#This Row],[ProjectName]]),(ProjectInfoTable[ProjectName]=ContinuousStatsTable[[#This Row],[ProjectName]])*ProjectInfoTable[ConfidenceInterval]))</f>
        <v>0.95</v>
      </c>
      <c r="R3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1" cm="1">
        <f t="array" ref="S301">MIN(IF((ContinuousStatsTable[GroupByKey]=ContinuousStatsTable[[#This Row],[GroupByKey]]),(ContinuousStatsTable[GroupByKey]=ContinuousStatsTable[[#This Row],[GroupByKey]])*ContinuousStatsTable[Average]))</f>
        <v>80</v>
      </c>
      <c r="T301" cm="1">
        <f t="array" ref="T301">MAX(IF((ContinuousStatsTable[GroupByKey]=ContinuousStatsTable[[#This Row],[GroupByKey]]),(ContinuousStatsTable[GroupByKey]=ContinuousStatsTable[[#This Row],[GroupByKey]])*ContinuousStatsTable[Average]))</f>
        <v>80</v>
      </c>
      <c r="U301">
        <f>IF((ContinuousStatsTable[[#This Row],[RepsRequested]]&gt;1),ContinuousStatsTable[[#This Row],[HalfWidth]],ContinuousStatsTable[[#This Row],[BatchMeansHalfWidth]])</f>
        <v>0</v>
      </c>
    </row>
    <row r="302" spans="1:21" x14ac:dyDescent="0.2">
      <c r="A302" t="s">
        <v>67</v>
      </c>
      <c r="B302" t="s">
        <v>70</v>
      </c>
      <c r="C302">
        <v>13</v>
      </c>
      <c r="D302" t="s">
        <v>86</v>
      </c>
      <c r="E302" t="s">
        <v>98</v>
      </c>
      <c r="F302" t="s">
        <v>73</v>
      </c>
      <c r="G302">
        <v>0</v>
      </c>
      <c r="H302">
        <v>2E+20</v>
      </c>
      <c r="I302">
        <v>0</v>
      </c>
      <c r="J302">
        <v>0</v>
      </c>
      <c r="K302">
        <v>0</v>
      </c>
      <c r="L302">
        <v>0</v>
      </c>
      <c r="M302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302" cm="1">
        <f t="array" ref="N302">MAX(IF((ProjectInfoTable[ProjectName]=ContinuousStatsTable[[#This Row],[ProjectName]]),(ProjectInfoTable[ProjectName]=ContinuousStatsTable[[#This Row],[ProjectName]])*ProjectInfoTable[NumberOfReplications]))</f>
        <v>30</v>
      </c>
      <c r="O302" cm="1">
        <f t="array" ref="O302">IFERROR(AVERAGE(IF((ContinuousStatsTable[GroupByKey]=ContinuousStatsTable[[#This Row],[GroupByKey]]),(ContinuousStatsTable[GroupByKey]=ContinuousStatsTable[[#This Row],[GroupByKey]])*ContinuousStatsTable[Average])),0)</f>
        <v>0</v>
      </c>
      <c r="P302" cm="1">
        <f t="array" ref="P302">IFERROR(_xlfn.STDEV.S(IF((ContinuousStatsTable[GroupByKey]=ContinuousStatsTable[[#This Row],[GroupByKey]]),(ContinuousStatsTable[GroupByKey]=ContinuousStatsTable[[#This Row],[GroupByKey]])*ContinuousStatsTable[Average])),0)</f>
        <v>0</v>
      </c>
      <c r="Q302" cm="1">
        <f t="array" ref="Q302">MAX(IF((ProjectInfoTable[ProjectName]=ContinuousStatsTable[[#This Row],[ProjectName]]),(ProjectInfoTable[ProjectName]=ContinuousStatsTable[[#This Row],[ProjectName]])*ProjectInfoTable[ConfidenceInterval]))</f>
        <v>0.95</v>
      </c>
      <c r="R3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2" cm="1">
        <f t="array" ref="S302">MIN(IF((ContinuousStatsTable[GroupByKey]=ContinuousStatsTable[[#This Row],[GroupByKey]]),(ContinuousStatsTable[GroupByKey]=ContinuousStatsTable[[#This Row],[GroupByKey]])*ContinuousStatsTable[Average]))</f>
        <v>0</v>
      </c>
      <c r="T302" cm="1">
        <f t="array" ref="T302">MAX(IF((ContinuousStatsTable[GroupByKey]=ContinuousStatsTable[[#This Row],[GroupByKey]]),(ContinuousStatsTable[GroupByKey]=ContinuousStatsTable[[#This Row],[GroupByKey]])*ContinuousStatsTable[Average]))</f>
        <v>0</v>
      </c>
      <c r="U302">
        <f>IF((ContinuousStatsTable[[#This Row],[RepsRequested]]&gt;1),ContinuousStatsTable[[#This Row],[HalfWidth]],ContinuousStatsTable[[#This Row],[BatchMeansHalfWidth]])</f>
        <v>0</v>
      </c>
    </row>
    <row r="303" spans="1:21" x14ac:dyDescent="0.2">
      <c r="A303" t="s">
        <v>67</v>
      </c>
      <c r="B303" t="s">
        <v>70</v>
      </c>
      <c r="C303">
        <v>13</v>
      </c>
      <c r="D303" t="s">
        <v>87</v>
      </c>
      <c r="E303" t="s">
        <v>98</v>
      </c>
      <c r="F303" t="s">
        <v>73</v>
      </c>
      <c r="G303">
        <v>0</v>
      </c>
      <c r="H303">
        <v>2E+20</v>
      </c>
      <c r="I303">
        <v>0</v>
      </c>
      <c r="J303">
        <v>0</v>
      </c>
      <c r="K303">
        <v>0</v>
      </c>
      <c r="L303">
        <v>0</v>
      </c>
      <c r="M303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303" cm="1">
        <f t="array" ref="N303">MAX(IF((ProjectInfoTable[ProjectName]=ContinuousStatsTable[[#This Row],[ProjectName]]),(ProjectInfoTable[ProjectName]=ContinuousStatsTable[[#This Row],[ProjectName]])*ProjectInfoTable[NumberOfReplications]))</f>
        <v>30</v>
      </c>
      <c r="O303" cm="1">
        <f t="array" ref="O303">IFERROR(AVERAGE(IF((ContinuousStatsTable[GroupByKey]=ContinuousStatsTable[[#This Row],[GroupByKey]]),(ContinuousStatsTable[GroupByKey]=ContinuousStatsTable[[#This Row],[GroupByKey]])*ContinuousStatsTable[Average])),0)</f>
        <v>0</v>
      </c>
      <c r="P303" cm="1">
        <f t="array" ref="P303">IFERROR(_xlfn.STDEV.S(IF((ContinuousStatsTable[GroupByKey]=ContinuousStatsTable[[#This Row],[GroupByKey]]),(ContinuousStatsTable[GroupByKey]=ContinuousStatsTable[[#This Row],[GroupByKey]])*ContinuousStatsTable[Average])),0)</f>
        <v>0</v>
      </c>
      <c r="Q303" cm="1">
        <f t="array" ref="Q303">MAX(IF((ProjectInfoTable[ProjectName]=ContinuousStatsTable[[#This Row],[ProjectName]]),(ProjectInfoTable[ProjectName]=ContinuousStatsTable[[#This Row],[ProjectName]])*ProjectInfoTable[ConfidenceInterval]))</f>
        <v>0.95</v>
      </c>
      <c r="R3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3" cm="1">
        <f t="array" ref="S303">MIN(IF((ContinuousStatsTable[GroupByKey]=ContinuousStatsTable[[#This Row],[GroupByKey]]),(ContinuousStatsTable[GroupByKey]=ContinuousStatsTable[[#This Row],[GroupByKey]])*ContinuousStatsTable[Average]))</f>
        <v>0</v>
      </c>
      <c r="T303" cm="1">
        <f t="array" ref="T303">MAX(IF((ContinuousStatsTable[GroupByKey]=ContinuousStatsTable[[#This Row],[GroupByKey]]),(ContinuousStatsTable[GroupByKey]=ContinuousStatsTable[[#This Row],[GroupByKey]])*ContinuousStatsTable[Average]))</f>
        <v>0</v>
      </c>
      <c r="U303">
        <f>IF((ContinuousStatsTable[[#This Row],[RepsRequested]]&gt;1),ContinuousStatsTable[[#This Row],[HalfWidth]],ContinuousStatsTable[[#This Row],[BatchMeansHalfWidth]])</f>
        <v>0</v>
      </c>
    </row>
    <row r="304" spans="1:21" x14ac:dyDescent="0.2">
      <c r="A304" t="s">
        <v>67</v>
      </c>
      <c r="B304" t="s">
        <v>70</v>
      </c>
      <c r="C304">
        <v>13</v>
      </c>
      <c r="D304" t="s">
        <v>88</v>
      </c>
      <c r="E304" t="s">
        <v>98</v>
      </c>
      <c r="F304" t="s">
        <v>73</v>
      </c>
      <c r="G304">
        <v>1.4930965341664999</v>
      </c>
      <c r="H304">
        <v>9.3466548920361603E-2</v>
      </c>
      <c r="I304">
        <v>0</v>
      </c>
      <c r="J304">
        <v>4</v>
      </c>
      <c r="K304">
        <v>2</v>
      </c>
      <c r="L304">
        <v>0</v>
      </c>
      <c r="M304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304" cm="1">
        <f t="array" ref="N304">MAX(IF((ProjectInfoTable[ProjectName]=ContinuousStatsTable[[#This Row],[ProjectName]]),(ProjectInfoTable[ProjectName]=ContinuousStatsTable[[#This Row],[ProjectName]])*ProjectInfoTable[NumberOfReplications]))</f>
        <v>30</v>
      </c>
      <c r="O304" cm="1">
        <f t="array" ref="O304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304" cm="1">
        <f t="array" ref="P304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304" cm="1">
        <f t="array" ref="Q304">MAX(IF((ProjectInfoTable[ProjectName]=ContinuousStatsTable[[#This Row],[ProjectName]]),(ProjectInfoTable[ProjectName]=ContinuousStatsTable[[#This Row],[ProjectName]])*ProjectInfoTable[ConfidenceInterval]))</f>
        <v>0.95</v>
      </c>
      <c r="R3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304" cm="1">
        <f t="array" ref="S304">MIN(IF((ContinuousStatsTable[GroupByKey]=ContinuousStatsTable[[#This Row],[GroupByKey]]),(ContinuousStatsTable[GroupByKey]=ContinuousStatsTable[[#This Row],[GroupByKey]])*ContinuousStatsTable[Average]))</f>
        <v>1.4062336911317099</v>
      </c>
      <c r="T304" cm="1">
        <f t="array" ref="T304">MAX(IF((ContinuousStatsTable[GroupByKey]=ContinuousStatsTable[[#This Row],[GroupByKey]]),(ContinuousStatsTable[GroupByKey]=ContinuousStatsTable[[#This Row],[GroupByKey]])*ContinuousStatsTable[Average]))</f>
        <v>1.5889769030929</v>
      </c>
      <c r="U304">
        <f>IF((ContinuousStatsTable[[#This Row],[RepsRequested]]&gt;1),ContinuousStatsTable[[#This Row],[HalfWidth]],ContinuousStatsTable[[#This Row],[BatchMeansHalfWidth]])</f>
        <v>1.602866983772662E-2</v>
      </c>
    </row>
    <row r="305" spans="1:21" x14ac:dyDescent="0.2">
      <c r="A305" t="s">
        <v>67</v>
      </c>
      <c r="B305" t="s">
        <v>70</v>
      </c>
      <c r="C305">
        <v>13</v>
      </c>
      <c r="D305" t="s">
        <v>102</v>
      </c>
      <c r="E305" t="s">
        <v>94</v>
      </c>
      <c r="F305" t="s">
        <v>95</v>
      </c>
      <c r="G305">
        <v>5.0657894736842101E-3</v>
      </c>
      <c r="H305">
        <v>7.8025706905962902E-4</v>
      </c>
      <c r="I305">
        <v>0</v>
      </c>
      <c r="J305">
        <v>0.1</v>
      </c>
      <c r="K305">
        <v>0</v>
      </c>
      <c r="L305">
        <v>0</v>
      </c>
      <c r="M305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305" cm="1">
        <f t="array" ref="N305">MAX(IF((ProjectInfoTable[ProjectName]=ContinuousStatsTable[[#This Row],[ProjectName]]),(ProjectInfoTable[ProjectName]=ContinuousStatsTable[[#This Row],[ProjectName]])*ProjectInfoTable[NumberOfReplications]))</f>
        <v>30</v>
      </c>
      <c r="O305" cm="1">
        <f t="array" ref="O305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305" cm="1">
        <f t="array" ref="P305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305" cm="1">
        <f t="array" ref="Q305">MAX(IF((ProjectInfoTable[ProjectName]=ContinuousStatsTable[[#This Row],[ProjectName]]),(ProjectInfoTable[ProjectName]=ContinuousStatsTable[[#This Row],[ProjectName]])*ProjectInfoTable[ConfidenceInterval]))</f>
        <v>0.95</v>
      </c>
      <c r="R3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305" cm="1">
        <f t="array" ref="S305">MIN(IF((ContinuousStatsTable[GroupByKey]=ContinuousStatsTable[[#This Row],[GroupByKey]]),(ContinuousStatsTable[GroupByKey]=ContinuousStatsTable[[#This Row],[GroupByKey]])*ContinuousStatsTable[Average]))</f>
        <v>4.4956140350877203E-3</v>
      </c>
      <c r="T305" cm="1">
        <f t="array" ref="T305">MAX(IF((ContinuousStatsTable[GroupByKey]=ContinuousStatsTable[[#This Row],[GroupByKey]]),(ContinuousStatsTable[GroupByKey]=ContinuousStatsTable[[#This Row],[GroupByKey]])*ContinuousStatsTable[Average]))</f>
        <v>5.5482456140350904E-3</v>
      </c>
      <c r="U305">
        <f>IF((ContinuousStatsTable[[#This Row],[RepsRequested]]&gt;1),ContinuousStatsTable[[#This Row],[HalfWidth]],ContinuousStatsTable[[#This Row],[BatchMeansHalfWidth]])</f>
        <v>1.0144486472958472E-4</v>
      </c>
    </row>
    <row r="306" spans="1:21" x14ac:dyDescent="0.2">
      <c r="A306" t="s">
        <v>67</v>
      </c>
      <c r="B306" t="s">
        <v>70</v>
      </c>
      <c r="C306">
        <v>13</v>
      </c>
      <c r="D306" t="s">
        <v>102</v>
      </c>
      <c r="E306" t="s">
        <v>96</v>
      </c>
      <c r="F306" t="s">
        <v>95</v>
      </c>
      <c r="G306">
        <v>0.101315789473684</v>
      </c>
      <c r="H306">
        <v>1.56051413811926E-2</v>
      </c>
      <c r="I306">
        <v>0</v>
      </c>
      <c r="J306">
        <v>2</v>
      </c>
      <c r="K306">
        <v>0</v>
      </c>
      <c r="L306">
        <v>0</v>
      </c>
      <c r="M306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306" cm="1">
        <f t="array" ref="N306">MAX(IF((ProjectInfoTable[ProjectName]=ContinuousStatsTable[[#This Row],[ProjectName]]),(ProjectInfoTable[ProjectName]=ContinuousStatsTable[[#This Row],[ProjectName]])*ProjectInfoTable[NumberOfReplications]))</f>
        <v>30</v>
      </c>
      <c r="O306" cm="1">
        <f t="array" ref="O306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306" cm="1">
        <f t="array" ref="P306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306" cm="1">
        <f t="array" ref="Q306">MAX(IF((ProjectInfoTable[ProjectName]=ContinuousStatsTable[[#This Row],[ProjectName]]),(ProjectInfoTable[ProjectName]=ContinuousStatsTable[[#This Row],[ProjectName]])*ProjectInfoTable[ConfidenceInterval]))</f>
        <v>0.95</v>
      </c>
      <c r="R3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306" cm="1">
        <f t="array" ref="S306">MIN(IF((ContinuousStatsTable[GroupByKey]=ContinuousStatsTable[[#This Row],[GroupByKey]]),(ContinuousStatsTable[GroupByKey]=ContinuousStatsTable[[#This Row],[GroupByKey]])*ContinuousStatsTable[Average]))</f>
        <v>8.9912280701754305E-2</v>
      </c>
      <c r="T306" cm="1">
        <f t="array" ref="T306">MAX(IF((ContinuousStatsTable[GroupByKey]=ContinuousStatsTable[[#This Row],[GroupByKey]]),(ContinuousStatsTable[GroupByKey]=ContinuousStatsTable[[#This Row],[GroupByKey]])*ContinuousStatsTable[Average]))</f>
        <v>0.110964912280702</v>
      </c>
      <c r="U306">
        <f>IF((ContinuousStatsTable[[#This Row],[RepsRequested]]&gt;1),ContinuousStatsTable[[#This Row],[HalfWidth]],ContinuousStatsTable[[#This Row],[BatchMeansHalfWidth]])</f>
        <v>2.0288972945916956E-3</v>
      </c>
    </row>
    <row r="307" spans="1:21" x14ac:dyDescent="0.2">
      <c r="A307" t="s">
        <v>67</v>
      </c>
      <c r="B307" t="s">
        <v>70</v>
      </c>
      <c r="C307">
        <v>13</v>
      </c>
      <c r="D307" t="s">
        <v>102</v>
      </c>
      <c r="E307" t="s">
        <v>97</v>
      </c>
      <c r="F307" t="s">
        <v>95</v>
      </c>
      <c r="G307">
        <v>20</v>
      </c>
      <c r="H307">
        <v>2E+20</v>
      </c>
      <c r="I307">
        <v>20</v>
      </c>
      <c r="J307">
        <v>20</v>
      </c>
      <c r="K307">
        <v>20</v>
      </c>
      <c r="L307">
        <v>0</v>
      </c>
      <c r="M307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307" cm="1">
        <f t="array" ref="N307">MAX(IF((ProjectInfoTable[ProjectName]=ContinuousStatsTable[[#This Row],[ProjectName]]),(ProjectInfoTable[ProjectName]=ContinuousStatsTable[[#This Row],[ProjectName]])*ProjectInfoTable[NumberOfReplications]))</f>
        <v>30</v>
      </c>
      <c r="O307" cm="1">
        <f t="array" ref="O307">IFERROR(AVERAGE(IF((ContinuousStatsTable[GroupByKey]=ContinuousStatsTable[[#This Row],[GroupByKey]]),(ContinuousStatsTable[GroupByKey]=ContinuousStatsTable[[#This Row],[GroupByKey]])*ContinuousStatsTable[Average])),0)</f>
        <v>20</v>
      </c>
      <c r="P307" cm="1">
        <f t="array" ref="P307">IFERROR(_xlfn.STDEV.S(IF((ContinuousStatsTable[GroupByKey]=ContinuousStatsTable[[#This Row],[GroupByKey]]),(ContinuousStatsTable[GroupByKey]=ContinuousStatsTable[[#This Row],[GroupByKey]])*ContinuousStatsTable[Average])),0)</f>
        <v>0</v>
      </c>
      <c r="Q307" cm="1">
        <f t="array" ref="Q307">MAX(IF((ProjectInfoTable[ProjectName]=ContinuousStatsTable[[#This Row],[ProjectName]]),(ProjectInfoTable[ProjectName]=ContinuousStatsTable[[#This Row],[ProjectName]])*ProjectInfoTable[ConfidenceInterval]))</f>
        <v>0.95</v>
      </c>
      <c r="R3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7" cm="1">
        <f t="array" ref="S307">MIN(IF((ContinuousStatsTable[GroupByKey]=ContinuousStatsTable[[#This Row],[GroupByKey]]),(ContinuousStatsTable[GroupByKey]=ContinuousStatsTable[[#This Row],[GroupByKey]])*ContinuousStatsTable[Average]))</f>
        <v>20</v>
      </c>
      <c r="T307" cm="1">
        <f t="array" ref="T307">MAX(IF((ContinuousStatsTable[GroupByKey]=ContinuousStatsTable[[#This Row],[GroupByKey]]),(ContinuousStatsTable[GroupByKey]=ContinuousStatsTable[[#This Row],[GroupByKey]])*ContinuousStatsTable[Average]))</f>
        <v>20</v>
      </c>
      <c r="U307">
        <f>IF((ContinuousStatsTable[[#This Row],[RepsRequested]]&gt;1),ContinuousStatsTable[[#This Row],[HalfWidth]],ContinuousStatsTable[[#This Row],[BatchMeansHalfWidth]])</f>
        <v>0</v>
      </c>
    </row>
    <row r="308" spans="1:21" x14ac:dyDescent="0.2">
      <c r="A308" t="s">
        <v>67</v>
      </c>
      <c r="B308" t="s">
        <v>70</v>
      </c>
      <c r="C308">
        <v>13</v>
      </c>
      <c r="D308" t="s">
        <v>90</v>
      </c>
      <c r="E308" t="s">
        <v>98</v>
      </c>
      <c r="F308" t="s">
        <v>73</v>
      </c>
      <c r="G308">
        <v>0</v>
      </c>
      <c r="H308">
        <v>2E+20</v>
      </c>
      <c r="I308">
        <v>0</v>
      </c>
      <c r="J308">
        <v>0</v>
      </c>
      <c r="K308">
        <v>0</v>
      </c>
      <c r="L308">
        <v>0</v>
      </c>
      <c r="M308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308" cm="1">
        <f t="array" ref="N308">MAX(IF((ProjectInfoTable[ProjectName]=ContinuousStatsTable[[#This Row],[ProjectName]]),(ProjectInfoTable[ProjectName]=ContinuousStatsTable[[#This Row],[ProjectName]])*ProjectInfoTable[NumberOfReplications]))</f>
        <v>30</v>
      </c>
      <c r="O308" cm="1">
        <f t="array" ref="O308">IFERROR(AVERAGE(IF((ContinuousStatsTable[GroupByKey]=ContinuousStatsTable[[#This Row],[GroupByKey]]),(ContinuousStatsTable[GroupByKey]=ContinuousStatsTable[[#This Row],[GroupByKey]])*ContinuousStatsTable[Average])),0)</f>
        <v>0</v>
      </c>
      <c r="P308" cm="1">
        <f t="array" ref="P308">IFERROR(_xlfn.STDEV.S(IF((ContinuousStatsTable[GroupByKey]=ContinuousStatsTable[[#This Row],[GroupByKey]]),(ContinuousStatsTable[GroupByKey]=ContinuousStatsTable[[#This Row],[GroupByKey]])*ContinuousStatsTable[Average])),0)</f>
        <v>0</v>
      </c>
      <c r="Q308" cm="1">
        <f t="array" ref="Q308">MAX(IF((ProjectInfoTable[ProjectName]=ContinuousStatsTable[[#This Row],[ProjectName]]),(ProjectInfoTable[ProjectName]=ContinuousStatsTable[[#This Row],[ProjectName]])*ProjectInfoTable[ConfidenceInterval]))</f>
        <v>0.95</v>
      </c>
      <c r="R3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8" cm="1">
        <f t="array" ref="S308">MIN(IF((ContinuousStatsTable[GroupByKey]=ContinuousStatsTable[[#This Row],[GroupByKey]]),(ContinuousStatsTable[GroupByKey]=ContinuousStatsTable[[#This Row],[GroupByKey]])*ContinuousStatsTable[Average]))</f>
        <v>0</v>
      </c>
      <c r="T308" cm="1">
        <f t="array" ref="T308">MAX(IF((ContinuousStatsTable[GroupByKey]=ContinuousStatsTable[[#This Row],[GroupByKey]]),(ContinuousStatsTable[GroupByKey]=ContinuousStatsTable[[#This Row],[GroupByKey]])*ContinuousStatsTable[Average]))</f>
        <v>0</v>
      </c>
      <c r="U308">
        <f>IF((ContinuousStatsTable[[#This Row],[RepsRequested]]&gt;1),ContinuousStatsTable[[#This Row],[HalfWidth]],ContinuousStatsTable[[#This Row],[BatchMeansHalfWidth]])</f>
        <v>0</v>
      </c>
    </row>
    <row r="309" spans="1:21" x14ac:dyDescent="0.2">
      <c r="A309" t="s">
        <v>67</v>
      </c>
      <c r="B309" t="s">
        <v>70</v>
      </c>
      <c r="C309">
        <v>13</v>
      </c>
      <c r="D309" t="s">
        <v>91</v>
      </c>
      <c r="E309" t="s">
        <v>98</v>
      </c>
      <c r="F309" t="s">
        <v>73</v>
      </c>
      <c r="G309">
        <v>0</v>
      </c>
      <c r="H309">
        <v>2E+20</v>
      </c>
      <c r="I309">
        <v>0</v>
      </c>
      <c r="J309">
        <v>0</v>
      </c>
      <c r="K309">
        <v>0</v>
      </c>
      <c r="L309">
        <v>0</v>
      </c>
      <c r="M309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309" cm="1">
        <f t="array" ref="N309">MAX(IF((ProjectInfoTable[ProjectName]=ContinuousStatsTable[[#This Row],[ProjectName]]),(ProjectInfoTable[ProjectName]=ContinuousStatsTable[[#This Row],[ProjectName]])*ProjectInfoTable[NumberOfReplications]))</f>
        <v>30</v>
      </c>
      <c r="O309" cm="1">
        <f t="array" ref="O309">IFERROR(AVERAGE(IF((ContinuousStatsTable[GroupByKey]=ContinuousStatsTable[[#This Row],[GroupByKey]]),(ContinuousStatsTable[GroupByKey]=ContinuousStatsTable[[#This Row],[GroupByKey]])*ContinuousStatsTable[Average])),0)</f>
        <v>0</v>
      </c>
      <c r="P309" cm="1">
        <f t="array" ref="P309">IFERROR(_xlfn.STDEV.S(IF((ContinuousStatsTable[GroupByKey]=ContinuousStatsTable[[#This Row],[GroupByKey]]),(ContinuousStatsTable[GroupByKey]=ContinuousStatsTable[[#This Row],[GroupByKey]])*ContinuousStatsTable[Average])),0)</f>
        <v>0</v>
      </c>
      <c r="Q309" cm="1">
        <f t="array" ref="Q309">MAX(IF((ProjectInfoTable[ProjectName]=ContinuousStatsTable[[#This Row],[ProjectName]]),(ProjectInfoTable[ProjectName]=ContinuousStatsTable[[#This Row],[ProjectName]])*ProjectInfoTable[ConfidenceInterval]))</f>
        <v>0.95</v>
      </c>
      <c r="R3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9" cm="1">
        <f t="array" ref="S309">MIN(IF((ContinuousStatsTable[GroupByKey]=ContinuousStatsTable[[#This Row],[GroupByKey]]),(ContinuousStatsTable[GroupByKey]=ContinuousStatsTable[[#This Row],[GroupByKey]])*ContinuousStatsTable[Average]))</f>
        <v>0</v>
      </c>
      <c r="T309" cm="1">
        <f t="array" ref="T309">MAX(IF((ContinuousStatsTable[GroupByKey]=ContinuousStatsTable[[#This Row],[GroupByKey]]),(ContinuousStatsTable[GroupByKey]=ContinuousStatsTable[[#This Row],[GroupByKey]])*ContinuousStatsTable[Average]))</f>
        <v>0</v>
      </c>
      <c r="U309">
        <f>IF((ContinuousStatsTable[[#This Row],[RepsRequested]]&gt;1),ContinuousStatsTable[[#This Row],[HalfWidth]],ContinuousStatsTable[[#This Row],[BatchMeansHalfWidth]])</f>
        <v>0</v>
      </c>
    </row>
    <row r="310" spans="1:21" x14ac:dyDescent="0.2">
      <c r="A310" t="s">
        <v>67</v>
      </c>
      <c r="B310" t="s">
        <v>70</v>
      </c>
      <c r="C310">
        <v>13</v>
      </c>
      <c r="D310" t="s">
        <v>92</v>
      </c>
      <c r="E310" t="s">
        <v>98</v>
      </c>
      <c r="F310" t="s">
        <v>73</v>
      </c>
      <c r="G310">
        <v>0</v>
      </c>
      <c r="H310">
        <v>2E+20</v>
      </c>
      <c r="I310">
        <v>0</v>
      </c>
      <c r="J310">
        <v>0</v>
      </c>
      <c r="K310">
        <v>0</v>
      </c>
      <c r="L310">
        <v>0</v>
      </c>
      <c r="M310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310" cm="1">
        <f t="array" ref="N310">MAX(IF((ProjectInfoTable[ProjectName]=ContinuousStatsTable[[#This Row],[ProjectName]]),(ProjectInfoTable[ProjectName]=ContinuousStatsTable[[#This Row],[ProjectName]])*ProjectInfoTable[NumberOfReplications]))</f>
        <v>30</v>
      </c>
      <c r="O310" cm="1">
        <f t="array" ref="O310">IFERROR(AVERAGE(IF((ContinuousStatsTable[GroupByKey]=ContinuousStatsTable[[#This Row],[GroupByKey]]),(ContinuousStatsTable[GroupByKey]=ContinuousStatsTable[[#This Row],[GroupByKey]])*ContinuousStatsTable[Average])),0)</f>
        <v>0</v>
      </c>
      <c r="P310" cm="1">
        <f t="array" ref="P310">IFERROR(_xlfn.STDEV.S(IF((ContinuousStatsTable[GroupByKey]=ContinuousStatsTable[[#This Row],[GroupByKey]]),(ContinuousStatsTable[GroupByKey]=ContinuousStatsTable[[#This Row],[GroupByKey]])*ContinuousStatsTable[Average])),0)</f>
        <v>0</v>
      </c>
      <c r="Q310" cm="1">
        <f t="array" ref="Q310">MAX(IF((ProjectInfoTable[ProjectName]=ContinuousStatsTable[[#This Row],[ProjectName]]),(ProjectInfoTable[ProjectName]=ContinuousStatsTable[[#This Row],[ProjectName]])*ProjectInfoTable[ConfidenceInterval]))</f>
        <v>0.95</v>
      </c>
      <c r="R3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0" cm="1">
        <f t="array" ref="S310">MIN(IF((ContinuousStatsTable[GroupByKey]=ContinuousStatsTable[[#This Row],[GroupByKey]]),(ContinuousStatsTable[GroupByKey]=ContinuousStatsTable[[#This Row],[GroupByKey]])*ContinuousStatsTable[Average]))</f>
        <v>0</v>
      </c>
      <c r="T310" cm="1">
        <f t="array" ref="T310">MAX(IF((ContinuousStatsTable[GroupByKey]=ContinuousStatsTable[[#This Row],[GroupByKey]]),(ContinuousStatsTable[GroupByKey]=ContinuousStatsTable[[#This Row],[GroupByKey]])*ContinuousStatsTable[Average]))</f>
        <v>0</v>
      </c>
      <c r="U310">
        <f>IF((ContinuousStatsTable[[#This Row],[RepsRequested]]&gt;1),ContinuousStatsTable[[#This Row],[HalfWidth]],ContinuousStatsTable[[#This Row],[BatchMeansHalfWidth]])</f>
        <v>0</v>
      </c>
    </row>
    <row r="311" spans="1:21" x14ac:dyDescent="0.2">
      <c r="A311" t="s">
        <v>67</v>
      </c>
      <c r="B311" t="s">
        <v>70</v>
      </c>
      <c r="C311">
        <v>13</v>
      </c>
      <c r="D311" t="s">
        <v>103</v>
      </c>
      <c r="E311" t="s">
        <v>94</v>
      </c>
      <c r="F311" t="s">
        <v>95</v>
      </c>
      <c r="G311">
        <v>8.6082941460922394E-2</v>
      </c>
      <c r="H311">
        <v>2E+20</v>
      </c>
      <c r="I311">
        <v>0</v>
      </c>
      <c r="J311">
        <v>0.66666666666666696</v>
      </c>
      <c r="K311">
        <v>0</v>
      </c>
      <c r="L311">
        <v>0</v>
      </c>
      <c r="M311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311" cm="1">
        <f t="array" ref="N311">MAX(IF((ProjectInfoTable[ProjectName]=ContinuousStatsTable[[#This Row],[ProjectName]]),(ProjectInfoTable[ProjectName]=ContinuousStatsTable[[#This Row],[ProjectName]])*ProjectInfoTable[NumberOfReplications]))</f>
        <v>30</v>
      </c>
      <c r="O311" cm="1">
        <f t="array" ref="O311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311" cm="1">
        <f t="array" ref="P311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311" cm="1">
        <f t="array" ref="Q311">MAX(IF((ProjectInfoTable[ProjectName]=ContinuousStatsTable[[#This Row],[ProjectName]]),(ProjectInfoTable[ProjectName]=ContinuousStatsTable[[#This Row],[ProjectName]])*ProjectInfoTable[ConfidenceInterval]))</f>
        <v>0.95</v>
      </c>
      <c r="R3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311" cm="1">
        <f t="array" ref="S311">MIN(IF((ContinuousStatsTable[GroupByKey]=ContinuousStatsTable[[#This Row],[GroupByKey]]),(ContinuousStatsTable[GroupByKey]=ContinuousStatsTable[[#This Row],[GroupByKey]])*ContinuousStatsTable[Average]))</f>
        <v>7.7176470357846902E-2</v>
      </c>
      <c r="T311" cm="1">
        <f t="array" ref="T311">MAX(IF((ContinuousStatsTable[GroupByKey]=ContinuousStatsTable[[#This Row],[GroupByKey]]),(ContinuousStatsTable[GroupByKey]=ContinuousStatsTable[[#This Row],[GroupByKey]])*ContinuousStatsTable[Average]))</f>
        <v>9.2534326714405896E-2</v>
      </c>
      <c r="U311">
        <f>IF((ContinuousStatsTable[[#This Row],[RepsRequested]]&gt;1),ContinuousStatsTable[[#This Row],[HalfWidth]],ContinuousStatsTable[[#This Row],[BatchMeansHalfWidth]])</f>
        <v>1.3238327186697659E-3</v>
      </c>
    </row>
    <row r="312" spans="1:21" x14ac:dyDescent="0.2">
      <c r="A312" t="s">
        <v>67</v>
      </c>
      <c r="B312" t="s">
        <v>70</v>
      </c>
      <c r="C312">
        <v>13</v>
      </c>
      <c r="D312" t="s">
        <v>103</v>
      </c>
      <c r="E312" t="s">
        <v>96</v>
      </c>
      <c r="F312" t="s">
        <v>95</v>
      </c>
      <c r="G312">
        <v>0.25824882438276803</v>
      </c>
      <c r="H312">
        <v>2E+20</v>
      </c>
      <c r="I312">
        <v>0</v>
      </c>
      <c r="J312">
        <v>2</v>
      </c>
      <c r="K312">
        <v>0</v>
      </c>
      <c r="L312">
        <v>0</v>
      </c>
      <c r="M312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312" cm="1">
        <f t="array" ref="N312">MAX(IF((ProjectInfoTable[ProjectName]=ContinuousStatsTable[[#This Row],[ProjectName]]),(ProjectInfoTable[ProjectName]=ContinuousStatsTable[[#This Row],[ProjectName]])*ProjectInfoTable[NumberOfReplications]))</f>
        <v>30</v>
      </c>
      <c r="O312" cm="1">
        <f t="array" ref="O312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312" cm="1">
        <f t="array" ref="P312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312" cm="1">
        <f t="array" ref="Q312">MAX(IF((ProjectInfoTable[ProjectName]=ContinuousStatsTable[[#This Row],[ProjectName]]),(ProjectInfoTable[ProjectName]=ContinuousStatsTable[[#This Row],[ProjectName]])*ProjectInfoTable[ConfidenceInterval]))</f>
        <v>0.95</v>
      </c>
      <c r="R3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312" cm="1">
        <f t="array" ref="S312">MIN(IF((ContinuousStatsTable[GroupByKey]=ContinuousStatsTable[[#This Row],[GroupByKey]]),(ContinuousStatsTable[GroupByKey]=ContinuousStatsTable[[#This Row],[GroupByKey]])*ContinuousStatsTable[Average]))</f>
        <v>0.231529411073541</v>
      </c>
      <c r="T312" cm="1">
        <f t="array" ref="T312">MAX(IF((ContinuousStatsTable[GroupByKey]=ContinuousStatsTable[[#This Row],[GroupByKey]]),(ContinuousStatsTable[GroupByKey]=ContinuousStatsTable[[#This Row],[GroupByKey]])*ContinuousStatsTable[Average]))</f>
        <v>0.27760298014321699</v>
      </c>
      <c r="U312">
        <f>IF((ContinuousStatsTable[[#This Row],[RepsRequested]]&gt;1),ContinuousStatsTable[[#This Row],[HalfWidth]],ContinuousStatsTable[[#This Row],[BatchMeansHalfWidth]])</f>
        <v>3.9714981560092996E-3</v>
      </c>
    </row>
    <row r="313" spans="1:21" x14ac:dyDescent="0.2">
      <c r="A313" t="s">
        <v>67</v>
      </c>
      <c r="B313" t="s">
        <v>70</v>
      </c>
      <c r="C313">
        <v>13</v>
      </c>
      <c r="D313" t="s">
        <v>103</v>
      </c>
      <c r="E313" t="s">
        <v>97</v>
      </c>
      <c r="F313" t="s">
        <v>95</v>
      </c>
      <c r="G313">
        <v>3</v>
      </c>
      <c r="H313">
        <v>2E+20</v>
      </c>
      <c r="I313">
        <v>3</v>
      </c>
      <c r="J313">
        <v>3</v>
      </c>
      <c r="K313">
        <v>3</v>
      </c>
      <c r="L313">
        <v>0</v>
      </c>
      <c r="M313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313" cm="1">
        <f t="array" ref="N313">MAX(IF((ProjectInfoTable[ProjectName]=ContinuousStatsTable[[#This Row],[ProjectName]]),(ProjectInfoTable[ProjectName]=ContinuousStatsTable[[#This Row],[ProjectName]])*ProjectInfoTable[NumberOfReplications]))</f>
        <v>30</v>
      </c>
      <c r="O313" cm="1">
        <f t="array" ref="O313">IFERROR(AVERAGE(IF((ContinuousStatsTable[GroupByKey]=ContinuousStatsTable[[#This Row],[GroupByKey]]),(ContinuousStatsTable[GroupByKey]=ContinuousStatsTable[[#This Row],[GroupByKey]])*ContinuousStatsTable[Average])),0)</f>
        <v>3</v>
      </c>
      <c r="P313" cm="1">
        <f t="array" ref="P313">IFERROR(_xlfn.STDEV.S(IF((ContinuousStatsTable[GroupByKey]=ContinuousStatsTable[[#This Row],[GroupByKey]]),(ContinuousStatsTable[GroupByKey]=ContinuousStatsTable[[#This Row],[GroupByKey]])*ContinuousStatsTable[Average])),0)</f>
        <v>0</v>
      </c>
      <c r="Q313" cm="1">
        <f t="array" ref="Q313">MAX(IF((ProjectInfoTable[ProjectName]=ContinuousStatsTable[[#This Row],[ProjectName]]),(ProjectInfoTable[ProjectName]=ContinuousStatsTable[[#This Row],[ProjectName]])*ProjectInfoTable[ConfidenceInterval]))</f>
        <v>0.95</v>
      </c>
      <c r="R3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3" cm="1">
        <f t="array" ref="S313">MIN(IF((ContinuousStatsTable[GroupByKey]=ContinuousStatsTable[[#This Row],[GroupByKey]]),(ContinuousStatsTable[GroupByKey]=ContinuousStatsTable[[#This Row],[GroupByKey]])*ContinuousStatsTable[Average]))</f>
        <v>3</v>
      </c>
      <c r="T313" cm="1">
        <f t="array" ref="T313">MAX(IF((ContinuousStatsTable[GroupByKey]=ContinuousStatsTable[[#This Row],[GroupByKey]]),(ContinuousStatsTable[GroupByKey]=ContinuousStatsTable[[#This Row],[GroupByKey]])*ContinuousStatsTable[Average]))</f>
        <v>3</v>
      </c>
      <c r="U313">
        <f>IF((ContinuousStatsTable[[#This Row],[RepsRequested]]&gt;1),ContinuousStatsTable[[#This Row],[HalfWidth]],ContinuousStatsTable[[#This Row],[BatchMeansHalfWidth]])</f>
        <v>0</v>
      </c>
    </row>
    <row r="314" spans="1:21" x14ac:dyDescent="0.2">
      <c r="A314" t="s">
        <v>67</v>
      </c>
      <c r="B314" t="s">
        <v>70</v>
      </c>
      <c r="C314">
        <v>14</v>
      </c>
      <c r="D314" t="s">
        <v>93</v>
      </c>
      <c r="E314" t="s">
        <v>94</v>
      </c>
      <c r="F314" t="s">
        <v>95</v>
      </c>
      <c r="G314">
        <v>0.24122807017543901</v>
      </c>
      <c r="H314">
        <v>2.4294423721278099E-2</v>
      </c>
      <c r="I314">
        <v>0</v>
      </c>
      <c r="J314">
        <v>1</v>
      </c>
      <c r="K314">
        <v>0</v>
      </c>
      <c r="L314">
        <v>0</v>
      </c>
      <c r="M314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314" cm="1">
        <f t="array" ref="N314">MAX(IF((ProjectInfoTable[ProjectName]=ContinuousStatsTable[[#This Row],[ProjectName]]),(ProjectInfoTable[ProjectName]=ContinuousStatsTable[[#This Row],[ProjectName]])*ProjectInfoTable[NumberOfReplications]))</f>
        <v>30</v>
      </c>
      <c r="O314" cm="1">
        <f t="array" ref="O314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314" cm="1">
        <f t="array" ref="P314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314" cm="1">
        <f t="array" ref="Q314">MAX(IF((ProjectInfoTable[ProjectName]=ContinuousStatsTable[[#This Row],[ProjectName]]),(ProjectInfoTable[ProjectName]=ContinuousStatsTable[[#This Row],[ProjectName]])*ProjectInfoTable[ConfidenceInterval]))</f>
        <v>0.95</v>
      </c>
      <c r="R3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314" cm="1">
        <f t="array" ref="S314">MIN(IF((ContinuousStatsTable[GroupByKey]=ContinuousStatsTable[[#This Row],[GroupByKey]]),(ContinuousStatsTable[GroupByKey]=ContinuousStatsTable[[#This Row],[GroupByKey]])*ContinuousStatsTable[Average]))</f>
        <v>0.233333333333333</v>
      </c>
      <c r="T314" cm="1">
        <f t="array" ref="T314">MAX(IF((ContinuousStatsTable[GroupByKey]=ContinuousStatsTable[[#This Row],[GroupByKey]]),(ContinuousStatsTable[GroupByKey]=ContinuousStatsTable[[#This Row],[GroupByKey]])*ContinuousStatsTable[Average]))</f>
        <v>0.27905535859326402</v>
      </c>
      <c r="U314">
        <f>IF((ContinuousStatsTable[[#This Row],[RepsRequested]]&gt;1),ContinuousStatsTable[[#This Row],[HalfWidth]],ContinuousStatsTable[[#This Row],[BatchMeansHalfWidth]])</f>
        <v>4.2029769261323026E-3</v>
      </c>
    </row>
    <row r="315" spans="1:21" x14ac:dyDescent="0.2">
      <c r="A315" t="s">
        <v>67</v>
      </c>
      <c r="B315" t="s">
        <v>70</v>
      </c>
      <c r="C315">
        <v>14</v>
      </c>
      <c r="D315" t="s">
        <v>93</v>
      </c>
      <c r="E315" t="s">
        <v>96</v>
      </c>
      <c r="F315" t="s">
        <v>95</v>
      </c>
      <c r="G315">
        <v>0.24122807017543901</v>
      </c>
      <c r="H315">
        <v>2.4294423721278099E-2</v>
      </c>
      <c r="I315">
        <v>0</v>
      </c>
      <c r="J315">
        <v>1</v>
      </c>
      <c r="K315">
        <v>0</v>
      </c>
      <c r="L315">
        <v>0</v>
      </c>
      <c r="M31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315" cm="1">
        <f t="array" ref="N315">MAX(IF((ProjectInfoTable[ProjectName]=ContinuousStatsTable[[#This Row],[ProjectName]]),(ProjectInfoTable[ProjectName]=ContinuousStatsTable[[#This Row],[ProjectName]])*ProjectInfoTable[NumberOfReplications]))</f>
        <v>30</v>
      </c>
      <c r="O315" cm="1">
        <f t="array" ref="O315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315" cm="1">
        <f t="array" ref="P315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315" cm="1">
        <f t="array" ref="Q315">MAX(IF((ProjectInfoTable[ProjectName]=ContinuousStatsTable[[#This Row],[ProjectName]]),(ProjectInfoTable[ProjectName]=ContinuousStatsTable[[#This Row],[ProjectName]])*ProjectInfoTable[ConfidenceInterval]))</f>
        <v>0.95</v>
      </c>
      <c r="R3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315" cm="1">
        <f t="array" ref="S315">MIN(IF((ContinuousStatsTable[GroupByKey]=ContinuousStatsTable[[#This Row],[GroupByKey]]),(ContinuousStatsTable[GroupByKey]=ContinuousStatsTable[[#This Row],[GroupByKey]])*ContinuousStatsTable[Average]))</f>
        <v>0.233333333333333</v>
      </c>
      <c r="T315" cm="1">
        <f t="array" ref="T315">MAX(IF((ContinuousStatsTable[GroupByKey]=ContinuousStatsTable[[#This Row],[GroupByKey]]),(ContinuousStatsTable[GroupByKey]=ContinuousStatsTable[[#This Row],[GroupByKey]])*ContinuousStatsTable[Average]))</f>
        <v>0.27905535859326402</v>
      </c>
      <c r="U315">
        <f>IF((ContinuousStatsTable[[#This Row],[RepsRequested]]&gt;1),ContinuousStatsTable[[#This Row],[HalfWidth]],ContinuousStatsTable[[#This Row],[BatchMeansHalfWidth]])</f>
        <v>4.2029769261323026E-3</v>
      </c>
    </row>
    <row r="316" spans="1:21" x14ac:dyDescent="0.2">
      <c r="A316" t="s">
        <v>67</v>
      </c>
      <c r="B316" t="s">
        <v>70</v>
      </c>
      <c r="C316">
        <v>14</v>
      </c>
      <c r="D316" t="s">
        <v>93</v>
      </c>
      <c r="E316" t="s">
        <v>97</v>
      </c>
      <c r="F316" t="s">
        <v>95</v>
      </c>
      <c r="G316">
        <v>1</v>
      </c>
      <c r="H316">
        <v>2E+20</v>
      </c>
      <c r="I316">
        <v>1</v>
      </c>
      <c r="J316">
        <v>1</v>
      </c>
      <c r="K316">
        <v>1</v>
      </c>
      <c r="L316">
        <v>0</v>
      </c>
      <c r="M316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316" cm="1">
        <f t="array" ref="N316">MAX(IF((ProjectInfoTable[ProjectName]=ContinuousStatsTable[[#This Row],[ProjectName]]),(ProjectInfoTable[ProjectName]=ContinuousStatsTable[[#This Row],[ProjectName]])*ProjectInfoTable[NumberOfReplications]))</f>
        <v>30</v>
      </c>
      <c r="O316" cm="1">
        <f t="array" ref="O316">IFERROR(AVERAGE(IF((ContinuousStatsTable[GroupByKey]=ContinuousStatsTable[[#This Row],[GroupByKey]]),(ContinuousStatsTable[GroupByKey]=ContinuousStatsTable[[#This Row],[GroupByKey]])*ContinuousStatsTable[Average])),0)</f>
        <v>1</v>
      </c>
      <c r="P316" cm="1">
        <f t="array" ref="P316">IFERROR(_xlfn.STDEV.S(IF((ContinuousStatsTable[GroupByKey]=ContinuousStatsTable[[#This Row],[GroupByKey]]),(ContinuousStatsTable[GroupByKey]=ContinuousStatsTable[[#This Row],[GroupByKey]])*ContinuousStatsTable[Average])),0)</f>
        <v>0</v>
      </c>
      <c r="Q316" cm="1">
        <f t="array" ref="Q316">MAX(IF((ProjectInfoTable[ProjectName]=ContinuousStatsTable[[#This Row],[ProjectName]]),(ProjectInfoTable[ProjectName]=ContinuousStatsTable[[#This Row],[ProjectName]])*ProjectInfoTable[ConfidenceInterval]))</f>
        <v>0.95</v>
      </c>
      <c r="R3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6" cm="1">
        <f t="array" ref="S316">MIN(IF((ContinuousStatsTable[GroupByKey]=ContinuousStatsTable[[#This Row],[GroupByKey]]),(ContinuousStatsTable[GroupByKey]=ContinuousStatsTable[[#This Row],[GroupByKey]])*ContinuousStatsTable[Average]))</f>
        <v>1</v>
      </c>
      <c r="T316" cm="1">
        <f t="array" ref="T316">MAX(IF((ContinuousStatsTable[GroupByKey]=ContinuousStatsTable[[#This Row],[GroupByKey]]),(ContinuousStatsTable[GroupByKey]=ContinuousStatsTable[[#This Row],[GroupByKey]])*ContinuousStatsTable[Average]))</f>
        <v>1</v>
      </c>
      <c r="U316">
        <f>IF((ContinuousStatsTable[[#This Row],[RepsRequested]]&gt;1),ContinuousStatsTable[[#This Row],[HalfWidth]],ContinuousStatsTable[[#This Row],[BatchMeansHalfWidth]])</f>
        <v>0</v>
      </c>
    </row>
    <row r="317" spans="1:21" x14ac:dyDescent="0.2">
      <c r="A317" t="s">
        <v>67</v>
      </c>
      <c r="B317" t="s">
        <v>70</v>
      </c>
      <c r="C317">
        <v>14</v>
      </c>
      <c r="D317" t="s">
        <v>71</v>
      </c>
      <c r="E317" t="s">
        <v>98</v>
      </c>
      <c r="F317" t="s">
        <v>73</v>
      </c>
      <c r="G317">
        <v>2.5160805535998899E-2</v>
      </c>
      <c r="H317">
        <v>2E+20</v>
      </c>
      <c r="I317">
        <v>0</v>
      </c>
      <c r="J317">
        <v>1</v>
      </c>
      <c r="K317">
        <v>0</v>
      </c>
      <c r="L317">
        <v>0</v>
      </c>
      <c r="M317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317" cm="1">
        <f t="array" ref="N317">MAX(IF((ProjectInfoTable[ProjectName]=ContinuousStatsTable[[#This Row],[ProjectName]]),(ProjectInfoTable[ProjectName]=ContinuousStatsTable[[#This Row],[ProjectName]])*ProjectInfoTable[NumberOfReplications]))</f>
        <v>30</v>
      </c>
      <c r="O317" cm="1">
        <f t="array" ref="O317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317" cm="1">
        <f t="array" ref="P317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317" cm="1">
        <f t="array" ref="Q317">MAX(IF((ProjectInfoTable[ProjectName]=ContinuousStatsTable[[#This Row],[ProjectName]]),(ProjectInfoTable[ProjectName]=ContinuousStatsTable[[#This Row],[ProjectName]])*ProjectInfoTable[ConfidenceInterval]))</f>
        <v>0.95</v>
      </c>
      <c r="R3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317" cm="1">
        <f t="array" ref="S317">MIN(IF((ContinuousStatsTable[GroupByKey]=ContinuousStatsTable[[#This Row],[GroupByKey]]),(ContinuousStatsTable[GroupByKey]=ContinuousStatsTable[[#This Row],[GroupByKey]])*ContinuousStatsTable[Average]))</f>
        <v>1.9664517785186901E-2</v>
      </c>
      <c r="T317" cm="1">
        <f t="array" ref="T317">MAX(IF((ContinuousStatsTable[GroupByKey]=ContinuousStatsTable[[#This Row],[GroupByKey]]),(ContinuousStatsTable[GroupByKey]=ContinuousStatsTable[[#This Row],[GroupByKey]])*ContinuousStatsTable[Average]))</f>
        <v>3.9738966906982302E-2</v>
      </c>
      <c r="U317">
        <f>IF((ContinuousStatsTable[[#This Row],[RepsRequested]]&gt;1),ContinuousStatsTable[[#This Row],[HalfWidth]],ContinuousStatsTable[[#This Row],[BatchMeansHalfWidth]])</f>
        <v>1.6627262085570247E-3</v>
      </c>
    </row>
    <row r="318" spans="1:21" x14ac:dyDescent="0.2">
      <c r="A318" t="s">
        <v>67</v>
      </c>
      <c r="B318" t="s">
        <v>70</v>
      </c>
      <c r="C318">
        <v>14</v>
      </c>
      <c r="D318" t="s">
        <v>99</v>
      </c>
      <c r="E318" t="s">
        <v>94</v>
      </c>
      <c r="F318" t="s">
        <v>95</v>
      </c>
      <c r="G318">
        <v>0.61523141287821304</v>
      </c>
      <c r="H318">
        <v>2E+20</v>
      </c>
      <c r="I318">
        <v>0</v>
      </c>
      <c r="J318">
        <v>1</v>
      </c>
      <c r="K318">
        <v>1</v>
      </c>
      <c r="L318">
        <v>0</v>
      </c>
      <c r="M318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318" cm="1">
        <f t="array" ref="N318">MAX(IF((ProjectInfoTable[ProjectName]=ContinuousStatsTable[[#This Row],[ProjectName]]),(ProjectInfoTable[ProjectName]=ContinuousStatsTable[[#This Row],[ProjectName]])*ProjectInfoTable[NumberOfReplications]))</f>
        <v>30</v>
      </c>
      <c r="O318" cm="1">
        <f t="array" ref="O318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318" cm="1">
        <f t="array" ref="P318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318" cm="1">
        <f t="array" ref="Q318">MAX(IF((ProjectInfoTable[ProjectName]=ContinuousStatsTable[[#This Row],[ProjectName]]),(ProjectInfoTable[ProjectName]=ContinuousStatsTable[[#This Row],[ProjectName]])*ProjectInfoTable[ConfidenceInterval]))</f>
        <v>0.95</v>
      </c>
      <c r="R3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318" cm="1">
        <f t="array" ref="S318">MIN(IF((ContinuousStatsTable[GroupByKey]=ContinuousStatsTable[[#This Row],[GroupByKey]]),(ContinuousStatsTable[GroupByKey]=ContinuousStatsTable[[#This Row],[GroupByKey]])*ContinuousStatsTable[Average]))</f>
        <v>0.58256422876290004</v>
      </c>
      <c r="T318" cm="1">
        <f t="array" ref="T318">MAX(IF((ContinuousStatsTable[GroupByKey]=ContinuousStatsTable[[#This Row],[GroupByKey]]),(ContinuousStatsTable[GroupByKey]=ContinuousStatsTable[[#This Row],[GroupByKey]])*ContinuousStatsTable[Average]))</f>
        <v>0.68643238055161704</v>
      </c>
      <c r="U318">
        <f>IF((ContinuousStatsTable[[#This Row],[RepsRequested]]&gt;1),ContinuousStatsTable[[#This Row],[HalfWidth]],ContinuousStatsTable[[#This Row],[BatchMeansHalfWidth]])</f>
        <v>9.8490003000806757E-3</v>
      </c>
    </row>
    <row r="319" spans="1:21" x14ac:dyDescent="0.2">
      <c r="A319" t="s">
        <v>67</v>
      </c>
      <c r="B319" t="s">
        <v>70</v>
      </c>
      <c r="C319">
        <v>14</v>
      </c>
      <c r="D319" t="s">
        <v>99</v>
      </c>
      <c r="E319" t="s">
        <v>96</v>
      </c>
      <c r="F319" t="s">
        <v>95</v>
      </c>
      <c r="G319">
        <v>1.2304628257564301</v>
      </c>
      <c r="H319">
        <v>2E+20</v>
      </c>
      <c r="I319">
        <v>0</v>
      </c>
      <c r="J319">
        <v>2</v>
      </c>
      <c r="K319">
        <v>2</v>
      </c>
      <c r="L319">
        <v>0</v>
      </c>
      <c r="M319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319" cm="1">
        <f t="array" ref="N319">MAX(IF((ProjectInfoTable[ProjectName]=ContinuousStatsTable[[#This Row],[ProjectName]]),(ProjectInfoTable[ProjectName]=ContinuousStatsTable[[#This Row],[ProjectName]])*ProjectInfoTable[NumberOfReplications]))</f>
        <v>30</v>
      </c>
      <c r="O319" cm="1">
        <f t="array" ref="O319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319" cm="1">
        <f t="array" ref="P319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319" cm="1">
        <f t="array" ref="Q319">MAX(IF((ProjectInfoTable[ProjectName]=ContinuousStatsTable[[#This Row],[ProjectName]]),(ProjectInfoTable[ProjectName]=ContinuousStatsTable[[#This Row],[ProjectName]])*ProjectInfoTable[ConfidenceInterval]))</f>
        <v>0.95</v>
      </c>
      <c r="R3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319" cm="1">
        <f t="array" ref="S319">MIN(IF((ContinuousStatsTable[GroupByKey]=ContinuousStatsTable[[#This Row],[GroupByKey]]),(ContinuousStatsTable[GroupByKey]=ContinuousStatsTable[[#This Row],[GroupByKey]])*ContinuousStatsTable[Average]))</f>
        <v>1.1651284575258001</v>
      </c>
      <c r="T319" cm="1">
        <f t="array" ref="T319">MAX(IF((ContinuousStatsTable[GroupByKey]=ContinuousStatsTable[[#This Row],[GroupByKey]]),(ContinuousStatsTable[GroupByKey]=ContinuousStatsTable[[#This Row],[GroupByKey]])*ContinuousStatsTable[Average]))</f>
        <v>1.3728647611032301</v>
      </c>
      <c r="U319">
        <f>IF((ContinuousStatsTable[[#This Row],[RepsRequested]]&gt;1),ContinuousStatsTable[[#This Row],[HalfWidth]],ContinuousStatsTable[[#This Row],[BatchMeansHalfWidth]])</f>
        <v>1.9698000600160998E-2</v>
      </c>
    </row>
    <row r="320" spans="1:21" x14ac:dyDescent="0.2">
      <c r="A320" t="s">
        <v>67</v>
      </c>
      <c r="B320" t="s">
        <v>70</v>
      </c>
      <c r="C320">
        <v>14</v>
      </c>
      <c r="D320" t="s">
        <v>99</v>
      </c>
      <c r="E320" t="s">
        <v>97</v>
      </c>
      <c r="F320" t="s">
        <v>95</v>
      </c>
      <c r="G320">
        <v>2</v>
      </c>
      <c r="H320">
        <v>2E+20</v>
      </c>
      <c r="I320">
        <v>2</v>
      </c>
      <c r="J320">
        <v>2</v>
      </c>
      <c r="K320">
        <v>2</v>
      </c>
      <c r="L320">
        <v>0</v>
      </c>
      <c r="M320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320" cm="1">
        <f t="array" ref="N320">MAX(IF((ProjectInfoTable[ProjectName]=ContinuousStatsTable[[#This Row],[ProjectName]]),(ProjectInfoTable[ProjectName]=ContinuousStatsTable[[#This Row],[ProjectName]])*ProjectInfoTable[NumberOfReplications]))</f>
        <v>30</v>
      </c>
      <c r="O320" cm="1">
        <f t="array" ref="O320">IFERROR(AVERAGE(IF((ContinuousStatsTable[GroupByKey]=ContinuousStatsTable[[#This Row],[GroupByKey]]),(ContinuousStatsTable[GroupByKey]=ContinuousStatsTable[[#This Row],[GroupByKey]])*ContinuousStatsTable[Average])),0)</f>
        <v>2</v>
      </c>
      <c r="P320" cm="1">
        <f t="array" ref="P320">IFERROR(_xlfn.STDEV.S(IF((ContinuousStatsTable[GroupByKey]=ContinuousStatsTable[[#This Row],[GroupByKey]]),(ContinuousStatsTable[GroupByKey]=ContinuousStatsTable[[#This Row],[GroupByKey]])*ContinuousStatsTable[Average])),0)</f>
        <v>0</v>
      </c>
      <c r="Q320" cm="1">
        <f t="array" ref="Q320">MAX(IF((ProjectInfoTable[ProjectName]=ContinuousStatsTable[[#This Row],[ProjectName]]),(ProjectInfoTable[ProjectName]=ContinuousStatsTable[[#This Row],[ProjectName]])*ProjectInfoTable[ConfidenceInterval]))</f>
        <v>0.95</v>
      </c>
      <c r="R3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0" cm="1">
        <f t="array" ref="S320">MIN(IF((ContinuousStatsTable[GroupByKey]=ContinuousStatsTable[[#This Row],[GroupByKey]]),(ContinuousStatsTable[GroupByKey]=ContinuousStatsTable[[#This Row],[GroupByKey]])*ContinuousStatsTable[Average]))</f>
        <v>2</v>
      </c>
      <c r="T320" cm="1">
        <f t="array" ref="T320">MAX(IF((ContinuousStatsTable[GroupByKey]=ContinuousStatsTable[[#This Row],[GroupByKey]]),(ContinuousStatsTable[GroupByKey]=ContinuousStatsTable[[#This Row],[GroupByKey]])*ContinuousStatsTable[Average]))</f>
        <v>2</v>
      </c>
      <c r="U320">
        <f>IF((ContinuousStatsTable[[#This Row],[RepsRequested]]&gt;1),ContinuousStatsTable[[#This Row],[HalfWidth]],ContinuousStatsTable[[#This Row],[BatchMeansHalfWidth]])</f>
        <v>0</v>
      </c>
    </row>
    <row r="321" spans="1:21" x14ac:dyDescent="0.2">
      <c r="A321" t="s">
        <v>67</v>
      </c>
      <c r="B321" t="s">
        <v>70</v>
      </c>
      <c r="C321">
        <v>14</v>
      </c>
      <c r="D321" t="s">
        <v>74</v>
      </c>
      <c r="E321" t="s">
        <v>100</v>
      </c>
      <c r="F321" t="s">
        <v>76</v>
      </c>
      <c r="G321">
        <v>15.2670739038411</v>
      </c>
      <c r="H321">
        <v>1.1994883246952199</v>
      </c>
      <c r="I321">
        <v>2</v>
      </c>
      <c r="J321">
        <v>29</v>
      </c>
      <c r="K321">
        <v>19</v>
      </c>
      <c r="L321">
        <v>0</v>
      </c>
      <c r="M321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1" cm="1">
        <f t="array" ref="N321">MAX(IF((ProjectInfoTable[ProjectName]=ContinuousStatsTable[[#This Row],[ProjectName]]),(ProjectInfoTable[ProjectName]=ContinuousStatsTable[[#This Row],[ProjectName]])*ProjectInfoTable[NumberOfReplications]))</f>
        <v>30</v>
      </c>
      <c r="O321" cm="1">
        <f t="array" ref="O321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321" cm="1">
        <f t="array" ref="P321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321" cm="1">
        <f t="array" ref="Q321">MAX(IF((ProjectInfoTable[ProjectName]=ContinuousStatsTable[[#This Row],[ProjectName]]),(ProjectInfoTable[ProjectName]=ContinuousStatsTable[[#This Row],[ProjectName]])*ProjectInfoTable[ConfidenceInterval]))</f>
        <v>0.95</v>
      </c>
      <c r="R3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321" cm="1">
        <f t="array" ref="S321">MIN(IF((ContinuousStatsTable[GroupByKey]=ContinuousStatsTable[[#This Row],[GroupByKey]]),(ContinuousStatsTable[GroupByKey]=ContinuousStatsTable[[#This Row],[GroupByKey]])*ContinuousStatsTable[Average]))</f>
        <v>14.4112589759764</v>
      </c>
      <c r="T321" cm="1">
        <f t="array" ref="T321">MAX(IF((ContinuousStatsTable[GroupByKey]=ContinuousStatsTable[[#This Row],[GroupByKey]]),(ContinuousStatsTable[GroupByKey]=ContinuousStatsTable[[#This Row],[GroupByKey]])*ContinuousStatsTable[Average]))</f>
        <v>16.972707717517899</v>
      </c>
      <c r="U321">
        <f>IF((ContinuousStatsTable[[#This Row],[RepsRequested]]&gt;1),ContinuousStatsTable[[#This Row],[HalfWidth]],ContinuousStatsTable[[#This Row],[BatchMeansHalfWidth]])</f>
        <v>0.25870181881670146</v>
      </c>
    </row>
    <row r="322" spans="1:21" x14ac:dyDescent="0.2">
      <c r="A322" t="s">
        <v>67</v>
      </c>
      <c r="B322" t="s">
        <v>70</v>
      </c>
      <c r="C322">
        <v>14</v>
      </c>
      <c r="D322" t="s">
        <v>82</v>
      </c>
      <c r="E322" t="s">
        <v>98</v>
      </c>
      <c r="F322" t="s">
        <v>73</v>
      </c>
      <c r="G322">
        <v>0.17339824129662801</v>
      </c>
      <c r="H322">
        <v>2E+20</v>
      </c>
      <c r="I322">
        <v>0</v>
      </c>
      <c r="J322">
        <v>4</v>
      </c>
      <c r="K322">
        <v>0</v>
      </c>
      <c r="L322">
        <v>0</v>
      </c>
      <c r="M322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322" cm="1">
        <f t="array" ref="N322">MAX(IF((ProjectInfoTable[ProjectName]=ContinuousStatsTable[[#This Row],[ProjectName]]),(ProjectInfoTable[ProjectName]=ContinuousStatsTable[[#This Row],[ProjectName]])*ProjectInfoTable[NumberOfReplications]))</f>
        <v>30</v>
      </c>
      <c r="O322" cm="1">
        <f t="array" ref="O322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322" cm="1">
        <f t="array" ref="P322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322" cm="1">
        <f t="array" ref="Q322">MAX(IF((ProjectInfoTable[ProjectName]=ContinuousStatsTable[[#This Row],[ProjectName]]),(ProjectInfoTable[ProjectName]=ContinuousStatsTable[[#This Row],[ProjectName]])*ProjectInfoTable[ConfidenceInterval]))</f>
        <v>0.95</v>
      </c>
      <c r="R3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322" cm="1">
        <f t="array" ref="S322">MIN(IF((ContinuousStatsTable[GroupByKey]=ContinuousStatsTable[[#This Row],[GroupByKey]]),(ContinuousStatsTable[GroupByKey]=ContinuousStatsTable[[#This Row],[GroupByKey]])*ContinuousStatsTable[Average]))</f>
        <v>7.4406608295854798E-2</v>
      </c>
      <c r="T322" cm="1">
        <f t="array" ref="T322">MAX(IF((ContinuousStatsTable[GroupByKey]=ContinuousStatsTable[[#This Row],[GroupByKey]]),(ContinuousStatsTable[GroupByKey]=ContinuousStatsTable[[#This Row],[GroupByKey]])*ContinuousStatsTable[Average]))</f>
        <v>0.29874320707386398</v>
      </c>
      <c r="U322">
        <f>IF((ContinuousStatsTable[[#This Row],[RepsRequested]]&gt;1),ContinuousStatsTable[[#This Row],[HalfWidth]],ContinuousStatsTable[[#This Row],[BatchMeansHalfWidth]])</f>
        <v>2.0058204231149332E-2</v>
      </c>
    </row>
    <row r="323" spans="1:21" x14ac:dyDescent="0.2">
      <c r="A323" t="s">
        <v>67</v>
      </c>
      <c r="B323" t="s">
        <v>70</v>
      </c>
      <c r="C323">
        <v>14</v>
      </c>
      <c r="D323" t="s">
        <v>101</v>
      </c>
      <c r="E323" t="s">
        <v>94</v>
      </c>
      <c r="F323" t="s">
        <v>95</v>
      </c>
      <c r="G323">
        <v>1.79399101213561E-3</v>
      </c>
      <c r="H323">
        <v>1.9872286399801601E-4</v>
      </c>
      <c r="I323">
        <v>0</v>
      </c>
      <c r="J323">
        <v>3.7499999999999999E-2</v>
      </c>
      <c r="K323">
        <v>1.2500000000000001E-2</v>
      </c>
      <c r="L323">
        <v>0</v>
      </c>
      <c r="M323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323" cm="1">
        <f t="array" ref="N323">MAX(IF((ProjectInfoTable[ProjectName]=ContinuousStatsTable[[#This Row],[ProjectName]]),(ProjectInfoTable[ProjectName]=ContinuousStatsTable[[#This Row],[ProjectName]])*ProjectInfoTable[NumberOfReplications]))</f>
        <v>30</v>
      </c>
      <c r="O323" cm="1">
        <f t="array" ref="O323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323" cm="1">
        <f t="array" ref="P323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323" cm="1">
        <f t="array" ref="Q323">MAX(IF((ProjectInfoTable[ProjectName]=ContinuousStatsTable[[#This Row],[ProjectName]]),(ProjectInfoTable[ProjectName]=ContinuousStatsTable[[#This Row],[ProjectName]])*ProjectInfoTable[ConfidenceInterval]))</f>
        <v>0.95</v>
      </c>
      <c r="R3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323" cm="1">
        <f t="array" ref="S323">MIN(IF((ContinuousStatsTable[GroupByKey]=ContinuousStatsTable[[#This Row],[GroupByKey]]),(ContinuousStatsTable[GroupByKey]=ContinuousStatsTable[[#This Row],[GroupByKey]])*ContinuousStatsTable[Average]))</f>
        <v>1.70504385964912E-3</v>
      </c>
      <c r="T323" cm="1">
        <f t="array" ref="T323">MAX(IF((ContinuousStatsTable[GroupByKey]=ContinuousStatsTable[[#This Row],[GroupByKey]]),(ContinuousStatsTable[GroupByKey]=ContinuousStatsTable[[#This Row],[GroupByKey]])*ContinuousStatsTable[Average]))</f>
        <v>2.17031677925951E-3</v>
      </c>
      <c r="U323">
        <f>IF((ContinuousStatsTable[[#This Row],[RepsRequested]]&gt;1),ContinuousStatsTable[[#This Row],[HalfWidth]],ContinuousStatsTable[[#This Row],[BatchMeansHalfWidth]])</f>
        <v>4.4865881583116605E-5</v>
      </c>
    </row>
    <row r="324" spans="1:21" x14ac:dyDescent="0.2">
      <c r="A324" t="s">
        <v>67</v>
      </c>
      <c r="B324" t="s">
        <v>70</v>
      </c>
      <c r="C324">
        <v>14</v>
      </c>
      <c r="D324" t="s">
        <v>101</v>
      </c>
      <c r="E324" t="s">
        <v>96</v>
      </c>
      <c r="F324" t="s">
        <v>95</v>
      </c>
      <c r="G324">
        <v>0.14351928097084801</v>
      </c>
      <c r="H324">
        <v>1.5897829119841202E-2</v>
      </c>
      <c r="I324">
        <v>0</v>
      </c>
      <c r="J324">
        <v>3</v>
      </c>
      <c r="K324">
        <v>1</v>
      </c>
      <c r="L324">
        <v>0</v>
      </c>
      <c r="M324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324" cm="1">
        <f t="array" ref="N324">MAX(IF((ProjectInfoTable[ProjectName]=ContinuousStatsTable[[#This Row],[ProjectName]]),(ProjectInfoTable[ProjectName]=ContinuousStatsTable[[#This Row],[ProjectName]])*ProjectInfoTable[NumberOfReplications]))</f>
        <v>30</v>
      </c>
      <c r="O324" cm="1">
        <f t="array" ref="O324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324" cm="1">
        <f t="array" ref="P324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324" cm="1">
        <f t="array" ref="Q324">MAX(IF((ProjectInfoTable[ProjectName]=ContinuousStatsTable[[#This Row],[ProjectName]]),(ProjectInfoTable[ProjectName]=ContinuousStatsTable[[#This Row],[ProjectName]])*ProjectInfoTable[ConfidenceInterval]))</f>
        <v>0.95</v>
      </c>
      <c r="R3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324" cm="1">
        <f t="array" ref="S324">MIN(IF((ContinuousStatsTable[GroupByKey]=ContinuousStatsTable[[#This Row],[GroupByKey]]),(ContinuousStatsTable[GroupByKey]=ContinuousStatsTable[[#This Row],[GroupByKey]])*ContinuousStatsTable[Average]))</f>
        <v>0.13640350877193</v>
      </c>
      <c r="T324" cm="1">
        <f t="array" ref="T324">MAX(IF((ContinuousStatsTable[GroupByKey]=ContinuousStatsTable[[#This Row],[GroupByKey]]),(ContinuousStatsTable[GroupByKey]=ContinuousStatsTable[[#This Row],[GroupByKey]])*ContinuousStatsTable[Average]))</f>
        <v>0.17362534234076099</v>
      </c>
      <c r="U324">
        <f>IF((ContinuousStatsTable[[#This Row],[RepsRequested]]&gt;1),ContinuousStatsTable[[#This Row],[HalfWidth]],ContinuousStatsTable[[#This Row],[BatchMeansHalfWidth]])</f>
        <v>3.5892705266493139E-3</v>
      </c>
    </row>
    <row r="325" spans="1:21" x14ac:dyDescent="0.2">
      <c r="A325" t="s">
        <v>67</v>
      </c>
      <c r="B325" t="s">
        <v>70</v>
      </c>
      <c r="C325">
        <v>14</v>
      </c>
      <c r="D325" t="s">
        <v>101</v>
      </c>
      <c r="E325" t="s">
        <v>97</v>
      </c>
      <c r="F325" t="s">
        <v>95</v>
      </c>
      <c r="G325">
        <v>80</v>
      </c>
      <c r="H325">
        <v>2E+20</v>
      </c>
      <c r="I325">
        <v>80</v>
      </c>
      <c r="J325">
        <v>80</v>
      </c>
      <c r="K325">
        <v>80</v>
      </c>
      <c r="L325">
        <v>0</v>
      </c>
      <c r="M325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325" cm="1">
        <f t="array" ref="N325">MAX(IF((ProjectInfoTable[ProjectName]=ContinuousStatsTable[[#This Row],[ProjectName]]),(ProjectInfoTable[ProjectName]=ContinuousStatsTable[[#This Row],[ProjectName]])*ProjectInfoTable[NumberOfReplications]))</f>
        <v>30</v>
      </c>
      <c r="O325" cm="1">
        <f t="array" ref="O325">IFERROR(AVERAGE(IF((ContinuousStatsTable[GroupByKey]=ContinuousStatsTable[[#This Row],[GroupByKey]]),(ContinuousStatsTable[GroupByKey]=ContinuousStatsTable[[#This Row],[GroupByKey]])*ContinuousStatsTable[Average])),0)</f>
        <v>80</v>
      </c>
      <c r="P325" cm="1">
        <f t="array" ref="P325">IFERROR(_xlfn.STDEV.S(IF((ContinuousStatsTable[GroupByKey]=ContinuousStatsTable[[#This Row],[GroupByKey]]),(ContinuousStatsTable[GroupByKey]=ContinuousStatsTable[[#This Row],[GroupByKey]])*ContinuousStatsTable[Average])),0)</f>
        <v>0</v>
      </c>
      <c r="Q325" cm="1">
        <f t="array" ref="Q325">MAX(IF((ProjectInfoTable[ProjectName]=ContinuousStatsTable[[#This Row],[ProjectName]]),(ProjectInfoTable[ProjectName]=ContinuousStatsTable[[#This Row],[ProjectName]])*ProjectInfoTable[ConfidenceInterval]))</f>
        <v>0.95</v>
      </c>
      <c r="R3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5" cm="1">
        <f t="array" ref="S325">MIN(IF((ContinuousStatsTable[GroupByKey]=ContinuousStatsTable[[#This Row],[GroupByKey]]),(ContinuousStatsTable[GroupByKey]=ContinuousStatsTable[[#This Row],[GroupByKey]])*ContinuousStatsTable[Average]))</f>
        <v>80</v>
      </c>
      <c r="T325" cm="1">
        <f t="array" ref="T325">MAX(IF((ContinuousStatsTable[GroupByKey]=ContinuousStatsTable[[#This Row],[GroupByKey]]),(ContinuousStatsTable[GroupByKey]=ContinuousStatsTable[[#This Row],[GroupByKey]])*ContinuousStatsTable[Average]))</f>
        <v>80</v>
      </c>
      <c r="U325">
        <f>IF((ContinuousStatsTable[[#This Row],[RepsRequested]]&gt;1),ContinuousStatsTable[[#This Row],[HalfWidth]],ContinuousStatsTable[[#This Row],[BatchMeansHalfWidth]])</f>
        <v>0</v>
      </c>
    </row>
    <row r="326" spans="1:21" x14ac:dyDescent="0.2">
      <c r="A326" t="s">
        <v>67</v>
      </c>
      <c r="B326" t="s">
        <v>70</v>
      </c>
      <c r="C326">
        <v>14</v>
      </c>
      <c r="D326" t="s">
        <v>86</v>
      </c>
      <c r="E326" t="s">
        <v>98</v>
      </c>
      <c r="F326" t="s">
        <v>73</v>
      </c>
      <c r="G326">
        <v>0</v>
      </c>
      <c r="H326">
        <v>2E+20</v>
      </c>
      <c r="I326">
        <v>0</v>
      </c>
      <c r="J326">
        <v>0</v>
      </c>
      <c r="K326">
        <v>0</v>
      </c>
      <c r="L326">
        <v>0</v>
      </c>
      <c r="M326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326" cm="1">
        <f t="array" ref="N326">MAX(IF((ProjectInfoTable[ProjectName]=ContinuousStatsTable[[#This Row],[ProjectName]]),(ProjectInfoTable[ProjectName]=ContinuousStatsTable[[#This Row],[ProjectName]])*ProjectInfoTable[NumberOfReplications]))</f>
        <v>30</v>
      </c>
      <c r="O326" cm="1">
        <f t="array" ref="O326">IFERROR(AVERAGE(IF((ContinuousStatsTable[GroupByKey]=ContinuousStatsTable[[#This Row],[GroupByKey]]),(ContinuousStatsTable[GroupByKey]=ContinuousStatsTable[[#This Row],[GroupByKey]])*ContinuousStatsTable[Average])),0)</f>
        <v>0</v>
      </c>
      <c r="P326" cm="1">
        <f t="array" ref="P326">IFERROR(_xlfn.STDEV.S(IF((ContinuousStatsTable[GroupByKey]=ContinuousStatsTable[[#This Row],[GroupByKey]]),(ContinuousStatsTable[GroupByKey]=ContinuousStatsTable[[#This Row],[GroupByKey]])*ContinuousStatsTable[Average])),0)</f>
        <v>0</v>
      </c>
      <c r="Q326" cm="1">
        <f t="array" ref="Q326">MAX(IF((ProjectInfoTable[ProjectName]=ContinuousStatsTable[[#This Row],[ProjectName]]),(ProjectInfoTable[ProjectName]=ContinuousStatsTable[[#This Row],[ProjectName]])*ProjectInfoTable[ConfidenceInterval]))</f>
        <v>0.95</v>
      </c>
      <c r="R3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6" cm="1">
        <f t="array" ref="S326">MIN(IF((ContinuousStatsTable[GroupByKey]=ContinuousStatsTable[[#This Row],[GroupByKey]]),(ContinuousStatsTable[GroupByKey]=ContinuousStatsTable[[#This Row],[GroupByKey]])*ContinuousStatsTable[Average]))</f>
        <v>0</v>
      </c>
      <c r="T326" cm="1">
        <f t="array" ref="T326">MAX(IF((ContinuousStatsTable[GroupByKey]=ContinuousStatsTable[[#This Row],[GroupByKey]]),(ContinuousStatsTable[GroupByKey]=ContinuousStatsTable[[#This Row],[GroupByKey]])*ContinuousStatsTable[Average]))</f>
        <v>0</v>
      </c>
      <c r="U326">
        <f>IF((ContinuousStatsTable[[#This Row],[RepsRequested]]&gt;1),ContinuousStatsTable[[#This Row],[HalfWidth]],ContinuousStatsTable[[#This Row],[BatchMeansHalfWidth]])</f>
        <v>0</v>
      </c>
    </row>
    <row r="327" spans="1:21" x14ac:dyDescent="0.2">
      <c r="A327" t="s">
        <v>67</v>
      </c>
      <c r="B327" t="s">
        <v>70</v>
      </c>
      <c r="C327">
        <v>14</v>
      </c>
      <c r="D327" t="s">
        <v>87</v>
      </c>
      <c r="E327" t="s">
        <v>98</v>
      </c>
      <c r="F327" t="s">
        <v>73</v>
      </c>
      <c r="G327">
        <v>0</v>
      </c>
      <c r="H327">
        <v>2E+20</v>
      </c>
      <c r="I327">
        <v>0</v>
      </c>
      <c r="J327">
        <v>0</v>
      </c>
      <c r="K327">
        <v>0</v>
      </c>
      <c r="L327">
        <v>0</v>
      </c>
      <c r="M327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327" cm="1">
        <f t="array" ref="N327">MAX(IF((ProjectInfoTable[ProjectName]=ContinuousStatsTable[[#This Row],[ProjectName]]),(ProjectInfoTable[ProjectName]=ContinuousStatsTable[[#This Row],[ProjectName]])*ProjectInfoTable[NumberOfReplications]))</f>
        <v>30</v>
      </c>
      <c r="O327" cm="1">
        <f t="array" ref="O327">IFERROR(AVERAGE(IF((ContinuousStatsTable[GroupByKey]=ContinuousStatsTable[[#This Row],[GroupByKey]]),(ContinuousStatsTable[GroupByKey]=ContinuousStatsTable[[#This Row],[GroupByKey]])*ContinuousStatsTable[Average])),0)</f>
        <v>0</v>
      </c>
      <c r="P327" cm="1">
        <f t="array" ref="P327">IFERROR(_xlfn.STDEV.S(IF((ContinuousStatsTable[GroupByKey]=ContinuousStatsTable[[#This Row],[GroupByKey]]),(ContinuousStatsTable[GroupByKey]=ContinuousStatsTable[[#This Row],[GroupByKey]])*ContinuousStatsTable[Average])),0)</f>
        <v>0</v>
      </c>
      <c r="Q327" cm="1">
        <f t="array" ref="Q327">MAX(IF((ProjectInfoTable[ProjectName]=ContinuousStatsTable[[#This Row],[ProjectName]]),(ProjectInfoTable[ProjectName]=ContinuousStatsTable[[#This Row],[ProjectName]])*ProjectInfoTable[ConfidenceInterval]))</f>
        <v>0.95</v>
      </c>
      <c r="R3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27" cm="1">
        <f t="array" ref="S327">MIN(IF((ContinuousStatsTable[GroupByKey]=ContinuousStatsTable[[#This Row],[GroupByKey]]),(ContinuousStatsTable[GroupByKey]=ContinuousStatsTable[[#This Row],[GroupByKey]])*ContinuousStatsTable[Average]))</f>
        <v>0</v>
      </c>
      <c r="T327" cm="1">
        <f t="array" ref="T327">MAX(IF((ContinuousStatsTable[GroupByKey]=ContinuousStatsTable[[#This Row],[GroupByKey]]),(ContinuousStatsTable[GroupByKey]=ContinuousStatsTable[[#This Row],[GroupByKey]])*ContinuousStatsTable[Average]))</f>
        <v>0</v>
      </c>
      <c r="U327">
        <f>IF((ContinuousStatsTable[[#This Row],[RepsRequested]]&gt;1),ContinuousStatsTable[[#This Row],[HalfWidth]],ContinuousStatsTable[[#This Row],[BatchMeansHalfWidth]])</f>
        <v>0</v>
      </c>
    </row>
    <row r="328" spans="1:21" x14ac:dyDescent="0.2">
      <c r="A328" t="s">
        <v>67</v>
      </c>
      <c r="B328" t="s">
        <v>70</v>
      </c>
      <c r="C328">
        <v>14</v>
      </c>
      <c r="D328" t="s">
        <v>88</v>
      </c>
      <c r="E328" t="s">
        <v>98</v>
      </c>
      <c r="F328" t="s">
        <v>73</v>
      </c>
      <c r="G328">
        <v>1.5352830465081999</v>
      </c>
      <c r="H328">
        <v>9.9988330726398206E-2</v>
      </c>
      <c r="I328">
        <v>0</v>
      </c>
      <c r="J328">
        <v>4</v>
      </c>
      <c r="K328">
        <v>1</v>
      </c>
      <c r="L328">
        <v>0</v>
      </c>
      <c r="M328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328" cm="1">
        <f t="array" ref="N328">MAX(IF((ProjectInfoTable[ProjectName]=ContinuousStatsTable[[#This Row],[ProjectName]]),(ProjectInfoTable[ProjectName]=ContinuousStatsTable[[#This Row],[ProjectName]])*ProjectInfoTable[NumberOfReplications]))</f>
        <v>30</v>
      </c>
      <c r="O328" cm="1">
        <f t="array" ref="O328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328" cm="1">
        <f t="array" ref="P328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328" cm="1">
        <f t="array" ref="Q328">MAX(IF((ProjectInfoTable[ProjectName]=ContinuousStatsTable[[#This Row],[ProjectName]]),(ProjectInfoTable[ProjectName]=ContinuousStatsTable[[#This Row],[ProjectName]])*ProjectInfoTable[ConfidenceInterval]))</f>
        <v>0.95</v>
      </c>
      <c r="R3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328" cm="1">
        <f t="array" ref="S328">MIN(IF((ContinuousStatsTable[GroupByKey]=ContinuousStatsTable[[#This Row],[GroupByKey]]),(ContinuousStatsTable[GroupByKey]=ContinuousStatsTable[[#This Row],[GroupByKey]])*ContinuousStatsTable[Average]))</f>
        <v>1.4062336911317099</v>
      </c>
      <c r="T328" cm="1">
        <f t="array" ref="T328">MAX(IF((ContinuousStatsTable[GroupByKey]=ContinuousStatsTable[[#This Row],[GroupByKey]]),(ContinuousStatsTable[GroupByKey]=ContinuousStatsTable[[#This Row],[GroupByKey]])*ContinuousStatsTable[Average]))</f>
        <v>1.5889769030929</v>
      </c>
      <c r="U328">
        <f>IF((ContinuousStatsTable[[#This Row],[RepsRequested]]&gt;1),ContinuousStatsTable[[#This Row],[HalfWidth]],ContinuousStatsTable[[#This Row],[BatchMeansHalfWidth]])</f>
        <v>1.602866983772662E-2</v>
      </c>
    </row>
    <row r="329" spans="1:21" x14ac:dyDescent="0.2">
      <c r="A329" t="s">
        <v>67</v>
      </c>
      <c r="B329" t="s">
        <v>70</v>
      </c>
      <c r="C329">
        <v>14</v>
      </c>
      <c r="D329" t="s">
        <v>102</v>
      </c>
      <c r="E329" t="s">
        <v>94</v>
      </c>
      <c r="F329" t="s">
        <v>95</v>
      </c>
      <c r="G329">
        <v>4.8464912280701796E-3</v>
      </c>
      <c r="H329">
        <v>8.2576738020740596E-4</v>
      </c>
      <c r="I329">
        <v>0</v>
      </c>
      <c r="J329">
        <v>0.1</v>
      </c>
      <c r="K329">
        <v>0</v>
      </c>
      <c r="L329">
        <v>0</v>
      </c>
      <c r="M329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329" cm="1">
        <f t="array" ref="N329">MAX(IF((ProjectInfoTable[ProjectName]=ContinuousStatsTable[[#This Row],[ProjectName]]),(ProjectInfoTable[ProjectName]=ContinuousStatsTable[[#This Row],[ProjectName]])*ProjectInfoTable[NumberOfReplications]))</f>
        <v>30</v>
      </c>
      <c r="O329" cm="1">
        <f t="array" ref="O329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329" cm="1">
        <f t="array" ref="P329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329" cm="1">
        <f t="array" ref="Q329">MAX(IF((ProjectInfoTable[ProjectName]=ContinuousStatsTable[[#This Row],[ProjectName]]),(ProjectInfoTable[ProjectName]=ContinuousStatsTable[[#This Row],[ProjectName]])*ProjectInfoTable[ConfidenceInterval]))</f>
        <v>0.95</v>
      </c>
      <c r="R3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329" cm="1">
        <f t="array" ref="S329">MIN(IF((ContinuousStatsTable[GroupByKey]=ContinuousStatsTable[[#This Row],[GroupByKey]]),(ContinuousStatsTable[GroupByKey]=ContinuousStatsTable[[#This Row],[GroupByKey]])*ContinuousStatsTable[Average]))</f>
        <v>4.4956140350877203E-3</v>
      </c>
      <c r="T329" cm="1">
        <f t="array" ref="T329">MAX(IF((ContinuousStatsTable[GroupByKey]=ContinuousStatsTable[[#This Row],[GroupByKey]]),(ContinuousStatsTable[GroupByKey]=ContinuousStatsTable[[#This Row],[GroupByKey]])*ContinuousStatsTable[Average]))</f>
        <v>5.5482456140350904E-3</v>
      </c>
      <c r="U329">
        <f>IF((ContinuousStatsTable[[#This Row],[RepsRequested]]&gt;1),ContinuousStatsTable[[#This Row],[HalfWidth]],ContinuousStatsTable[[#This Row],[BatchMeansHalfWidth]])</f>
        <v>1.0144486472958472E-4</v>
      </c>
    </row>
    <row r="330" spans="1:21" x14ac:dyDescent="0.2">
      <c r="A330" t="s">
        <v>67</v>
      </c>
      <c r="B330" t="s">
        <v>70</v>
      </c>
      <c r="C330">
        <v>14</v>
      </c>
      <c r="D330" t="s">
        <v>102</v>
      </c>
      <c r="E330" t="s">
        <v>96</v>
      </c>
      <c r="F330" t="s">
        <v>95</v>
      </c>
      <c r="G330">
        <v>9.6929824561403505E-2</v>
      </c>
      <c r="H330">
        <v>1.6515347604148099E-2</v>
      </c>
      <c r="I330">
        <v>0</v>
      </c>
      <c r="J330">
        <v>2</v>
      </c>
      <c r="K330">
        <v>0</v>
      </c>
      <c r="L330">
        <v>0</v>
      </c>
      <c r="M330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330" cm="1">
        <f t="array" ref="N330">MAX(IF((ProjectInfoTable[ProjectName]=ContinuousStatsTable[[#This Row],[ProjectName]]),(ProjectInfoTable[ProjectName]=ContinuousStatsTable[[#This Row],[ProjectName]])*ProjectInfoTable[NumberOfReplications]))</f>
        <v>30</v>
      </c>
      <c r="O330" cm="1">
        <f t="array" ref="O330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330" cm="1">
        <f t="array" ref="P330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330" cm="1">
        <f t="array" ref="Q330">MAX(IF((ProjectInfoTable[ProjectName]=ContinuousStatsTable[[#This Row],[ProjectName]]),(ProjectInfoTable[ProjectName]=ContinuousStatsTable[[#This Row],[ProjectName]])*ProjectInfoTable[ConfidenceInterval]))</f>
        <v>0.95</v>
      </c>
      <c r="R3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330" cm="1">
        <f t="array" ref="S330">MIN(IF((ContinuousStatsTable[GroupByKey]=ContinuousStatsTable[[#This Row],[GroupByKey]]),(ContinuousStatsTable[GroupByKey]=ContinuousStatsTable[[#This Row],[GroupByKey]])*ContinuousStatsTable[Average]))</f>
        <v>8.9912280701754305E-2</v>
      </c>
      <c r="T330" cm="1">
        <f t="array" ref="T330">MAX(IF((ContinuousStatsTable[GroupByKey]=ContinuousStatsTable[[#This Row],[GroupByKey]]),(ContinuousStatsTable[GroupByKey]=ContinuousStatsTable[[#This Row],[GroupByKey]])*ContinuousStatsTable[Average]))</f>
        <v>0.110964912280702</v>
      </c>
      <c r="U330">
        <f>IF((ContinuousStatsTable[[#This Row],[RepsRequested]]&gt;1),ContinuousStatsTable[[#This Row],[HalfWidth]],ContinuousStatsTable[[#This Row],[BatchMeansHalfWidth]])</f>
        <v>2.0288972945916956E-3</v>
      </c>
    </row>
    <row r="331" spans="1:21" x14ac:dyDescent="0.2">
      <c r="A331" t="s">
        <v>67</v>
      </c>
      <c r="B331" t="s">
        <v>70</v>
      </c>
      <c r="C331">
        <v>14</v>
      </c>
      <c r="D331" t="s">
        <v>102</v>
      </c>
      <c r="E331" t="s">
        <v>97</v>
      </c>
      <c r="F331" t="s">
        <v>95</v>
      </c>
      <c r="G331">
        <v>20</v>
      </c>
      <c r="H331">
        <v>2E+20</v>
      </c>
      <c r="I331">
        <v>20</v>
      </c>
      <c r="J331">
        <v>20</v>
      </c>
      <c r="K331">
        <v>20</v>
      </c>
      <c r="L331">
        <v>0</v>
      </c>
      <c r="M331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331" cm="1">
        <f t="array" ref="N331">MAX(IF((ProjectInfoTable[ProjectName]=ContinuousStatsTable[[#This Row],[ProjectName]]),(ProjectInfoTable[ProjectName]=ContinuousStatsTable[[#This Row],[ProjectName]])*ProjectInfoTable[NumberOfReplications]))</f>
        <v>30</v>
      </c>
      <c r="O331" cm="1">
        <f t="array" ref="O331">IFERROR(AVERAGE(IF((ContinuousStatsTable[GroupByKey]=ContinuousStatsTable[[#This Row],[GroupByKey]]),(ContinuousStatsTable[GroupByKey]=ContinuousStatsTable[[#This Row],[GroupByKey]])*ContinuousStatsTable[Average])),0)</f>
        <v>20</v>
      </c>
      <c r="P331" cm="1">
        <f t="array" ref="P331">IFERROR(_xlfn.STDEV.S(IF((ContinuousStatsTable[GroupByKey]=ContinuousStatsTable[[#This Row],[GroupByKey]]),(ContinuousStatsTable[GroupByKey]=ContinuousStatsTable[[#This Row],[GroupByKey]])*ContinuousStatsTable[Average])),0)</f>
        <v>0</v>
      </c>
      <c r="Q331" cm="1">
        <f t="array" ref="Q331">MAX(IF((ProjectInfoTable[ProjectName]=ContinuousStatsTable[[#This Row],[ProjectName]]),(ProjectInfoTable[ProjectName]=ContinuousStatsTable[[#This Row],[ProjectName]])*ProjectInfoTable[ConfidenceInterval]))</f>
        <v>0.95</v>
      </c>
      <c r="R3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1" cm="1">
        <f t="array" ref="S331">MIN(IF((ContinuousStatsTable[GroupByKey]=ContinuousStatsTable[[#This Row],[GroupByKey]]),(ContinuousStatsTable[GroupByKey]=ContinuousStatsTable[[#This Row],[GroupByKey]])*ContinuousStatsTable[Average]))</f>
        <v>20</v>
      </c>
      <c r="T331" cm="1">
        <f t="array" ref="T331">MAX(IF((ContinuousStatsTable[GroupByKey]=ContinuousStatsTable[[#This Row],[GroupByKey]]),(ContinuousStatsTable[GroupByKey]=ContinuousStatsTable[[#This Row],[GroupByKey]])*ContinuousStatsTable[Average]))</f>
        <v>20</v>
      </c>
      <c r="U331">
        <f>IF((ContinuousStatsTable[[#This Row],[RepsRequested]]&gt;1),ContinuousStatsTable[[#This Row],[HalfWidth]],ContinuousStatsTable[[#This Row],[BatchMeansHalfWidth]])</f>
        <v>0</v>
      </c>
    </row>
    <row r="332" spans="1:21" x14ac:dyDescent="0.2">
      <c r="A332" t="s">
        <v>67</v>
      </c>
      <c r="B332" t="s">
        <v>70</v>
      </c>
      <c r="C332">
        <v>14</v>
      </c>
      <c r="D332" t="s">
        <v>90</v>
      </c>
      <c r="E332" t="s">
        <v>98</v>
      </c>
      <c r="F332" t="s">
        <v>73</v>
      </c>
      <c r="G332">
        <v>0</v>
      </c>
      <c r="H332">
        <v>2E+20</v>
      </c>
      <c r="I332">
        <v>0</v>
      </c>
      <c r="J332">
        <v>0</v>
      </c>
      <c r="K332">
        <v>0</v>
      </c>
      <c r="L332">
        <v>0</v>
      </c>
      <c r="M332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332" cm="1">
        <f t="array" ref="N332">MAX(IF((ProjectInfoTable[ProjectName]=ContinuousStatsTable[[#This Row],[ProjectName]]),(ProjectInfoTable[ProjectName]=ContinuousStatsTable[[#This Row],[ProjectName]])*ProjectInfoTable[NumberOfReplications]))</f>
        <v>30</v>
      </c>
      <c r="O332" cm="1">
        <f t="array" ref="O332">IFERROR(AVERAGE(IF((ContinuousStatsTable[GroupByKey]=ContinuousStatsTable[[#This Row],[GroupByKey]]),(ContinuousStatsTable[GroupByKey]=ContinuousStatsTable[[#This Row],[GroupByKey]])*ContinuousStatsTable[Average])),0)</f>
        <v>0</v>
      </c>
      <c r="P332" cm="1">
        <f t="array" ref="P332">IFERROR(_xlfn.STDEV.S(IF((ContinuousStatsTable[GroupByKey]=ContinuousStatsTable[[#This Row],[GroupByKey]]),(ContinuousStatsTable[GroupByKey]=ContinuousStatsTable[[#This Row],[GroupByKey]])*ContinuousStatsTable[Average])),0)</f>
        <v>0</v>
      </c>
      <c r="Q332" cm="1">
        <f t="array" ref="Q332">MAX(IF((ProjectInfoTable[ProjectName]=ContinuousStatsTable[[#This Row],[ProjectName]]),(ProjectInfoTable[ProjectName]=ContinuousStatsTable[[#This Row],[ProjectName]])*ProjectInfoTable[ConfidenceInterval]))</f>
        <v>0.95</v>
      </c>
      <c r="R3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2" cm="1">
        <f t="array" ref="S332">MIN(IF((ContinuousStatsTable[GroupByKey]=ContinuousStatsTable[[#This Row],[GroupByKey]]),(ContinuousStatsTable[GroupByKey]=ContinuousStatsTable[[#This Row],[GroupByKey]])*ContinuousStatsTable[Average]))</f>
        <v>0</v>
      </c>
      <c r="T332" cm="1">
        <f t="array" ref="T332">MAX(IF((ContinuousStatsTable[GroupByKey]=ContinuousStatsTable[[#This Row],[GroupByKey]]),(ContinuousStatsTable[GroupByKey]=ContinuousStatsTable[[#This Row],[GroupByKey]])*ContinuousStatsTable[Average]))</f>
        <v>0</v>
      </c>
      <c r="U332">
        <f>IF((ContinuousStatsTable[[#This Row],[RepsRequested]]&gt;1),ContinuousStatsTable[[#This Row],[HalfWidth]],ContinuousStatsTable[[#This Row],[BatchMeansHalfWidth]])</f>
        <v>0</v>
      </c>
    </row>
    <row r="333" spans="1:21" x14ac:dyDescent="0.2">
      <c r="A333" t="s">
        <v>67</v>
      </c>
      <c r="B333" t="s">
        <v>70</v>
      </c>
      <c r="C333">
        <v>14</v>
      </c>
      <c r="D333" t="s">
        <v>91</v>
      </c>
      <c r="E333" t="s">
        <v>98</v>
      </c>
      <c r="F333" t="s">
        <v>73</v>
      </c>
      <c r="G333">
        <v>0</v>
      </c>
      <c r="H333">
        <v>2E+20</v>
      </c>
      <c r="I333">
        <v>0</v>
      </c>
      <c r="J333">
        <v>0</v>
      </c>
      <c r="K333">
        <v>0</v>
      </c>
      <c r="L333">
        <v>0</v>
      </c>
      <c r="M333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333" cm="1">
        <f t="array" ref="N333">MAX(IF((ProjectInfoTable[ProjectName]=ContinuousStatsTable[[#This Row],[ProjectName]]),(ProjectInfoTable[ProjectName]=ContinuousStatsTable[[#This Row],[ProjectName]])*ProjectInfoTable[NumberOfReplications]))</f>
        <v>30</v>
      </c>
      <c r="O333" cm="1">
        <f t="array" ref="O333">IFERROR(AVERAGE(IF((ContinuousStatsTable[GroupByKey]=ContinuousStatsTable[[#This Row],[GroupByKey]]),(ContinuousStatsTable[GroupByKey]=ContinuousStatsTable[[#This Row],[GroupByKey]])*ContinuousStatsTable[Average])),0)</f>
        <v>0</v>
      </c>
      <c r="P333" cm="1">
        <f t="array" ref="P333">IFERROR(_xlfn.STDEV.S(IF((ContinuousStatsTable[GroupByKey]=ContinuousStatsTable[[#This Row],[GroupByKey]]),(ContinuousStatsTable[GroupByKey]=ContinuousStatsTable[[#This Row],[GroupByKey]])*ContinuousStatsTable[Average])),0)</f>
        <v>0</v>
      </c>
      <c r="Q333" cm="1">
        <f t="array" ref="Q333">MAX(IF((ProjectInfoTable[ProjectName]=ContinuousStatsTable[[#This Row],[ProjectName]]),(ProjectInfoTable[ProjectName]=ContinuousStatsTable[[#This Row],[ProjectName]])*ProjectInfoTable[ConfidenceInterval]))</f>
        <v>0.95</v>
      </c>
      <c r="R3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3" cm="1">
        <f t="array" ref="S333">MIN(IF((ContinuousStatsTable[GroupByKey]=ContinuousStatsTable[[#This Row],[GroupByKey]]),(ContinuousStatsTable[GroupByKey]=ContinuousStatsTable[[#This Row],[GroupByKey]])*ContinuousStatsTable[Average]))</f>
        <v>0</v>
      </c>
      <c r="T333" cm="1">
        <f t="array" ref="T333">MAX(IF((ContinuousStatsTable[GroupByKey]=ContinuousStatsTable[[#This Row],[GroupByKey]]),(ContinuousStatsTable[GroupByKey]=ContinuousStatsTable[[#This Row],[GroupByKey]])*ContinuousStatsTable[Average]))</f>
        <v>0</v>
      </c>
      <c r="U333">
        <f>IF((ContinuousStatsTable[[#This Row],[RepsRequested]]&gt;1),ContinuousStatsTable[[#This Row],[HalfWidth]],ContinuousStatsTable[[#This Row],[BatchMeansHalfWidth]])</f>
        <v>0</v>
      </c>
    </row>
    <row r="334" spans="1:21" x14ac:dyDescent="0.2">
      <c r="A334" t="s">
        <v>67</v>
      </c>
      <c r="B334" t="s">
        <v>70</v>
      </c>
      <c r="C334">
        <v>14</v>
      </c>
      <c r="D334" t="s">
        <v>92</v>
      </c>
      <c r="E334" t="s">
        <v>98</v>
      </c>
      <c r="F334" t="s">
        <v>73</v>
      </c>
      <c r="G334">
        <v>0</v>
      </c>
      <c r="H334">
        <v>2E+20</v>
      </c>
      <c r="I334">
        <v>0</v>
      </c>
      <c r="J334">
        <v>0</v>
      </c>
      <c r="K334">
        <v>0</v>
      </c>
      <c r="L334">
        <v>0</v>
      </c>
      <c r="M334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334" cm="1">
        <f t="array" ref="N334">MAX(IF((ProjectInfoTable[ProjectName]=ContinuousStatsTable[[#This Row],[ProjectName]]),(ProjectInfoTable[ProjectName]=ContinuousStatsTable[[#This Row],[ProjectName]])*ProjectInfoTable[NumberOfReplications]))</f>
        <v>30</v>
      </c>
      <c r="O334" cm="1">
        <f t="array" ref="O334">IFERROR(AVERAGE(IF((ContinuousStatsTable[GroupByKey]=ContinuousStatsTable[[#This Row],[GroupByKey]]),(ContinuousStatsTable[GroupByKey]=ContinuousStatsTable[[#This Row],[GroupByKey]])*ContinuousStatsTable[Average])),0)</f>
        <v>0</v>
      </c>
      <c r="P334" cm="1">
        <f t="array" ref="P334">IFERROR(_xlfn.STDEV.S(IF((ContinuousStatsTable[GroupByKey]=ContinuousStatsTable[[#This Row],[GroupByKey]]),(ContinuousStatsTable[GroupByKey]=ContinuousStatsTable[[#This Row],[GroupByKey]])*ContinuousStatsTable[Average])),0)</f>
        <v>0</v>
      </c>
      <c r="Q334" cm="1">
        <f t="array" ref="Q334">MAX(IF((ProjectInfoTable[ProjectName]=ContinuousStatsTable[[#This Row],[ProjectName]]),(ProjectInfoTable[ProjectName]=ContinuousStatsTable[[#This Row],[ProjectName]])*ProjectInfoTable[ConfidenceInterval]))</f>
        <v>0.95</v>
      </c>
      <c r="R3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4" cm="1">
        <f t="array" ref="S334">MIN(IF((ContinuousStatsTable[GroupByKey]=ContinuousStatsTable[[#This Row],[GroupByKey]]),(ContinuousStatsTable[GroupByKey]=ContinuousStatsTable[[#This Row],[GroupByKey]])*ContinuousStatsTable[Average]))</f>
        <v>0</v>
      </c>
      <c r="T334" cm="1">
        <f t="array" ref="T334">MAX(IF((ContinuousStatsTable[GroupByKey]=ContinuousStatsTable[[#This Row],[GroupByKey]]),(ContinuousStatsTable[GroupByKey]=ContinuousStatsTable[[#This Row],[GroupByKey]])*ContinuousStatsTable[Average]))</f>
        <v>0</v>
      </c>
      <c r="U334">
        <f>IF((ContinuousStatsTable[[#This Row],[RepsRequested]]&gt;1),ContinuousStatsTable[[#This Row],[HalfWidth]],ContinuousStatsTable[[#This Row],[BatchMeansHalfWidth]])</f>
        <v>0</v>
      </c>
    </row>
    <row r="335" spans="1:21" x14ac:dyDescent="0.2">
      <c r="A335" t="s">
        <v>67</v>
      </c>
      <c r="B335" t="s">
        <v>70</v>
      </c>
      <c r="C335">
        <v>14</v>
      </c>
      <c r="D335" t="s">
        <v>103</v>
      </c>
      <c r="E335" t="s">
        <v>94</v>
      </c>
      <c r="F335" t="s">
        <v>95</v>
      </c>
      <c r="G335">
        <v>8.16627497191552E-2</v>
      </c>
      <c r="H335">
        <v>2E+20</v>
      </c>
      <c r="I335">
        <v>0</v>
      </c>
      <c r="J335">
        <v>0.66666666666666696</v>
      </c>
      <c r="K335">
        <v>0</v>
      </c>
      <c r="L335">
        <v>0</v>
      </c>
      <c r="M335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335" cm="1">
        <f t="array" ref="N335">MAX(IF((ProjectInfoTable[ProjectName]=ContinuousStatsTable[[#This Row],[ProjectName]]),(ProjectInfoTable[ProjectName]=ContinuousStatsTable[[#This Row],[ProjectName]])*ProjectInfoTable[NumberOfReplications]))</f>
        <v>30</v>
      </c>
      <c r="O335" cm="1">
        <f t="array" ref="O335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335" cm="1">
        <f t="array" ref="P335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335" cm="1">
        <f t="array" ref="Q335">MAX(IF((ProjectInfoTable[ProjectName]=ContinuousStatsTable[[#This Row],[ProjectName]]),(ProjectInfoTable[ProjectName]=ContinuousStatsTable[[#This Row],[ProjectName]])*ProjectInfoTable[ConfidenceInterval]))</f>
        <v>0.95</v>
      </c>
      <c r="R3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335" cm="1">
        <f t="array" ref="S335">MIN(IF((ContinuousStatsTable[GroupByKey]=ContinuousStatsTable[[#This Row],[GroupByKey]]),(ContinuousStatsTable[GroupByKey]=ContinuousStatsTable[[#This Row],[GroupByKey]])*ContinuousStatsTable[Average]))</f>
        <v>7.7176470357846902E-2</v>
      </c>
      <c r="T335" cm="1">
        <f t="array" ref="T335">MAX(IF((ContinuousStatsTable[GroupByKey]=ContinuousStatsTable[[#This Row],[GroupByKey]]),(ContinuousStatsTable[GroupByKey]=ContinuousStatsTable[[#This Row],[GroupByKey]])*ContinuousStatsTable[Average]))</f>
        <v>9.2534326714405896E-2</v>
      </c>
      <c r="U335">
        <f>IF((ContinuousStatsTable[[#This Row],[RepsRequested]]&gt;1),ContinuousStatsTable[[#This Row],[HalfWidth]],ContinuousStatsTable[[#This Row],[BatchMeansHalfWidth]])</f>
        <v>1.3238327186697659E-3</v>
      </c>
    </row>
    <row r="336" spans="1:21" x14ac:dyDescent="0.2">
      <c r="A336" t="s">
        <v>67</v>
      </c>
      <c r="B336" t="s">
        <v>70</v>
      </c>
      <c r="C336">
        <v>14</v>
      </c>
      <c r="D336" t="s">
        <v>103</v>
      </c>
      <c r="E336" t="s">
        <v>96</v>
      </c>
      <c r="F336" t="s">
        <v>95</v>
      </c>
      <c r="G336">
        <v>0.244988249157466</v>
      </c>
      <c r="H336">
        <v>2E+20</v>
      </c>
      <c r="I336">
        <v>0</v>
      </c>
      <c r="J336">
        <v>2</v>
      </c>
      <c r="K336">
        <v>0</v>
      </c>
      <c r="L336">
        <v>0</v>
      </c>
      <c r="M336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336" cm="1">
        <f t="array" ref="N336">MAX(IF((ProjectInfoTable[ProjectName]=ContinuousStatsTable[[#This Row],[ProjectName]]),(ProjectInfoTable[ProjectName]=ContinuousStatsTable[[#This Row],[ProjectName]])*ProjectInfoTable[NumberOfReplications]))</f>
        <v>30</v>
      </c>
      <c r="O336" cm="1">
        <f t="array" ref="O336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336" cm="1">
        <f t="array" ref="P336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336" cm="1">
        <f t="array" ref="Q336">MAX(IF((ProjectInfoTable[ProjectName]=ContinuousStatsTable[[#This Row],[ProjectName]]),(ProjectInfoTable[ProjectName]=ContinuousStatsTable[[#This Row],[ProjectName]])*ProjectInfoTable[ConfidenceInterval]))</f>
        <v>0.95</v>
      </c>
      <c r="R3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336" cm="1">
        <f t="array" ref="S336">MIN(IF((ContinuousStatsTable[GroupByKey]=ContinuousStatsTable[[#This Row],[GroupByKey]]),(ContinuousStatsTable[GroupByKey]=ContinuousStatsTable[[#This Row],[GroupByKey]])*ContinuousStatsTable[Average]))</f>
        <v>0.231529411073541</v>
      </c>
      <c r="T336" cm="1">
        <f t="array" ref="T336">MAX(IF((ContinuousStatsTable[GroupByKey]=ContinuousStatsTable[[#This Row],[GroupByKey]]),(ContinuousStatsTable[GroupByKey]=ContinuousStatsTable[[#This Row],[GroupByKey]])*ContinuousStatsTable[Average]))</f>
        <v>0.27760298014321699</v>
      </c>
      <c r="U336">
        <f>IF((ContinuousStatsTable[[#This Row],[RepsRequested]]&gt;1),ContinuousStatsTable[[#This Row],[HalfWidth]],ContinuousStatsTable[[#This Row],[BatchMeansHalfWidth]])</f>
        <v>3.9714981560092996E-3</v>
      </c>
    </row>
    <row r="337" spans="1:21" x14ac:dyDescent="0.2">
      <c r="A337" t="s">
        <v>67</v>
      </c>
      <c r="B337" t="s">
        <v>70</v>
      </c>
      <c r="C337">
        <v>14</v>
      </c>
      <c r="D337" t="s">
        <v>103</v>
      </c>
      <c r="E337" t="s">
        <v>97</v>
      </c>
      <c r="F337" t="s">
        <v>95</v>
      </c>
      <c r="G337">
        <v>3</v>
      </c>
      <c r="H337">
        <v>2E+20</v>
      </c>
      <c r="I337">
        <v>3</v>
      </c>
      <c r="J337">
        <v>3</v>
      </c>
      <c r="K337">
        <v>3</v>
      </c>
      <c r="L337">
        <v>0</v>
      </c>
      <c r="M337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337" cm="1">
        <f t="array" ref="N337">MAX(IF((ProjectInfoTable[ProjectName]=ContinuousStatsTable[[#This Row],[ProjectName]]),(ProjectInfoTable[ProjectName]=ContinuousStatsTable[[#This Row],[ProjectName]])*ProjectInfoTable[NumberOfReplications]))</f>
        <v>30</v>
      </c>
      <c r="O337" cm="1">
        <f t="array" ref="O337">IFERROR(AVERAGE(IF((ContinuousStatsTable[GroupByKey]=ContinuousStatsTable[[#This Row],[GroupByKey]]),(ContinuousStatsTable[GroupByKey]=ContinuousStatsTable[[#This Row],[GroupByKey]])*ContinuousStatsTable[Average])),0)</f>
        <v>3</v>
      </c>
      <c r="P337" cm="1">
        <f t="array" ref="P337">IFERROR(_xlfn.STDEV.S(IF((ContinuousStatsTable[GroupByKey]=ContinuousStatsTable[[#This Row],[GroupByKey]]),(ContinuousStatsTable[GroupByKey]=ContinuousStatsTable[[#This Row],[GroupByKey]])*ContinuousStatsTable[Average])),0)</f>
        <v>0</v>
      </c>
      <c r="Q337" cm="1">
        <f t="array" ref="Q337">MAX(IF((ProjectInfoTable[ProjectName]=ContinuousStatsTable[[#This Row],[ProjectName]]),(ProjectInfoTable[ProjectName]=ContinuousStatsTable[[#This Row],[ProjectName]])*ProjectInfoTable[ConfidenceInterval]))</f>
        <v>0.95</v>
      </c>
      <c r="R3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37" cm="1">
        <f t="array" ref="S337">MIN(IF((ContinuousStatsTable[GroupByKey]=ContinuousStatsTable[[#This Row],[GroupByKey]]),(ContinuousStatsTable[GroupByKey]=ContinuousStatsTable[[#This Row],[GroupByKey]])*ContinuousStatsTable[Average]))</f>
        <v>3</v>
      </c>
      <c r="T337" cm="1">
        <f t="array" ref="T337">MAX(IF((ContinuousStatsTable[GroupByKey]=ContinuousStatsTable[[#This Row],[GroupByKey]]),(ContinuousStatsTable[GroupByKey]=ContinuousStatsTable[[#This Row],[GroupByKey]])*ContinuousStatsTable[Average]))</f>
        <v>3</v>
      </c>
      <c r="U337">
        <f>IF((ContinuousStatsTable[[#This Row],[RepsRequested]]&gt;1),ContinuousStatsTable[[#This Row],[HalfWidth]],ContinuousStatsTable[[#This Row],[BatchMeansHalfWidth]])</f>
        <v>0</v>
      </c>
    </row>
    <row r="338" spans="1:21" x14ac:dyDescent="0.2">
      <c r="A338" t="s">
        <v>67</v>
      </c>
      <c r="B338" t="s">
        <v>70</v>
      </c>
      <c r="C338">
        <v>15</v>
      </c>
      <c r="D338" t="s">
        <v>93</v>
      </c>
      <c r="E338" t="s">
        <v>94</v>
      </c>
      <c r="F338" t="s">
        <v>95</v>
      </c>
      <c r="G338">
        <v>0.24298245614035099</v>
      </c>
      <c r="H338">
        <v>1.95150417872074E-2</v>
      </c>
      <c r="I338">
        <v>0</v>
      </c>
      <c r="J338">
        <v>1</v>
      </c>
      <c r="K338">
        <v>0</v>
      </c>
      <c r="L338">
        <v>0</v>
      </c>
      <c r="M338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338" cm="1">
        <f t="array" ref="N338">MAX(IF((ProjectInfoTable[ProjectName]=ContinuousStatsTable[[#This Row],[ProjectName]]),(ProjectInfoTable[ProjectName]=ContinuousStatsTable[[#This Row],[ProjectName]])*ProjectInfoTable[NumberOfReplications]))</f>
        <v>30</v>
      </c>
      <c r="O338" cm="1">
        <f t="array" ref="O338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338" cm="1">
        <f t="array" ref="P338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338" cm="1">
        <f t="array" ref="Q338">MAX(IF((ProjectInfoTable[ProjectName]=ContinuousStatsTable[[#This Row],[ProjectName]]),(ProjectInfoTable[ProjectName]=ContinuousStatsTable[[#This Row],[ProjectName]])*ProjectInfoTable[ConfidenceInterval]))</f>
        <v>0.95</v>
      </c>
      <c r="R3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338" cm="1">
        <f t="array" ref="S338">MIN(IF((ContinuousStatsTable[GroupByKey]=ContinuousStatsTable[[#This Row],[GroupByKey]]),(ContinuousStatsTable[GroupByKey]=ContinuousStatsTable[[#This Row],[GroupByKey]])*ContinuousStatsTable[Average]))</f>
        <v>0.233333333333333</v>
      </c>
      <c r="T338" cm="1">
        <f t="array" ref="T338">MAX(IF((ContinuousStatsTable[GroupByKey]=ContinuousStatsTable[[#This Row],[GroupByKey]]),(ContinuousStatsTable[GroupByKey]=ContinuousStatsTable[[#This Row],[GroupByKey]])*ContinuousStatsTable[Average]))</f>
        <v>0.27905535859326402</v>
      </c>
      <c r="U338">
        <f>IF((ContinuousStatsTable[[#This Row],[RepsRequested]]&gt;1),ContinuousStatsTable[[#This Row],[HalfWidth]],ContinuousStatsTable[[#This Row],[BatchMeansHalfWidth]])</f>
        <v>4.2029769261323026E-3</v>
      </c>
    </row>
    <row r="339" spans="1:21" x14ac:dyDescent="0.2">
      <c r="A339" t="s">
        <v>67</v>
      </c>
      <c r="B339" t="s">
        <v>70</v>
      </c>
      <c r="C339">
        <v>15</v>
      </c>
      <c r="D339" t="s">
        <v>93</v>
      </c>
      <c r="E339" t="s">
        <v>96</v>
      </c>
      <c r="F339" t="s">
        <v>95</v>
      </c>
      <c r="G339">
        <v>0.24298245614035099</v>
      </c>
      <c r="H339">
        <v>1.95150417872074E-2</v>
      </c>
      <c r="I339">
        <v>0</v>
      </c>
      <c r="J339">
        <v>1</v>
      </c>
      <c r="K339">
        <v>0</v>
      </c>
      <c r="L339">
        <v>0</v>
      </c>
      <c r="M339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339" cm="1">
        <f t="array" ref="N339">MAX(IF((ProjectInfoTable[ProjectName]=ContinuousStatsTable[[#This Row],[ProjectName]]),(ProjectInfoTable[ProjectName]=ContinuousStatsTable[[#This Row],[ProjectName]])*ProjectInfoTable[NumberOfReplications]))</f>
        <v>30</v>
      </c>
      <c r="O339" cm="1">
        <f t="array" ref="O339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339" cm="1">
        <f t="array" ref="P339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339" cm="1">
        <f t="array" ref="Q339">MAX(IF((ProjectInfoTable[ProjectName]=ContinuousStatsTable[[#This Row],[ProjectName]]),(ProjectInfoTable[ProjectName]=ContinuousStatsTable[[#This Row],[ProjectName]])*ProjectInfoTable[ConfidenceInterval]))</f>
        <v>0.95</v>
      </c>
      <c r="R3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339" cm="1">
        <f t="array" ref="S339">MIN(IF((ContinuousStatsTable[GroupByKey]=ContinuousStatsTable[[#This Row],[GroupByKey]]),(ContinuousStatsTable[GroupByKey]=ContinuousStatsTable[[#This Row],[GroupByKey]])*ContinuousStatsTable[Average]))</f>
        <v>0.233333333333333</v>
      </c>
      <c r="T339" cm="1">
        <f t="array" ref="T339">MAX(IF((ContinuousStatsTable[GroupByKey]=ContinuousStatsTable[[#This Row],[GroupByKey]]),(ContinuousStatsTable[GroupByKey]=ContinuousStatsTable[[#This Row],[GroupByKey]])*ContinuousStatsTable[Average]))</f>
        <v>0.27905535859326402</v>
      </c>
      <c r="U339">
        <f>IF((ContinuousStatsTable[[#This Row],[RepsRequested]]&gt;1),ContinuousStatsTable[[#This Row],[HalfWidth]],ContinuousStatsTable[[#This Row],[BatchMeansHalfWidth]])</f>
        <v>4.2029769261323026E-3</v>
      </c>
    </row>
    <row r="340" spans="1:21" x14ac:dyDescent="0.2">
      <c r="A340" t="s">
        <v>67</v>
      </c>
      <c r="B340" t="s">
        <v>70</v>
      </c>
      <c r="C340">
        <v>15</v>
      </c>
      <c r="D340" t="s">
        <v>93</v>
      </c>
      <c r="E340" t="s">
        <v>97</v>
      </c>
      <c r="F340" t="s">
        <v>95</v>
      </c>
      <c r="G340">
        <v>1</v>
      </c>
      <c r="H340">
        <v>2E+20</v>
      </c>
      <c r="I340">
        <v>1</v>
      </c>
      <c r="J340">
        <v>1</v>
      </c>
      <c r="K340">
        <v>1</v>
      </c>
      <c r="L340">
        <v>0</v>
      </c>
      <c r="M340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340" cm="1">
        <f t="array" ref="N340">MAX(IF((ProjectInfoTable[ProjectName]=ContinuousStatsTable[[#This Row],[ProjectName]]),(ProjectInfoTable[ProjectName]=ContinuousStatsTable[[#This Row],[ProjectName]])*ProjectInfoTable[NumberOfReplications]))</f>
        <v>30</v>
      </c>
      <c r="O340" cm="1">
        <f t="array" ref="O340">IFERROR(AVERAGE(IF((ContinuousStatsTable[GroupByKey]=ContinuousStatsTable[[#This Row],[GroupByKey]]),(ContinuousStatsTable[GroupByKey]=ContinuousStatsTable[[#This Row],[GroupByKey]])*ContinuousStatsTable[Average])),0)</f>
        <v>1</v>
      </c>
      <c r="P340" cm="1">
        <f t="array" ref="P340">IFERROR(_xlfn.STDEV.S(IF((ContinuousStatsTable[GroupByKey]=ContinuousStatsTable[[#This Row],[GroupByKey]]),(ContinuousStatsTable[GroupByKey]=ContinuousStatsTable[[#This Row],[GroupByKey]])*ContinuousStatsTable[Average])),0)</f>
        <v>0</v>
      </c>
      <c r="Q340" cm="1">
        <f t="array" ref="Q340">MAX(IF((ProjectInfoTable[ProjectName]=ContinuousStatsTable[[#This Row],[ProjectName]]),(ProjectInfoTable[ProjectName]=ContinuousStatsTable[[#This Row],[ProjectName]])*ProjectInfoTable[ConfidenceInterval]))</f>
        <v>0.95</v>
      </c>
      <c r="R3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0" cm="1">
        <f t="array" ref="S340">MIN(IF((ContinuousStatsTable[GroupByKey]=ContinuousStatsTable[[#This Row],[GroupByKey]]),(ContinuousStatsTable[GroupByKey]=ContinuousStatsTable[[#This Row],[GroupByKey]])*ContinuousStatsTable[Average]))</f>
        <v>1</v>
      </c>
      <c r="T340" cm="1">
        <f t="array" ref="T340">MAX(IF((ContinuousStatsTable[GroupByKey]=ContinuousStatsTable[[#This Row],[GroupByKey]]),(ContinuousStatsTable[GroupByKey]=ContinuousStatsTable[[#This Row],[GroupByKey]])*ContinuousStatsTable[Average]))</f>
        <v>1</v>
      </c>
      <c r="U340">
        <f>IF((ContinuousStatsTable[[#This Row],[RepsRequested]]&gt;1),ContinuousStatsTable[[#This Row],[HalfWidth]],ContinuousStatsTable[[#This Row],[BatchMeansHalfWidth]])</f>
        <v>0</v>
      </c>
    </row>
    <row r="341" spans="1:21" x14ac:dyDescent="0.2">
      <c r="A341" t="s">
        <v>67</v>
      </c>
      <c r="B341" t="s">
        <v>70</v>
      </c>
      <c r="C341">
        <v>15</v>
      </c>
      <c r="D341" t="s">
        <v>71</v>
      </c>
      <c r="E341" t="s">
        <v>98</v>
      </c>
      <c r="F341" t="s">
        <v>73</v>
      </c>
      <c r="G341">
        <v>2.5332086318189902E-2</v>
      </c>
      <c r="H341">
        <v>2E+20</v>
      </c>
      <c r="I341">
        <v>0</v>
      </c>
      <c r="J341">
        <v>2</v>
      </c>
      <c r="K341">
        <v>0</v>
      </c>
      <c r="L341">
        <v>0</v>
      </c>
      <c r="M341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341" cm="1">
        <f t="array" ref="N341">MAX(IF((ProjectInfoTable[ProjectName]=ContinuousStatsTable[[#This Row],[ProjectName]]),(ProjectInfoTable[ProjectName]=ContinuousStatsTable[[#This Row],[ProjectName]])*ProjectInfoTable[NumberOfReplications]))</f>
        <v>30</v>
      </c>
      <c r="O341" cm="1">
        <f t="array" ref="O341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341" cm="1">
        <f t="array" ref="P341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341" cm="1">
        <f t="array" ref="Q341">MAX(IF((ProjectInfoTable[ProjectName]=ContinuousStatsTable[[#This Row],[ProjectName]]),(ProjectInfoTable[ProjectName]=ContinuousStatsTable[[#This Row],[ProjectName]])*ProjectInfoTable[ConfidenceInterval]))</f>
        <v>0.95</v>
      </c>
      <c r="R3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341" cm="1">
        <f t="array" ref="S341">MIN(IF((ContinuousStatsTable[GroupByKey]=ContinuousStatsTable[[#This Row],[GroupByKey]]),(ContinuousStatsTable[GroupByKey]=ContinuousStatsTable[[#This Row],[GroupByKey]])*ContinuousStatsTable[Average]))</f>
        <v>1.9664517785186901E-2</v>
      </c>
      <c r="T341" cm="1">
        <f t="array" ref="T341">MAX(IF((ContinuousStatsTable[GroupByKey]=ContinuousStatsTable[[#This Row],[GroupByKey]]),(ContinuousStatsTable[GroupByKey]=ContinuousStatsTable[[#This Row],[GroupByKey]])*ContinuousStatsTable[Average]))</f>
        <v>3.9738966906982302E-2</v>
      </c>
      <c r="U341">
        <f>IF((ContinuousStatsTable[[#This Row],[RepsRequested]]&gt;1),ContinuousStatsTable[[#This Row],[HalfWidth]],ContinuousStatsTable[[#This Row],[BatchMeansHalfWidth]])</f>
        <v>1.6627262085570247E-3</v>
      </c>
    </row>
    <row r="342" spans="1:21" x14ac:dyDescent="0.2">
      <c r="A342" t="s">
        <v>67</v>
      </c>
      <c r="B342" t="s">
        <v>70</v>
      </c>
      <c r="C342">
        <v>15</v>
      </c>
      <c r="D342" t="s">
        <v>99</v>
      </c>
      <c r="E342" t="s">
        <v>94</v>
      </c>
      <c r="F342" t="s">
        <v>95</v>
      </c>
      <c r="G342">
        <v>0.60538881518458598</v>
      </c>
      <c r="H342">
        <v>2E+20</v>
      </c>
      <c r="I342">
        <v>0</v>
      </c>
      <c r="J342">
        <v>1</v>
      </c>
      <c r="K342">
        <v>1</v>
      </c>
      <c r="L342">
        <v>0</v>
      </c>
      <c r="M342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342" cm="1">
        <f t="array" ref="N342">MAX(IF((ProjectInfoTable[ProjectName]=ContinuousStatsTable[[#This Row],[ProjectName]]),(ProjectInfoTable[ProjectName]=ContinuousStatsTable[[#This Row],[ProjectName]])*ProjectInfoTable[NumberOfReplications]))</f>
        <v>30</v>
      </c>
      <c r="O342" cm="1">
        <f t="array" ref="O342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342" cm="1">
        <f t="array" ref="P342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342" cm="1">
        <f t="array" ref="Q342">MAX(IF((ProjectInfoTable[ProjectName]=ContinuousStatsTable[[#This Row],[ProjectName]]),(ProjectInfoTable[ProjectName]=ContinuousStatsTable[[#This Row],[ProjectName]])*ProjectInfoTable[ConfidenceInterval]))</f>
        <v>0.95</v>
      </c>
      <c r="R3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342" cm="1">
        <f t="array" ref="S342">MIN(IF((ContinuousStatsTable[GroupByKey]=ContinuousStatsTable[[#This Row],[GroupByKey]]),(ContinuousStatsTable[GroupByKey]=ContinuousStatsTable[[#This Row],[GroupByKey]])*ContinuousStatsTable[Average]))</f>
        <v>0.58256422876290004</v>
      </c>
      <c r="T342" cm="1">
        <f t="array" ref="T342">MAX(IF((ContinuousStatsTable[GroupByKey]=ContinuousStatsTable[[#This Row],[GroupByKey]]),(ContinuousStatsTable[GroupByKey]=ContinuousStatsTable[[#This Row],[GroupByKey]])*ContinuousStatsTable[Average]))</f>
        <v>0.68643238055161704</v>
      </c>
      <c r="U342">
        <f>IF((ContinuousStatsTable[[#This Row],[RepsRequested]]&gt;1),ContinuousStatsTable[[#This Row],[HalfWidth]],ContinuousStatsTable[[#This Row],[BatchMeansHalfWidth]])</f>
        <v>9.8490003000806757E-3</v>
      </c>
    </row>
    <row r="343" spans="1:21" x14ac:dyDescent="0.2">
      <c r="A343" t="s">
        <v>67</v>
      </c>
      <c r="B343" t="s">
        <v>70</v>
      </c>
      <c r="C343">
        <v>15</v>
      </c>
      <c r="D343" t="s">
        <v>99</v>
      </c>
      <c r="E343" t="s">
        <v>96</v>
      </c>
      <c r="F343" t="s">
        <v>95</v>
      </c>
      <c r="G343">
        <v>1.21077763036917</v>
      </c>
      <c r="H343">
        <v>2E+20</v>
      </c>
      <c r="I343">
        <v>0</v>
      </c>
      <c r="J343">
        <v>2</v>
      </c>
      <c r="K343">
        <v>2</v>
      </c>
      <c r="L343">
        <v>0</v>
      </c>
      <c r="M343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343" cm="1">
        <f t="array" ref="N343">MAX(IF((ProjectInfoTable[ProjectName]=ContinuousStatsTable[[#This Row],[ProjectName]]),(ProjectInfoTable[ProjectName]=ContinuousStatsTable[[#This Row],[ProjectName]])*ProjectInfoTable[NumberOfReplications]))</f>
        <v>30</v>
      </c>
      <c r="O343" cm="1">
        <f t="array" ref="O343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343" cm="1">
        <f t="array" ref="P343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343" cm="1">
        <f t="array" ref="Q343">MAX(IF((ProjectInfoTable[ProjectName]=ContinuousStatsTable[[#This Row],[ProjectName]]),(ProjectInfoTable[ProjectName]=ContinuousStatsTable[[#This Row],[ProjectName]])*ProjectInfoTable[ConfidenceInterval]))</f>
        <v>0.95</v>
      </c>
      <c r="R3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343" cm="1">
        <f t="array" ref="S343">MIN(IF((ContinuousStatsTable[GroupByKey]=ContinuousStatsTable[[#This Row],[GroupByKey]]),(ContinuousStatsTable[GroupByKey]=ContinuousStatsTable[[#This Row],[GroupByKey]])*ContinuousStatsTable[Average]))</f>
        <v>1.1651284575258001</v>
      </c>
      <c r="T343" cm="1">
        <f t="array" ref="T343">MAX(IF((ContinuousStatsTable[GroupByKey]=ContinuousStatsTable[[#This Row],[GroupByKey]]),(ContinuousStatsTable[GroupByKey]=ContinuousStatsTable[[#This Row],[GroupByKey]])*ContinuousStatsTable[Average]))</f>
        <v>1.3728647611032301</v>
      </c>
      <c r="U343">
        <f>IF((ContinuousStatsTable[[#This Row],[RepsRequested]]&gt;1),ContinuousStatsTable[[#This Row],[HalfWidth]],ContinuousStatsTable[[#This Row],[BatchMeansHalfWidth]])</f>
        <v>1.9698000600160998E-2</v>
      </c>
    </row>
    <row r="344" spans="1:21" x14ac:dyDescent="0.2">
      <c r="A344" t="s">
        <v>67</v>
      </c>
      <c r="B344" t="s">
        <v>70</v>
      </c>
      <c r="C344">
        <v>15</v>
      </c>
      <c r="D344" t="s">
        <v>99</v>
      </c>
      <c r="E344" t="s">
        <v>97</v>
      </c>
      <c r="F344" t="s">
        <v>95</v>
      </c>
      <c r="G344">
        <v>2</v>
      </c>
      <c r="H344">
        <v>2E+20</v>
      </c>
      <c r="I344">
        <v>2</v>
      </c>
      <c r="J344">
        <v>2</v>
      </c>
      <c r="K344">
        <v>2</v>
      </c>
      <c r="L344">
        <v>0</v>
      </c>
      <c r="M344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344" cm="1">
        <f t="array" ref="N344">MAX(IF((ProjectInfoTable[ProjectName]=ContinuousStatsTable[[#This Row],[ProjectName]]),(ProjectInfoTable[ProjectName]=ContinuousStatsTable[[#This Row],[ProjectName]])*ProjectInfoTable[NumberOfReplications]))</f>
        <v>30</v>
      </c>
      <c r="O344" cm="1">
        <f t="array" ref="O344">IFERROR(AVERAGE(IF((ContinuousStatsTable[GroupByKey]=ContinuousStatsTable[[#This Row],[GroupByKey]]),(ContinuousStatsTable[GroupByKey]=ContinuousStatsTable[[#This Row],[GroupByKey]])*ContinuousStatsTable[Average])),0)</f>
        <v>2</v>
      </c>
      <c r="P344" cm="1">
        <f t="array" ref="P344">IFERROR(_xlfn.STDEV.S(IF((ContinuousStatsTable[GroupByKey]=ContinuousStatsTable[[#This Row],[GroupByKey]]),(ContinuousStatsTable[GroupByKey]=ContinuousStatsTable[[#This Row],[GroupByKey]])*ContinuousStatsTable[Average])),0)</f>
        <v>0</v>
      </c>
      <c r="Q344" cm="1">
        <f t="array" ref="Q344">MAX(IF((ProjectInfoTable[ProjectName]=ContinuousStatsTable[[#This Row],[ProjectName]]),(ProjectInfoTable[ProjectName]=ContinuousStatsTable[[#This Row],[ProjectName]])*ProjectInfoTable[ConfidenceInterval]))</f>
        <v>0.95</v>
      </c>
      <c r="R3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4" cm="1">
        <f t="array" ref="S344">MIN(IF((ContinuousStatsTable[GroupByKey]=ContinuousStatsTable[[#This Row],[GroupByKey]]),(ContinuousStatsTable[GroupByKey]=ContinuousStatsTable[[#This Row],[GroupByKey]])*ContinuousStatsTable[Average]))</f>
        <v>2</v>
      </c>
      <c r="T344" cm="1">
        <f t="array" ref="T344">MAX(IF((ContinuousStatsTable[GroupByKey]=ContinuousStatsTable[[#This Row],[GroupByKey]]),(ContinuousStatsTable[GroupByKey]=ContinuousStatsTable[[#This Row],[GroupByKey]])*ContinuousStatsTable[Average]))</f>
        <v>2</v>
      </c>
      <c r="U344">
        <f>IF((ContinuousStatsTable[[#This Row],[RepsRequested]]&gt;1),ContinuousStatsTable[[#This Row],[HalfWidth]],ContinuousStatsTable[[#This Row],[BatchMeansHalfWidth]])</f>
        <v>0</v>
      </c>
    </row>
    <row r="345" spans="1:21" x14ac:dyDescent="0.2">
      <c r="A345" t="s">
        <v>67</v>
      </c>
      <c r="B345" t="s">
        <v>70</v>
      </c>
      <c r="C345">
        <v>15</v>
      </c>
      <c r="D345" t="s">
        <v>74</v>
      </c>
      <c r="E345" t="s">
        <v>100</v>
      </c>
      <c r="F345" t="s">
        <v>76</v>
      </c>
      <c r="G345">
        <v>15.065722086148901</v>
      </c>
      <c r="H345">
        <v>1.0198434863760499</v>
      </c>
      <c r="I345">
        <v>3</v>
      </c>
      <c r="J345">
        <v>30</v>
      </c>
      <c r="K345">
        <v>11</v>
      </c>
      <c r="L345">
        <v>0</v>
      </c>
      <c r="M34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45" cm="1">
        <f t="array" ref="N345">MAX(IF((ProjectInfoTable[ProjectName]=ContinuousStatsTable[[#This Row],[ProjectName]]),(ProjectInfoTable[ProjectName]=ContinuousStatsTable[[#This Row],[ProjectName]])*ProjectInfoTable[NumberOfReplications]))</f>
        <v>30</v>
      </c>
      <c r="O345" cm="1">
        <f t="array" ref="O345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345" cm="1">
        <f t="array" ref="P345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345" cm="1">
        <f t="array" ref="Q345">MAX(IF((ProjectInfoTable[ProjectName]=ContinuousStatsTable[[#This Row],[ProjectName]]),(ProjectInfoTable[ProjectName]=ContinuousStatsTable[[#This Row],[ProjectName]])*ProjectInfoTable[ConfidenceInterval]))</f>
        <v>0.95</v>
      </c>
      <c r="R3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345" cm="1">
        <f t="array" ref="S345">MIN(IF((ContinuousStatsTable[GroupByKey]=ContinuousStatsTable[[#This Row],[GroupByKey]]),(ContinuousStatsTable[GroupByKey]=ContinuousStatsTable[[#This Row],[GroupByKey]])*ContinuousStatsTable[Average]))</f>
        <v>14.4112589759764</v>
      </c>
      <c r="T345" cm="1">
        <f t="array" ref="T345">MAX(IF((ContinuousStatsTable[GroupByKey]=ContinuousStatsTable[[#This Row],[GroupByKey]]),(ContinuousStatsTable[GroupByKey]=ContinuousStatsTable[[#This Row],[GroupByKey]])*ContinuousStatsTable[Average]))</f>
        <v>16.972707717517899</v>
      </c>
      <c r="U345">
        <f>IF((ContinuousStatsTable[[#This Row],[RepsRequested]]&gt;1),ContinuousStatsTable[[#This Row],[HalfWidth]],ContinuousStatsTable[[#This Row],[BatchMeansHalfWidth]])</f>
        <v>0.25870181881670146</v>
      </c>
    </row>
    <row r="346" spans="1:21" x14ac:dyDescent="0.2">
      <c r="A346" t="s">
        <v>67</v>
      </c>
      <c r="B346" t="s">
        <v>70</v>
      </c>
      <c r="C346">
        <v>15</v>
      </c>
      <c r="D346" t="s">
        <v>82</v>
      </c>
      <c r="E346" t="s">
        <v>98</v>
      </c>
      <c r="F346" t="s">
        <v>73</v>
      </c>
      <c r="G346">
        <v>0.12964212713397999</v>
      </c>
      <c r="H346">
        <v>2E+20</v>
      </c>
      <c r="I346">
        <v>0</v>
      </c>
      <c r="J346">
        <v>2</v>
      </c>
      <c r="K346">
        <v>0</v>
      </c>
      <c r="L346">
        <v>0</v>
      </c>
      <c r="M346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346" cm="1">
        <f t="array" ref="N346">MAX(IF((ProjectInfoTable[ProjectName]=ContinuousStatsTable[[#This Row],[ProjectName]]),(ProjectInfoTable[ProjectName]=ContinuousStatsTable[[#This Row],[ProjectName]])*ProjectInfoTable[NumberOfReplications]))</f>
        <v>30</v>
      </c>
      <c r="O346" cm="1">
        <f t="array" ref="O346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346" cm="1">
        <f t="array" ref="P346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346" cm="1">
        <f t="array" ref="Q346">MAX(IF((ProjectInfoTable[ProjectName]=ContinuousStatsTable[[#This Row],[ProjectName]]),(ProjectInfoTable[ProjectName]=ContinuousStatsTable[[#This Row],[ProjectName]])*ProjectInfoTable[ConfidenceInterval]))</f>
        <v>0.95</v>
      </c>
      <c r="R3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346" cm="1">
        <f t="array" ref="S346">MIN(IF((ContinuousStatsTable[GroupByKey]=ContinuousStatsTable[[#This Row],[GroupByKey]]),(ContinuousStatsTable[GroupByKey]=ContinuousStatsTable[[#This Row],[GroupByKey]])*ContinuousStatsTable[Average]))</f>
        <v>7.4406608295854798E-2</v>
      </c>
      <c r="T346" cm="1">
        <f t="array" ref="T346">MAX(IF((ContinuousStatsTable[GroupByKey]=ContinuousStatsTable[[#This Row],[GroupByKey]]),(ContinuousStatsTable[GroupByKey]=ContinuousStatsTable[[#This Row],[GroupByKey]])*ContinuousStatsTable[Average]))</f>
        <v>0.29874320707386398</v>
      </c>
      <c r="U346">
        <f>IF((ContinuousStatsTable[[#This Row],[RepsRequested]]&gt;1),ContinuousStatsTable[[#This Row],[HalfWidth]],ContinuousStatsTable[[#This Row],[BatchMeansHalfWidth]])</f>
        <v>2.0058204231149332E-2</v>
      </c>
    </row>
    <row r="347" spans="1:21" x14ac:dyDescent="0.2">
      <c r="A347" t="s">
        <v>67</v>
      </c>
      <c r="B347" t="s">
        <v>70</v>
      </c>
      <c r="C347">
        <v>15</v>
      </c>
      <c r="D347" t="s">
        <v>101</v>
      </c>
      <c r="E347" t="s">
        <v>94</v>
      </c>
      <c r="F347" t="s">
        <v>95</v>
      </c>
      <c r="G347">
        <v>1.8859649122806999E-3</v>
      </c>
      <c r="H347">
        <v>3E+20</v>
      </c>
      <c r="I347">
        <v>0</v>
      </c>
      <c r="J347">
        <v>3.7499999999999999E-2</v>
      </c>
      <c r="K347">
        <v>0</v>
      </c>
      <c r="L347">
        <v>0</v>
      </c>
      <c r="M347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347" cm="1">
        <f t="array" ref="N347">MAX(IF((ProjectInfoTable[ProjectName]=ContinuousStatsTable[[#This Row],[ProjectName]]),(ProjectInfoTable[ProjectName]=ContinuousStatsTable[[#This Row],[ProjectName]])*ProjectInfoTable[NumberOfReplications]))</f>
        <v>30</v>
      </c>
      <c r="O347" cm="1">
        <f t="array" ref="O347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347" cm="1">
        <f t="array" ref="P347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347" cm="1">
        <f t="array" ref="Q347">MAX(IF((ProjectInfoTable[ProjectName]=ContinuousStatsTable[[#This Row],[ProjectName]]),(ProjectInfoTable[ProjectName]=ContinuousStatsTable[[#This Row],[ProjectName]])*ProjectInfoTable[ConfidenceInterval]))</f>
        <v>0.95</v>
      </c>
      <c r="R3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347" cm="1">
        <f t="array" ref="S347">MIN(IF((ContinuousStatsTable[GroupByKey]=ContinuousStatsTable[[#This Row],[GroupByKey]]),(ContinuousStatsTable[GroupByKey]=ContinuousStatsTable[[#This Row],[GroupByKey]])*ContinuousStatsTable[Average]))</f>
        <v>1.70504385964912E-3</v>
      </c>
      <c r="T347" cm="1">
        <f t="array" ref="T347">MAX(IF((ContinuousStatsTable[GroupByKey]=ContinuousStatsTable[[#This Row],[GroupByKey]]),(ContinuousStatsTable[GroupByKey]=ContinuousStatsTable[[#This Row],[GroupByKey]])*ContinuousStatsTable[Average]))</f>
        <v>2.17031677925951E-3</v>
      </c>
      <c r="U347">
        <f>IF((ContinuousStatsTable[[#This Row],[RepsRequested]]&gt;1),ContinuousStatsTable[[#This Row],[HalfWidth]],ContinuousStatsTable[[#This Row],[BatchMeansHalfWidth]])</f>
        <v>4.4865881583116605E-5</v>
      </c>
    </row>
    <row r="348" spans="1:21" x14ac:dyDescent="0.2">
      <c r="A348" t="s">
        <v>67</v>
      </c>
      <c r="B348" t="s">
        <v>70</v>
      </c>
      <c r="C348">
        <v>15</v>
      </c>
      <c r="D348" t="s">
        <v>101</v>
      </c>
      <c r="E348" t="s">
        <v>96</v>
      </c>
      <c r="F348" t="s">
        <v>95</v>
      </c>
      <c r="G348">
        <v>0.150877192982456</v>
      </c>
      <c r="H348">
        <v>3E+20</v>
      </c>
      <c r="I348">
        <v>0</v>
      </c>
      <c r="J348">
        <v>3</v>
      </c>
      <c r="K348">
        <v>0</v>
      </c>
      <c r="L348">
        <v>0</v>
      </c>
      <c r="M348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348" cm="1">
        <f t="array" ref="N348">MAX(IF((ProjectInfoTable[ProjectName]=ContinuousStatsTable[[#This Row],[ProjectName]]),(ProjectInfoTable[ProjectName]=ContinuousStatsTable[[#This Row],[ProjectName]])*ProjectInfoTable[NumberOfReplications]))</f>
        <v>30</v>
      </c>
      <c r="O348" cm="1">
        <f t="array" ref="O348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348" cm="1">
        <f t="array" ref="P348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348" cm="1">
        <f t="array" ref="Q348">MAX(IF((ProjectInfoTable[ProjectName]=ContinuousStatsTable[[#This Row],[ProjectName]]),(ProjectInfoTable[ProjectName]=ContinuousStatsTable[[#This Row],[ProjectName]])*ProjectInfoTable[ConfidenceInterval]))</f>
        <v>0.95</v>
      </c>
      <c r="R3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348" cm="1">
        <f t="array" ref="S348">MIN(IF((ContinuousStatsTable[GroupByKey]=ContinuousStatsTable[[#This Row],[GroupByKey]]),(ContinuousStatsTable[GroupByKey]=ContinuousStatsTable[[#This Row],[GroupByKey]])*ContinuousStatsTable[Average]))</f>
        <v>0.13640350877193</v>
      </c>
      <c r="T348" cm="1">
        <f t="array" ref="T348">MAX(IF((ContinuousStatsTable[GroupByKey]=ContinuousStatsTable[[#This Row],[GroupByKey]]),(ContinuousStatsTable[GroupByKey]=ContinuousStatsTable[[#This Row],[GroupByKey]])*ContinuousStatsTable[Average]))</f>
        <v>0.17362534234076099</v>
      </c>
      <c r="U348">
        <f>IF((ContinuousStatsTable[[#This Row],[RepsRequested]]&gt;1),ContinuousStatsTable[[#This Row],[HalfWidth]],ContinuousStatsTable[[#This Row],[BatchMeansHalfWidth]])</f>
        <v>3.5892705266493139E-3</v>
      </c>
    </row>
    <row r="349" spans="1:21" x14ac:dyDescent="0.2">
      <c r="A349" t="s">
        <v>67</v>
      </c>
      <c r="B349" t="s">
        <v>70</v>
      </c>
      <c r="C349">
        <v>15</v>
      </c>
      <c r="D349" t="s">
        <v>101</v>
      </c>
      <c r="E349" t="s">
        <v>97</v>
      </c>
      <c r="F349" t="s">
        <v>95</v>
      </c>
      <c r="G349">
        <v>80</v>
      </c>
      <c r="H349">
        <v>2E+20</v>
      </c>
      <c r="I349">
        <v>80</v>
      </c>
      <c r="J349">
        <v>80</v>
      </c>
      <c r="K349">
        <v>80</v>
      </c>
      <c r="L349">
        <v>0</v>
      </c>
      <c r="M349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349" cm="1">
        <f t="array" ref="N349">MAX(IF((ProjectInfoTable[ProjectName]=ContinuousStatsTable[[#This Row],[ProjectName]]),(ProjectInfoTable[ProjectName]=ContinuousStatsTable[[#This Row],[ProjectName]])*ProjectInfoTable[NumberOfReplications]))</f>
        <v>30</v>
      </c>
      <c r="O349" cm="1">
        <f t="array" ref="O349">IFERROR(AVERAGE(IF((ContinuousStatsTable[GroupByKey]=ContinuousStatsTable[[#This Row],[GroupByKey]]),(ContinuousStatsTable[GroupByKey]=ContinuousStatsTable[[#This Row],[GroupByKey]])*ContinuousStatsTable[Average])),0)</f>
        <v>80</v>
      </c>
      <c r="P349" cm="1">
        <f t="array" ref="P349">IFERROR(_xlfn.STDEV.S(IF((ContinuousStatsTable[GroupByKey]=ContinuousStatsTable[[#This Row],[GroupByKey]]),(ContinuousStatsTable[GroupByKey]=ContinuousStatsTable[[#This Row],[GroupByKey]])*ContinuousStatsTable[Average])),0)</f>
        <v>0</v>
      </c>
      <c r="Q349" cm="1">
        <f t="array" ref="Q349">MAX(IF((ProjectInfoTable[ProjectName]=ContinuousStatsTable[[#This Row],[ProjectName]]),(ProjectInfoTable[ProjectName]=ContinuousStatsTable[[#This Row],[ProjectName]])*ProjectInfoTable[ConfidenceInterval]))</f>
        <v>0.95</v>
      </c>
      <c r="R3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49" cm="1">
        <f t="array" ref="S349">MIN(IF((ContinuousStatsTable[GroupByKey]=ContinuousStatsTable[[#This Row],[GroupByKey]]),(ContinuousStatsTable[GroupByKey]=ContinuousStatsTable[[#This Row],[GroupByKey]])*ContinuousStatsTable[Average]))</f>
        <v>80</v>
      </c>
      <c r="T349" cm="1">
        <f t="array" ref="T349">MAX(IF((ContinuousStatsTable[GroupByKey]=ContinuousStatsTable[[#This Row],[GroupByKey]]),(ContinuousStatsTable[GroupByKey]=ContinuousStatsTable[[#This Row],[GroupByKey]])*ContinuousStatsTable[Average]))</f>
        <v>80</v>
      </c>
      <c r="U349">
        <f>IF((ContinuousStatsTable[[#This Row],[RepsRequested]]&gt;1),ContinuousStatsTable[[#This Row],[HalfWidth]],ContinuousStatsTable[[#This Row],[BatchMeansHalfWidth]])</f>
        <v>0</v>
      </c>
    </row>
    <row r="350" spans="1:21" x14ac:dyDescent="0.2">
      <c r="A350" t="s">
        <v>67</v>
      </c>
      <c r="B350" t="s">
        <v>70</v>
      </c>
      <c r="C350">
        <v>15</v>
      </c>
      <c r="D350" t="s">
        <v>86</v>
      </c>
      <c r="E350" t="s">
        <v>98</v>
      </c>
      <c r="F350" t="s">
        <v>73</v>
      </c>
      <c r="G350">
        <v>0</v>
      </c>
      <c r="H350">
        <v>2E+20</v>
      </c>
      <c r="I350">
        <v>0</v>
      </c>
      <c r="J350">
        <v>0</v>
      </c>
      <c r="K350">
        <v>0</v>
      </c>
      <c r="L350">
        <v>0</v>
      </c>
      <c r="M350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350" cm="1">
        <f t="array" ref="N350">MAX(IF((ProjectInfoTable[ProjectName]=ContinuousStatsTable[[#This Row],[ProjectName]]),(ProjectInfoTable[ProjectName]=ContinuousStatsTable[[#This Row],[ProjectName]])*ProjectInfoTable[NumberOfReplications]))</f>
        <v>30</v>
      </c>
      <c r="O350" cm="1">
        <f t="array" ref="O350">IFERROR(AVERAGE(IF((ContinuousStatsTable[GroupByKey]=ContinuousStatsTable[[#This Row],[GroupByKey]]),(ContinuousStatsTable[GroupByKey]=ContinuousStatsTable[[#This Row],[GroupByKey]])*ContinuousStatsTable[Average])),0)</f>
        <v>0</v>
      </c>
      <c r="P350" cm="1">
        <f t="array" ref="P350">IFERROR(_xlfn.STDEV.S(IF((ContinuousStatsTable[GroupByKey]=ContinuousStatsTable[[#This Row],[GroupByKey]]),(ContinuousStatsTable[GroupByKey]=ContinuousStatsTable[[#This Row],[GroupByKey]])*ContinuousStatsTable[Average])),0)</f>
        <v>0</v>
      </c>
      <c r="Q350" cm="1">
        <f t="array" ref="Q350">MAX(IF((ProjectInfoTable[ProjectName]=ContinuousStatsTable[[#This Row],[ProjectName]]),(ProjectInfoTable[ProjectName]=ContinuousStatsTable[[#This Row],[ProjectName]])*ProjectInfoTable[ConfidenceInterval]))</f>
        <v>0.95</v>
      </c>
      <c r="R3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0" cm="1">
        <f t="array" ref="S350">MIN(IF((ContinuousStatsTable[GroupByKey]=ContinuousStatsTable[[#This Row],[GroupByKey]]),(ContinuousStatsTable[GroupByKey]=ContinuousStatsTable[[#This Row],[GroupByKey]])*ContinuousStatsTable[Average]))</f>
        <v>0</v>
      </c>
      <c r="T350" cm="1">
        <f t="array" ref="T350">MAX(IF((ContinuousStatsTable[GroupByKey]=ContinuousStatsTable[[#This Row],[GroupByKey]]),(ContinuousStatsTable[GroupByKey]=ContinuousStatsTable[[#This Row],[GroupByKey]])*ContinuousStatsTable[Average]))</f>
        <v>0</v>
      </c>
      <c r="U350">
        <f>IF((ContinuousStatsTable[[#This Row],[RepsRequested]]&gt;1),ContinuousStatsTable[[#This Row],[HalfWidth]],ContinuousStatsTable[[#This Row],[BatchMeansHalfWidth]])</f>
        <v>0</v>
      </c>
    </row>
    <row r="351" spans="1:21" x14ac:dyDescent="0.2">
      <c r="A351" t="s">
        <v>67</v>
      </c>
      <c r="B351" t="s">
        <v>70</v>
      </c>
      <c r="C351">
        <v>15</v>
      </c>
      <c r="D351" t="s">
        <v>87</v>
      </c>
      <c r="E351" t="s">
        <v>98</v>
      </c>
      <c r="F351" t="s">
        <v>73</v>
      </c>
      <c r="G351">
        <v>0</v>
      </c>
      <c r="H351">
        <v>2E+20</v>
      </c>
      <c r="I351">
        <v>0</v>
      </c>
      <c r="J351">
        <v>0</v>
      </c>
      <c r="K351">
        <v>0</v>
      </c>
      <c r="L351">
        <v>0</v>
      </c>
      <c r="M351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351" cm="1">
        <f t="array" ref="N351">MAX(IF((ProjectInfoTable[ProjectName]=ContinuousStatsTable[[#This Row],[ProjectName]]),(ProjectInfoTable[ProjectName]=ContinuousStatsTable[[#This Row],[ProjectName]])*ProjectInfoTable[NumberOfReplications]))</f>
        <v>30</v>
      </c>
      <c r="O351" cm="1">
        <f t="array" ref="O351">IFERROR(AVERAGE(IF((ContinuousStatsTable[GroupByKey]=ContinuousStatsTable[[#This Row],[GroupByKey]]),(ContinuousStatsTable[GroupByKey]=ContinuousStatsTable[[#This Row],[GroupByKey]])*ContinuousStatsTable[Average])),0)</f>
        <v>0</v>
      </c>
      <c r="P351" cm="1">
        <f t="array" ref="P351">IFERROR(_xlfn.STDEV.S(IF((ContinuousStatsTable[GroupByKey]=ContinuousStatsTable[[#This Row],[GroupByKey]]),(ContinuousStatsTable[GroupByKey]=ContinuousStatsTable[[#This Row],[GroupByKey]])*ContinuousStatsTable[Average])),0)</f>
        <v>0</v>
      </c>
      <c r="Q351" cm="1">
        <f t="array" ref="Q351">MAX(IF((ProjectInfoTable[ProjectName]=ContinuousStatsTable[[#This Row],[ProjectName]]),(ProjectInfoTable[ProjectName]=ContinuousStatsTable[[#This Row],[ProjectName]])*ProjectInfoTable[ConfidenceInterval]))</f>
        <v>0.95</v>
      </c>
      <c r="R3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1" cm="1">
        <f t="array" ref="S351">MIN(IF((ContinuousStatsTable[GroupByKey]=ContinuousStatsTable[[#This Row],[GroupByKey]]),(ContinuousStatsTable[GroupByKey]=ContinuousStatsTable[[#This Row],[GroupByKey]])*ContinuousStatsTable[Average]))</f>
        <v>0</v>
      </c>
      <c r="T351" cm="1">
        <f t="array" ref="T351">MAX(IF((ContinuousStatsTable[GroupByKey]=ContinuousStatsTable[[#This Row],[GroupByKey]]),(ContinuousStatsTable[GroupByKey]=ContinuousStatsTable[[#This Row],[GroupByKey]])*ContinuousStatsTable[Average]))</f>
        <v>0</v>
      </c>
      <c r="U351">
        <f>IF((ContinuousStatsTable[[#This Row],[RepsRequested]]&gt;1),ContinuousStatsTable[[#This Row],[HalfWidth]],ContinuousStatsTable[[#This Row],[BatchMeansHalfWidth]])</f>
        <v>0</v>
      </c>
    </row>
    <row r="352" spans="1:21" x14ac:dyDescent="0.2">
      <c r="A352" t="s">
        <v>67</v>
      </c>
      <c r="B352" t="s">
        <v>70</v>
      </c>
      <c r="C352">
        <v>15</v>
      </c>
      <c r="D352" t="s">
        <v>88</v>
      </c>
      <c r="E352" t="s">
        <v>98</v>
      </c>
      <c r="F352" t="s">
        <v>73</v>
      </c>
      <c r="G352">
        <v>1.5120896727345601</v>
      </c>
      <c r="H352">
        <v>8.6746635972502803E-2</v>
      </c>
      <c r="I352">
        <v>0</v>
      </c>
      <c r="J352">
        <v>4</v>
      </c>
      <c r="K352">
        <v>0</v>
      </c>
      <c r="L352">
        <v>0</v>
      </c>
      <c r="M352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352" cm="1">
        <f t="array" ref="N352">MAX(IF((ProjectInfoTable[ProjectName]=ContinuousStatsTable[[#This Row],[ProjectName]]),(ProjectInfoTable[ProjectName]=ContinuousStatsTable[[#This Row],[ProjectName]])*ProjectInfoTable[NumberOfReplications]))</f>
        <v>30</v>
      </c>
      <c r="O352" cm="1">
        <f t="array" ref="O352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352" cm="1">
        <f t="array" ref="P352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352" cm="1">
        <f t="array" ref="Q352">MAX(IF((ProjectInfoTable[ProjectName]=ContinuousStatsTable[[#This Row],[ProjectName]]),(ProjectInfoTable[ProjectName]=ContinuousStatsTable[[#This Row],[ProjectName]])*ProjectInfoTable[ConfidenceInterval]))</f>
        <v>0.95</v>
      </c>
      <c r="R3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352" cm="1">
        <f t="array" ref="S352">MIN(IF((ContinuousStatsTable[GroupByKey]=ContinuousStatsTable[[#This Row],[GroupByKey]]),(ContinuousStatsTable[GroupByKey]=ContinuousStatsTable[[#This Row],[GroupByKey]])*ContinuousStatsTable[Average]))</f>
        <v>1.4062336911317099</v>
      </c>
      <c r="T352" cm="1">
        <f t="array" ref="T352">MAX(IF((ContinuousStatsTable[GroupByKey]=ContinuousStatsTable[[#This Row],[GroupByKey]]),(ContinuousStatsTable[GroupByKey]=ContinuousStatsTable[[#This Row],[GroupByKey]])*ContinuousStatsTable[Average]))</f>
        <v>1.5889769030929</v>
      </c>
      <c r="U352">
        <f>IF((ContinuousStatsTable[[#This Row],[RepsRequested]]&gt;1),ContinuousStatsTable[[#This Row],[HalfWidth]],ContinuousStatsTable[[#This Row],[BatchMeansHalfWidth]])</f>
        <v>1.602866983772662E-2</v>
      </c>
    </row>
    <row r="353" spans="1:21" x14ac:dyDescent="0.2">
      <c r="A353" t="s">
        <v>67</v>
      </c>
      <c r="B353" t="s">
        <v>70</v>
      </c>
      <c r="C353">
        <v>15</v>
      </c>
      <c r="D353" t="s">
        <v>102</v>
      </c>
      <c r="E353" t="s">
        <v>94</v>
      </c>
      <c r="F353" t="s">
        <v>95</v>
      </c>
      <c r="G353">
        <v>4.5614035087719303E-3</v>
      </c>
      <c r="H353">
        <v>3E+20</v>
      </c>
      <c r="I353">
        <v>0</v>
      </c>
      <c r="J353">
        <v>0.1</v>
      </c>
      <c r="K353">
        <v>0</v>
      </c>
      <c r="L353">
        <v>0</v>
      </c>
      <c r="M353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353" cm="1">
        <f t="array" ref="N353">MAX(IF((ProjectInfoTable[ProjectName]=ContinuousStatsTable[[#This Row],[ProjectName]]),(ProjectInfoTable[ProjectName]=ContinuousStatsTable[[#This Row],[ProjectName]])*ProjectInfoTable[NumberOfReplications]))</f>
        <v>30</v>
      </c>
      <c r="O353" cm="1">
        <f t="array" ref="O353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353" cm="1">
        <f t="array" ref="P353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353" cm="1">
        <f t="array" ref="Q353">MAX(IF((ProjectInfoTable[ProjectName]=ContinuousStatsTable[[#This Row],[ProjectName]]),(ProjectInfoTable[ProjectName]=ContinuousStatsTable[[#This Row],[ProjectName]])*ProjectInfoTable[ConfidenceInterval]))</f>
        <v>0.95</v>
      </c>
      <c r="R3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353" cm="1">
        <f t="array" ref="S353">MIN(IF((ContinuousStatsTable[GroupByKey]=ContinuousStatsTable[[#This Row],[GroupByKey]]),(ContinuousStatsTable[GroupByKey]=ContinuousStatsTable[[#This Row],[GroupByKey]])*ContinuousStatsTable[Average]))</f>
        <v>4.4956140350877203E-3</v>
      </c>
      <c r="T353" cm="1">
        <f t="array" ref="T353">MAX(IF((ContinuousStatsTable[GroupByKey]=ContinuousStatsTable[[#This Row],[GroupByKey]]),(ContinuousStatsTable[GroupByKey]=ContinuousStatsTable[[#This Row],[GroupByKey]])*ContinuousStatsTable[Average]))</f>
        <v>5.5482456140350904E-3</v>
      </c>
      <c r="U353">
        <f>IF((ContinuousStatsTable[[#This Row],[RepsRequested]]&gt;1),ContinuousStatsTable[[#This Row],[HalfWidth]],ContinuousStatsTable[[#This Row],[BatchMeansHalfWidth]])</f>
        <v>1.0144486472958472E-4</v>
      </c>
    </row>
    <row r="354" spans="1:21" x14ac:dyDescent="0.2">
      <c r="A354" t="s">
        <v>67</v>
      </c>
      <c r="B354" t="s">
        <v>70</v>
      </c>
      <c r="C354">
        <v>15</v>
      </c>
      <c r="D354" t="s">
        <v>102</v>
      </c>
      <c r="E354" t="s">
        <v>96</v>
      </c>
      <c r="F354" t="s">
        <v>95</v>
      </c>
      <c r="G354">
        <v>9.1228070175438505E-2</v>
      </c>
      <c r="H354">
        <v>3E+20</v>
      </c>
      <c r="I354">
        <v>0</v>
      </c>
      <c r="J354">
        <v>2</v>
      </c>
      <c r="K354">
        <v>0</v>
      </c>
      <c r="L354">
        <v>0</v>
      </c>
      <c r="M354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354" cm="1">
        <f t="array" ref="N354">MAX(IF((ProjectInfoTable[ProjectName]=ContinuousStatsTable[[#This Row],[ProjectName]]),(ProjectInfoTable[ProjectName]=ContinuousStatsTable[[#This Row],[ProjectName]])*ProjectInfoTable[NumberOfReplications]))</f>
        <v>30</v>
      </c>
      <c r="O354" cm="1">
        <f t="array" ref="O354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354" cm="1">
        <f t="array" ref="P354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354" cm="1">
        <f t="array" ref="Q354">MAX(IF((ProjectInfoTable[ProjectName]=ContinuousStatsTable[[#This Row],[ProjectName]]),(ProjectInfoTable[ProjectName]=ContinuousStatsTable[[#This Row],[ProjectName]])*ProjectInfoTable[ConfidenceInterval]))</f>
        <v>0.95</v>
      </c>
      <c r="R3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354" cm="1">
        <f t="array" ref="S354">MIN(IF((ContinuousStatsTable[GroupByKey]=ContinuousStatsTable[[#This Row],[GroupByKey]]),(ContinuousStatsTable[GroupByKey]=ContinuousStatsTable[[#This Row],[GroupByKey]])*ContinuousStatsTable[Average]))</f>
        <v>8.9912280701754305E-2</v>
      </c>
      <c r="T354" cm="1">
        <f t="array" ref="T354">MAX(IF((ContinuousStatsTable[GroupByKey]=ContinuousStatsTable[[#This Row],[GroupByKey]]),(ContinuousStatsTable[GroupByKey]=ContinuousStatsTable[[#This Row],[GroupByKey]])*ContinuousStatsTable[Average]))</f>
        <v>0.110964912280702</v>
      </c>
      <c r="U354">
        <f>IF((ContinuousStatsTable[[#This Row],[RepsRequested]]&gt;1),ContinuousStatsTable[[#This Row],[HalfWidth]],ContinuousStatsTable[[#This Row],[BatchMeansHalfWidth]])</f>
        <v>2.0288972945916956E-3</v>
      </c>
    </row>
    <row r="355" spans="1:21" x14ac:dyDescent="0.2">
      <c r="A355" t="s">
        <v>67</v>
      </c>
      <c r="B355" t="s">
        <v>70</v>
      </c>
      <c r="C355">
        <v>15</v>
      </c>
      <c r="D355" t="s">
        <v>102</v>
      </c>
      <c r="E355" t="s">
        <v>97</v>
      </c>
      <c r="F355" t="s">
        <v>95</v>
      </c>
      <c r="G355">
        <v>20</v>
      </c>
      <c r="H355">
        <v>2E+20</v>
      </c>
      <c r="I355">
        <v>20</v>
      </c>
      <c r="J355">
        <v>20</v>
      </c>
      <c r="K355">
        <v>20</v>
      </c>
      <c r="L355">
        <v>0</v>
      </c>
      <c r="M355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355" cm="1">
        <f t="array" ref="N355">MAX(IF((ProjectInfoTable[ProjectName]=ContinuousStatsTable[[#This Row],[ProjectName]]),(ProjectInfoTable[ProjectName]=ContinuousStatsTable[[#This Row],[ProjectName]])*ProjectInfoTable[NumberOfReplications]))</f>
        <v>30</v>
      </c>
      <c r="O355" cm="1">
        <f t="array" ref="O355">IFERROR(AVERAGE(IF((ContinuousStatsTable[GroupByKey]=ContinuousStatsTable[[#This Row],[GroupByKey]]),(ContinuousStatsTable[GroupByKey]=ContinuousStatsTable[[#This Row],[GroupByKey]])*ContinuousStatsTable[Average])),0)</f>
        <v>20</v>
      </c>
      <c r="P355" cm="1">
        <f t="array" ref="P355">IFERROR(_xlfn.STDEV.S(IF((ContinuousStatsTable[GroupByKey]=ContinuousStatsTable[[#This Row],[GroupByKey]]),(ContinuousStatsTable[GroupByKey]=ContinuousStatsTable[[#This Row],[GroupByKey]])*ContinuousStatsTable[Average])),0)</f>
        <v>0</v>
      </c>
      <c r="Q355" cm="1">
        <f t="array" ref="Q355">MAX(IF((ProjectInfoTable[ProjectName]=ContinuousStatsTable[[#This Row],[ProjectName]]),(ProjectInfoTable[ProjectName]=ContinuousStatsTable[[#This Row],[ProjectName]])*ProjectInfoTable[ConfidenceInterval]))</f>
        <v>0.95</v>
      </c>
      <c r="R3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5" cm="1">
        <f t="array" ref="S355">MIN(IF((ContinuousStatsTable[GroupByKey]=ContinuousStatsTable[[#This Row],[GroupByKey]]),(ContinuousStatsTable[GroupByKey]=ContinuousStatsTable[[#This Row],[GroupByKey]])*ContinuousStatsTable[Average]))</f>
        <v>20</v>
      </c>
      <c r="T355" cm="1">
        <f t="array" ref="T355">MAX(IF((ContinuousStatsTable[GroupByKey]=ContinuousStatsTable[[#This Row],[GroupByKey]]),(ContinuousStatsTable[GroupByKey]=ContinuousStatsTable[[#This Row],[GroupByKey]])*ContinuousStatsTable[Average]))</f>
        <v>20</v>
      </c>
      <c r="U355">
        <f>IF((ContinuousStatsTable[[#This Row],[RepsRequested]]&gt;1),ContinuousStatsTable[[#This Row],[HalfWidth]],ContinuousStatsTable[[#This Row],[BatchMeansHalfWidth]])</f>
        <v>0</v>
      </c>
    </row>
    <row r="356" spans="1:21" x14ac:dyDescent="0.2">
      <c r="A356" t="s">
        <v>67</v>
      </c>
      <c r="B356" t="s">
        <v>70</v>
      </c>
      <c r="C356">
        <v>15</v>
      </c>
      <c r="D356" t="s">
        <v>90</v>
      </c>
      <c r="E356" t="s">
        <v>98</v>
      </c>
      <c r="F356" t="s">
        <v>73</v>
      </c>
      <c r="G356">
        <v>0</v>
      </c>
      <c r="H356">
        <v>2E+20</v>
      </c>
      <c r="I356">
        <v>0</v>
      </c>
      <c r="J356">
        <v>0</v>
      </c>
      <c r="K356">
        <v>0</v>
      </c>
      <c r="L356">
        <v>0</v>
      </c>
      <c r="M356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356" cm="1">
        <f t="array" ref="N356">MAX(IF((ProjectInfoTable[ProjectName]=ContinuousStatsTable[[#This Row],[ProjectName]]),(ProjectInfoTable[ProjectName]=ContinuousStatsTable[[#This Row],[ProjectName]])*ProjectInfoTable[NumberOfReplications]))</f>
        <v>30</v>
      </c>
      <c r="O356" cm="1">
        <f t="array" ref="O356">IFERROR(AVERAGE(IF((ContinuousStatsTable[GroupByKey]=ContinuousStatsTable[[#This Row],[GroupByKey]]),(ContinuousStatsTable[GroupByKey]=ContinuousStatsTable[[#This Row],[GroupByKey]])*ContinuousStatsTable[Average])),0)</f>
        <v>0</v>
      </c>
      <c r="P356" cm="1">
        <f t="array" ref="P356">IFERROR(_xlfn.STDEV.S(IF((ContinuousStatsTable[GroupByKey]=ContinuousStatsTable[[#This Row],[GroupByKey]]),(ContinuousStatsTable[GroupByKey]=ContinuousStatsTable[[#This Row],[GroupByKey]])*ContinuousStatsTable[Average])),0)</f>
        <v>0</v>
      </c>
      <c r="Q356" cm="1">
        <f t="array" ref="Q356">MAX(IF((ProjectInfoTable[ProjectName]=ContinuousStatsTable[[#This Row],[ProjectName]]),(ProjectInfoTable[ProjectName]=ContinuousStatsTable[[#This Row],[ProjectName]])*ProjectInfoTable[ConfidenceInterval]))</f>
        <v>0.95</v>
      </c>
      <c r="R3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6" cm="1">
        <f t="array" ref="S356">MIN(IF((ContinuousStatsTable[GroupByKey]=ContinuousStatsTable[[#This Row],[GroupByKey]]),(ContinuousStatsTable[GroupByKey]=ContinuousStatsTable[[#This Row],[GroupByKey]])*ContinuousStatsTable[Average]))</f>
        <v>0</v>
      </c>
      <c r="T356" cm="1">
        <f t="array" ref="T356">MAX(IF((ContinuousStatsTable[GroupByKey]=ContinuousStatsTable[[#This Row],[GroupByKey]]),(ContinuousStatsTable[GroupByKey]=ContinuousStatsTable[[#This Row],[GroupByKey]])*ContinuousStatsTable[Average]))</f>
        <v>0</v>
      </c>
      <c r="U356">
        <f>IF((ContinuousStatsTable[[#This Row],[RepsRequested]]&gt;1),ContinuousStatsTable[[#This Row],[HalfWidth]],ContinuousStatsTable[[#This Row],[BatchMeansHalfWidth]])</f>
        <v>0</v>
      </c>
    </row>
    <row r="357" spans="1:21" x14ac:dyDescent="0.2">
      <c r="A357" t="s">
        <v>67</v>
      </c>
      <c r="B357" t="s">
        <v>70</v>
      </c>
      <c r="C357">
        <v>15</v>
      </c>
      <c r="D357" t="s">
        <v>91</v>
      </c>
      <c r="E357" t="s">
        <v>98</v>
      </c>
      <c r="F357" t="s">
        <v>73</v>
      </c>
      <c r="G357">
        <v>0</v>
      </c>
      <c r="H357">
        <v>2E+20</v>
      </c>
      <c r="I357">
        <v>0</v>
      </c>
      <c r="J357">
        <v>0</v>
      </c>
      <c r="K357">
        <v>0</v>
      </c>
      <c r="L357">
        <v>0</v>
      </c>
      <c r="M357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357" cm="1">
        <f t="array" ref="N357">MAX(IF((ProjectInfoTable[ProjectName]=ContinuousStatsTable[[#This Row],[ProjectName]]),(ProjectInfoTable[ProjectName]=ContinuousStatsTable[[#This Row],[ProjectName]])*ProjectInfoTable[NumberOfReplications]))</f>
        <v>30</v>
      </c>
      <c r="O357" cm="1">
        <f t="array" ref="O357">IFERROR(AVERAGE(IF((ContinuousStatsTable[GroupByKey]=ContinuousStatsTable[[#This Row],[GroupByKey]]),(ContinuousStatsTable[GroupByKey]=ContinuousStatsTable[[#This Row],[GroupByKey]])*ContinuousStatsTable[Average])),0)</f>
        <v>0</v>
      </c>
      <c r="P357" cm="1">
        <f t="array" ref="P357">IFERROR(_xlfn.STDEV.S(IF((ContinuousStatsTable[GroupByKey]=ContinuousStatsTable[[#This Row],[GroupByKey]]),(ContinuousStatsTable[GroupByKey]=ContinuousStatsTable[[#This Row],[GroupByKey]])*ContinuousStatsTable[Average])),0)</f>
        <v>0</v>
      </c>
      <c r="Q357" cm="1">
        <f t="array" ref="Q357">MAX(IF((ProjectInfoTable[ProjectName]=ContinuousStatsTable[[#This Row],[ProjectName]]),(ProjectInfoTable[ProjectName]=ContinuousStatsTable[[#This Row],[ProjectName]])*ProjectInfoTable[ConfidenceInterval]))</f>
        <v>0.95</v>
      </c>
      <c r="R3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7" cm="1">
        <f t="array" ref="S357">MIN(IF((ContinuousStatsTable[GroupByKey]=ContinuousStatsTable[[#This Row],[GroupByKey]]),(ContinuousStatsTable[GroupByKey]=ContinuousStatsTable[[#This Row],[GroupByKey]])*ContinuousStatsTable[Average]))</f>
        <v>0</v>
      </c>
      <c r="T357" cm="1">
        <f t="array" ref="T357">MAX(IF((ContinuousStatsTable[GroupByKey]=ContinuousStatsTable[[#This Row],[GroupByKey]]),(ContinuousStatsTable[GroupByKey]=ContinuousStatsTable[[#This Row],[GroupByKey]])*ContinuousStatsTable[Average]))</f>
        <v>0</v>
      </c>
      <c r="U357">
        <f>IF((ContinuousStatsTable[[#This Row],[RepsRequested]]&gt;1),ContinuousStatsTable[[#This Row],[HalfWidth]],ContinuousStatsTable[[#This Row],[BatchMeansHalfWidth]])</f>
        <v>0</v>
      </c>
    </row>
    <row r="358" spans="1:21" x14ac:dyDescent="0.2">
      <c r="A358" t="s">
        <v>67</v>
      </c>
      <c r="B358" t="s">
        <v>70</v>
      </c>
      <c r="C358">
        <v>15</v>
      </c>
      <c r="D358" t="s">
        <v>92</v>
      </c>
      <c r="E358" t="s">
        <v>98</v>
      </c>
      <c r="F358" t="s">
        <v>73</v>
      </c>
      <c r="G358">
        <v>0</v>
      </c>
      <c r="H358">
        <v>2E+20</v>
      </c>
      <c r="I358">
        <v>0</v>
      </c>
      <c r="J358">
        <v>0</v>
      </c>
      <c r="K358">
        <v>0</v>
      </c>
      <c r="L358">
        <v>0</v>
      </c>
      <c r="M358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358" cm="1">
        <f t="array" ref="N358">MAX(IF((ProjectInfoTable[ProjectName]=ContinuousStatsTable[[#This Row],[ProjectName]]),(ProjectInfoTable[ProjectName]=ContinuousStatsTable[[#This Row],[ProjectName]])*ProjectInfoTable[NumberOfReplications]))</f>
        <v>30</v>
      </c>
      <c r="O358" cm="1">
        <f t="array" ref="O358">IFERROR(AVERAGE(IF((ContinuousStatsTable[GroupByKey]=ContinuousStatsTable[[#This Row],[GroupByKey]]),(ContinuousStatsTable[GroupByKey]=ContinuousStatsTable[[#This Row],[GroupByKey]])*ContinuousStatsTable[Average])),0)</f>
        <v>0</v>
      </c>
      <c r="P358" cm="1">
        <f t="array" ref="P358">IFERROR(_xlfn.STDEV.S(IF((ContinuousStatsTable[GroupByKey]=ContinuousStatsTable[[#This Row],[GroupByKey]]),(ContinuousStatsTable[GroupByKey]=ContinuousStatsTable[[#This Row],[GroupByKey]])*ContinuousStatsTable[Average])),0)</f>
        <v>0</v>
      </c>
      <c r="Q358" cm="1">
        <f t="array" ref="Q358">MAX(IF((ProjectInfoTable[ProjectName]=ContinuousStatsTable[[#This Row],[ProjectName]]),(ProjectInfoTable[ProjectName]=ContinuousStatsTable[[#This Row],[ProjectName]])*ProjectInfoTable[ConfidenceInterval]))</f>
        <v>0.95</v>
      </c>
      <c r="R3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8" cm="1">
        <f t="array" ref="S358">MIN(IF((ContinuousStatsTable[GroupByKey]=ContinuousStatsTable[[#This Row],[GroupByKey]]),(ContinuousStatsTable[GroupByKey]=ContinuousStatsTable[[#This Row],[GroupByKey]])*ContinuousStatsTable[Average]))</f>
        <v>0</v>
      </c>
      <c r="T358" cm="1">
        <f t="array" ref="T358">MAX(IF((ContinuousStatsTable[GroupByKey]=ContinuousStatsTable[[#This Row],[GroupByKey]]),(ContinuousStatsTable[GroupByKey]=ContinuousStatsTable[[#This Row],[GroupByKey]])*ContinuousStatsTable[Average]))</f>
        <v>0</v>
      </c>
      <c r="U358">
        <f>IF((ContinuousStatsTable[[#This Row],[RepsRequested]]&gt;1),ContinuousStatsTable[[#This Row],[HalfWidth]],ContinuousStatsTable[[#This Row],[BatchMeansHalfWidth]])</f>
        <v>0</v>
      </c>
    </row>
    <row r="359" spans="1:21" x14ac:dyDescent="0.2">
      <c r="A359" t="s">
        <v>67</v>
      </c>
      <c r="B359" t="s">
        <v>70</v>
      </c>
      <c r="C359">
        <v>15</v>
      </c>
      <c r="D359" t="s">
        <v>103</v>
      </c>
      <c r="E359" t="s">
        <v>94</v>
      </c>
      <c r="F359" t="s">
        <v>95</v>
      </c>
      <c r="G359">
        <v>8.1513731417820007E-2</v>
      </c>
      <c r="H359">
        <v>2E+20</v>
      </c>
      <c r="I359">
        <v>0</v>
      </c>
      <c r="J359">
        <v>0.66666666666666696</v>
      </c>
      <c r="K359">
        <v>0</v>
      </c>
      <c r="L359">
        <v>0</v>
      </c>
      <c r="M359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359" cm="1">
        <f t="array" ref="N359">MAX(IF((ProjectInfoTable[ProjectName]=ContinuousStatsTable[[#This Row],[ProjectName]]),(ProjectInfoTable[ProjectName]=ContinuousStatsTable[[#This Row],[ProjectName]])*ProjectInfoTable[NumberOfReplications]))</f>
        <v>30</v>
      </c>
      <c r="O359" cm="1">
        <f t="array" ref="O359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359" cm="1">
        <f t="array" ref="P359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359" cm="1">
        <f t="array" ref="Q359">MAX(IF((ProjectInfoTable[ProjectName]=ContinuousStatsTable[[#This Row],[ProjectName]]),(ProjectInfoTable[ProjectName]=ContinuousStatsTable[[#This Row],[ProjectName]])*ProjectInfoTable[ConfidenceInterval]))</f>
        <v>0.95</v>
      </c>
      <c r="R3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359" cm="1">
        <f t="array" ref="S359">MIN(IF((ContinuousStatsTable[GroupByKey]=ContinuousStatsTable[[#This Row],[GroupByKey]]),(ContinuousStatsTable[GroupByKey]=ContinuousStatsTable[[#This Row],[GroupByKey]])*ContinuousStatsTable[Average]))</f>
        <v>7.7176470357846902E-2</v>
      </c>
      <c r="T359" cm="1">
        <f t="array" ref="T359">MAX(IF((ContinuousStatsTable[GroupByKey]=ContinuousStatsTable[[#This Row],[GroupByKey]]),(ContinuousStatsTable[GroupByKey]=ContinuousStatsTable[[#This Row],[GroupByKey]])*ContinuousStatsTable[Average]))</f>
        <v>9.2534326714405896E-2</v>
      </c>
      <c r="U359">
        <f>IF((ContinuousStatsTable[[#This Row],[RepsRequested]]&gt;1),ContinuousStatsTable[[#This Row],[HalfWidth]],ContinuousStatsTable[[#This Row],[BatchMeansHalfWidth]])</f>
        <v>1.3238327186697659E-3</v>
      </c>
    </row>
    <row r="360" spans="1:21" x14ac:dyDescent="0.2">
      <c r="A360" t="s">
        <v>67</v>
      </c>
      <c r="B360" t="s">
        <v>70</v>
      </c>
      <c r="C360">
        <v>15</v>
      </c>
      <c r="D360" t="s">
        <v>103</v>
      </c>
      <c r="E360" t="s">
        <v>96</v>
      </c>
      <c r="F360" t="s">
        <v>95</v>
      </c>
      <c r="G360">
        <v>0.24454119425345999</v>
      </c>
      <c r="H360">
        <v>2E+20</v>
      </c>
      <c r="I360">
        <v>0</v>
      </c>
      <c r="J360">
        <v>2</v>
      </c>
      <c r="K360">
        <v>0</v>
      </c>
      <c r="L360">
        <v>0</v>
      </c>
      <c r="M360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360" cm="1">
        <f t="array" ref="N360">MAX(IF((ProjectInfoTable[ProjectName]=ContinuousStatsTable[[#This Row],[ProjectName]]),(ProjectInfoTable[ProjectName]=ContinuousStatsTable[[#This Row],[ProjectName]])*ProjectInfoTable[NumberOfReplications]))</f>
        <v>30</v>
      </c>
      <c r="O360" cm="1">
        <f t="array" ref="O360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360" cm="1">
        <f t="array" ref="P360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360" cm="1">
        <f t="array" ref="Q360">MAX(IF((ProjectInfoTable[ProjectName]=ContinuousStatsTable[[#This Row],[ProjectName]]),(ProjectInfoTable[ProjectName]=ContinuousStatsTable[[#This Row],[ProjectName]])*ProjectInfoTable[ConfidenceInterval]))</f>
        <v>0.95</v>
      </c>
      <c r="R3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360" cm="1">
        <f t="array" ref="S360">MIN(IF((ContinuousStatsTable[GroupByKey]=ContinuousStatsTable[[#This Row],[GroupByKey]]),(ContinuousStatsTable[GroupByKey]=ContinuousStatsTable[[#This Row],[GroupByKey]])*ContinuousStatsTable[Average]))</f>
        <v>0.231529411073541</v>
      </c>
      <c r="T360" cm="1">
        <f t="array" ref="T360">MAX(IF((ContinuousStatsTable[GroupByKey]=ContinuousStatsTable[[#This Row],[GroupByKey]]),(ContinuousStatsTable[GroupByKey]=ContinuousStatsTable[[#This Row],[GroupByKey]])*ContinuousStatsTable[Average]))</f>
        <v>0.27760298014321699</v>
      </c>
      <c r="U360">
        <f>IF((ContinuousStatsTable[[#This Row],[RepsRequested]]&gt;1),ContinuousStatsTable[[#This Row],[HalfWidth]],ContinuousStatsTable[[#This Row],[BatchMeansHalfWidth]])</f>
        <v>3.9714981560092996E-3</v>
      </c>
    </row>
    <row r="361" spans="1:21" x14ac:dyDescent="0.2">
      <c r="A361" t="s">
        <v>67</v>
      </c>
      <c r="B361" t="s">
        <v>70</v>
      </c>
      <c r="C361">
        <v>15</v>
      </c>
      <c r="D361" t="s">
        <v>103</v>
      </c>
      <c r="E361" t="s">
        <v>97</v>
      </c>
      <c r="F361" t="s">
        <v>95</v>
      </c>
      <c r="G361">
        <v>3</v>
      </c>
      <c r="H361">
        <v>2E+20</v>
      </c>
      <c r="I361">
        <v>3</v>
      </c>
      <c r="J361">
        <v>3</v>
      </c>
      <c r="K361">
        <v>3</v>
      </c>
      <c r="L361">
        <v>0</v>
      </c>
      <c r="M361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361" cm="1">
        <f t="array" ref="N361">MAX(IF((ProjectInfoTable[ProjectName]=ContinuousStatsTable[[#This Row],[ProjectName]]),(ProjectInfoTable[ProjectName]=ContinuousStatsTable[[#This Row],[ProjectName]])*ProjectInfoTable[NumberOfReplications]))</f>
        <v>30</v>
      </c>
      <c r="O361" cm="1">
        <f t="array" ref="O361">IFERROR(AVERAGE(IF((ContinuousStatsTable[GroupByKey]=ContinuousStatsTable[[#This Row],[GroupByKey]]),(ContinuousStatsTable[GroupByKey]=ContinuousStatsTable[[#This Row],[GroupByKey]])*ContinuousStatsTable[Average])),0)</f>
        <v>3</v>
      </c>
      <c r="P361" cm="1">
        <f t="array" ref="P361">IFERROR(_xlfn.STDEV.S(IF((ContinuousStatsTable[GroupByKey]=ContinuousStatsTable[[#This Row],[GroupByKey]]),(ContinuousStatsTable[GroupByKey]=ContinuousStatsTable[[#This Row],[GroupByKey]])*ContinuousStatsTable[Average])),0)</f>
        <v>0</v>
      </c>
      <c r="Q361" cm="1">
        <f t="array" ref="Q361">MAX(IF((ProjectInfoTable[ProjectName]=ContinuousStatsTable[[#This Row],[ProjectName]]),(ProjectInfoTable[ProjectName]=ContinuousStatsTable[[#This Row],[ProjectName]])*ProjectInfoTable[ConfidenceInterval]))</f>
        <v>0.95</v>
      </c>
      <c r="R3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1" cm="1">
        <f t="array" ref="S361">MIN(IF((ContinuousStatsTable[GroupByKey]=ContinuousStatsTable[[#This Row],[GroupByKey]]),(ContinuousStatsTable[GroupByKey]=ContinuousStatsTable[[#This Row],[GroupByKey]])*ContinuousStatsTable[Average]))</f>
        <v>3</v>
      </c>
      <c r="T361" cm="1">
        <f t="array" ref="T361">MAX(IF((ContinuousStatsTable[GroupByKey]=ContinuousStatsTable[[#This Row],[GroupByKey]]),(ContinuousStatsTable[GroupByKey]=ContinuousStatsTable[[#This Row],[GroupByKey]])*ContinuousStatsTable[Average]))</f>
        <v>3</v>
      </c>
      <c r="U361">
        <f>IF((ContinuousStatsTable[[#This Row],[RepsRequested]]&gt;1),ContinuousStatsTable[[#This Row],[HalfWidth]],ContinuousStatsTable[[#This Row],[BatchMeansHalfWidth]])</f>
        <v>0</v>
      </c>
    </row>
    <row r="362" spans="1:21" x14ac:dyDescent="0.2">
      <c r="A362" t="s">
        <v>67</v>
      </c>
      <c r="B362" t="s">
        <v>70</v>
      </c>
      <c r="C362">
        <v>16</v>
      </c>
      <c r="D362" t="s">
        <v>93</v>
      </c>
      <c r="E362" t="s">
        <v>94</v>
      </c>
      <c r="F362" t="s">
        <v>95</v>
      </c>
      <c r="G362">
        <v>0.24518979190839399</v>
      </c>
      <c r="H362">
        <v>2.2880382306738199E-2</v>
      </c>
      <c r="I362">
        <v>0</v>
      </c>
      <c r="J362">
        <v>1</v>
      </c>
      <c r="K362">
        <v>0</v>
      </c>
      <c r="L362">
        <v>0</v>
      </c>
      <c r="M362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362" cm="1">
        <f t="array" ref="N362">MAX(IF((ProjectInfoTable[ProjectName]=ContinuousStatsTable[[#This Row],[ProjectName]]),(ProjectInfoTable[ProjectName]=ContinuousStatsTable[[#This Row],[ProjectName]])*ProjectInfoTable[NumberOfReplications]))</f>
        <v>30</v>
      </c>
      <c r="O362" cm="1">
        <f t="array" ref="O362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362" cm="1">
        <f t="array" ref="P362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362" cm="1">
        <f t="array" ref="Q362">MAX(IF((ProjectInfoTable[ProjectName]=ContinuousStatsTable[[#This Row],[ProjectName]]),(ProjectInfoTable[ProjectName]=ContinuousStatsTable[[#This Row],[ProjectName]])*ProjectInfoTable[ConfidenceInterval]))</f>
        <v>0.95</v>
      </c>
      <c r="R3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362" cm="1">
        <f t="array" ref="S362">MIN(IF((ContinuousStatsTable[GroupByKey]=ContinuousStatsTable[[#This Row],[GroupByKey]]),(ContinuousStatsTable[GroupByKey]=ContinuousStatsTable[[#This Row],[GroupByKey]])*ContinuousStatsTable[Average]))</f>
        <v>0.233333333333333</v>
      </c>
      <c r="T362" cm="1">
        <f t="array" ref="T362">MAX(IF((ContinuousStatsTable[GroupByKey]=ContinuousStatsTable[[#This Row],[GroupByKey]]),(ContinuousStatsTable[GroupByKey]=ContinuousStatsTable[[#This Row],[GroupByKey]])*ContinuousStatsTable[Average]))</f>
        <v>0.27905535859326402</v>
      </c>
      <c r="U362">
        <f>IF((ContinuousStatsTable[[#This Row],[RepsRequested]]&gt;1),ContinuousStatsTable[[#This Row],[HalfWidth]],ContinuousStatsTable[[#This Row],[BatchMeansHalfWidth]])</f>
        <v>4.2029769261323026E-3</v>
      </c>
    </row>
    <row r="363" spans="1:21" x14ac:dyDescent="0.2">
      <c r="A363" t="s">
        <v>67</v>
      </c>
      <c r="B363" t="s">
        <v>70</v>
      </c>
      <c r="C363">
        <v>16</v>
      </c>
      <c r="D363" t="s">
        <v>93</v>
      </c>
      <c r="E363" t="s">
        <v>96</v>
      </c>
      <c r="F363" t="s">
        <v>95</v>
      </c>
      <c r="G363">
        <v>0.24518979190839399</v>
      </c>
      <c r="H363">
        <v>2.2880382306738199E-2</v>
      </c>
      <c r="I363">
        <v>0</v>
      </c>
      <c r="J363">
        <v>1</v>
      </c>
      <c r="K363">
        <v>0</v>
      </c>
      <c r="L363">
        <v>0</v>
      </c>
      <c r="M363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363" cm="1">
        <f t="array" ref="N363">MAX(IF((ProjectInfoTable[ProjectName]=ContinuousStatsTable[[#This Row],[ProjectName]]),(ProjectInfoTable[ProjectName]=ContinuousStatsTable[[#This Row],[ProjectName]])*ProjectInfoTable[NumberOfReplications]))</f>
        <v>30</v>
      </c>
      <c r="O363" cm="1">
        <f t="array" ref="O363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363" cm="1">
        <f t="array" ref="P363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363" cm="1">
        <f t="array" ref="Q363">MAX(IF((ProjectInfoTable[ProjectName]=ContinuousStatsTable[[#This Row],[ProjectName]]),(ProjectInfoTable[ProjectName]=ContinuousStatsTable[[#This Row],[ProjectName]])*ProjectInfoTable[ConfidenceInterval]))</f>
        <v>0.95</v>
      </c>
      <c r="R3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363" cm="1">
        <f t="array" ref="S363">MIN(IF((ContinuousStatsTable[GroupByKey]=ContinuousStatsTable[[#This Row],[GroupByKey]]),(ContinuousStatsTable[GroupByKey]=ContinuousStatsTable[[#This Row],[GroupByKey]])*ContinuousStatsTable[Average]))</f>
        <v>0.233333333333333</v>
      </c>
      <c r="T363" cm="1">
        <f t="array" ref="T363">MAX(IF((ContinuousStatsTable[GroupByKey]=ContinuousStatsTable[[#This Row],[GroupByKey]]),(ContinuousStatsTable[GroupByKey]=ContinuousStatsTable[[#This Row],[GroupByKey]])*ContinuousStatsTable[Average]))</f>
        <v>0.27905535859326402</v>
      </c>
      <c r="U363">
        <f>IF((ContinuousStatsTable[[#This Row],[RepsRequested]]&gt;1),ContinuousStatsTable[[#This Row],[HalfWidth]],ContinuousStatsTable[[#This Row],[BatchMeansHalfWidth]])</f>
        <v>4.2029769261323026E-3</v>
      </c>
    </row>
    <row r="364" spans="1:21" x14ac:dyDescent="0.2">
      <c r="A364" t="s">
        <v>67</v>
      </c>
      <c r="B364" t="s">
        <v>70</v>
      </c>
      <c r="C364">
        <v>16</v>
      </c>
      <c r="D364" t="s">
        <v>93</v>
      </c>
      <c r="E364" t="s">
        <v>97</v>
      </c>
      <c r="F364" t="s">
        <v>95</v>
      </c>
      <c r="G364">
        <v>1</v>
      </c>
      <c r="H364">
        <v>2E+20</v>
      </c>
      <c r="I364">
        <v>1</v>
      </c>
      <c r="J364">
        <v>1</v>
      </c>
      <c r="K364">
        <v>1</v>
      </c>
      <c r="L364">
        <v>0</v>
      </c>
      <c r="M364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364" cm="1">
        <f t="array" ref="N364">MAX(IF((ProjectInfoTable[ProjectName]=ContinuousStatsTable[[#This Row],[ProjectName]]),(ProjectInfoTable[ProjectName]=ContinuousStatsTable[[#This Row],[ProjectName]])*ProjectInfoTable[NumberOfReplications]))</f>
        <v>30</v>
      </c>
      <c r="O364" cm="1">
        <f t="array" ref="O364">IFERROR(AVERAGE(IF((ContinuousStatsTable[GroupByKey]=ContinuousStatsTable[[#This Row],[GroupByKey]]),(ContinuousStatsTable[GroupByKey]=ContinuousStatsTable[[#This Row],[GroupByKey]])*ContinuousStatsTable[Average])),0)</f>
        <v>1</v>
      </c>
      <c r="P364" cm="1">
        <f t="array" ref="P364">IFERROR(_xlfn.STDEV.S(IF((ContinuousStatsTable[GroupByKey]=ContinuousStatsTable[[#This Row],[GroupByKey]]),(ContinuousStatsTable[GroupByKey]=ContinuousStatsTable[[#This Row],[GroupByKey]])*ContinuousStatsTable[Average])),0)</f>
        <v>0</v>
      </c>
      <c r="Q364" cm="1">
        <f t="array" ref="Q364">MAX(IF((ProjectInfoTable[ProjectName]=ContinuousStatsTable[[#This Row],[ProjectName]]),(ProjectInfoTable[ProjectName]=ContinuousStatsTable[[#This Row],[ProjectName]])*ProjectInfoTable[ConfidenceInterval]))</f>
        <v>0.95</v>
      </c>
      <c r="R3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4" cm="1">
        <f t="array" ref="S364">MIN(IF((ContinuousStatsTable[GroupByKey]=ContinuousStatsTable[[#This Row],[GroupByKey]]),(ContinuousStatsTable[GroupByKey]=ContinuousStatsTable[[#This Row],[GroupByKey]])*ContinuousStatsTable[Average]))</f>
        <v>1</v>
      </c>
      <c r="T364" cm="1">
        <f t="array" ref="T364">MAX(IF((ContinuousStatsTable[GroupByKey]=ContinuousStatsTable[[#This Row],[GroupByKey]]),(ContinuousStatsTable[GroupByKey]=ContinuousStatsTable[[#This Row],[GroupByKey]])*ContinuousStatsTable[Average]))</f>
        <v>1</v>
      </c>
      <c r="U364">
        <f>IF((ContinuousStatsTable[[#This Row],[RepsRequested]]&gt;1),ContinuousStatsTable[[#This Row],[HalfWidth]],ContinuousStatsTable[[#This Row],[BatchMeansHalfWidth]])</f>
        <v>0</v>
      </c>
    </row>
    <row r="365" spans="1:21" x14ac:dyDescent="0.2">
      <c r="A365" t="s">
        <v>67</v>
      </c>
      <c r="B365" t="s">
        <v>70</v>
      </c>
      <c r="C365">
        <v>16</v>
      </c>
      <c r="D365" t="s">
        <v>71</v>
      </c>
      <c r="E365" t="s">
        <v>98</v>
      </c>
      <c r="F365" t="s">
        <v>73</v>
      </c>
      <c r="G365">
        <v>2.4452523360118199E-2</v>
      </c>
      <c r="H365">
        <v>2E+20</v>
      </c>
      <c r="I365">
        <v>0</v>
      </c>
      <c r="J365">
        <v>2</v>
      </c>
      <c r="K365">
        <v>0</v>
      </c>
      <c r="L365">
        <v>0</v>
      </c>
      <c r="M365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365" cm="1">
        <f t="array" ref="N365">MAX(IF((ProjectInfoTable[ProjectName]=ContinuousStatsTable[[#This Row],[ProjectName]]),(ProjectInfoTable[ProjectName]=ContinuousStatsTable[[#This Row],[ProjectName]])*ProjectInfoTable[NumberOfReplications]))</f>
        <v>30</v>
      </c>
      <c r="O365" cm="1">
        <f t="array" ref="O365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365" cm="1">
        <f t="array" ref="P365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365" cm="1">
        <f t="array" ref="Q365">MAX(IF((ProjectInfoTable[ProjectName]=ContinuousStatsTable[[#This Row],[ProjectName]]),(ProjectInfoTable[ProjectName]=ContinuousStatsTable[[#This Row],[ProjectName]])*ProjectInfoTable[ConfidenceInterval]))</f>
        <v>0.95</v>
      </c>
      <c r="R3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365" cm="1">
        <f t="array" ref="S365">MIN(IF((ContinuousStatsTable[GroupByKey]=ContinuousStatsTable[[#This Row],[GroupByKey]]),(ContinuousStatsTable[GroupByKey]=ContinuousStatsTable[[#This Row],[GroupByKey]])*ContinuousStatsTable[Average]))</f>
        <v>1.9664517785186901E-2</v>
      </c>
      <c r="T365" cm="1">
        <f t="array" ref="T365">MAX(IF((ContinuousStatsTable[GroupByKey]=ContinuousStatsTable[[#This Row],[GroupByKey]]),(ContinuousStatsTable[GroupByKey]=ContinuousStatsTable[[#This Row],[GroupByKey]])*ContinuousStatsTable[Average]))</f>
        <v>3.9738966906982302E-2</v>
      </c>
      <c r="U365">
        <f>IF((ContinuousStatsTable[[#This Row],[RepsRequested]]&gt;1),ContinuousStatsTable[[#This Row],[HalfWidth]],ContinuousStatsTable[[#This Row],[BatchMeansHalfWidth]])</f>
        <v>1.6627262085570247E-3</v>
      </c>
    </row>
    <row r="366" spans="1:21" x14ac:dyDescent="0.2">
      <c r="A366" t="s">
        <v>67</v>
      </c>
      <c r="B366" t="s">
        <v>70</v>
      </c>
      <c r="C366">
        <v>16</v>
      </c>
      <c r="D366" t="s">
        <v>99</v>
      </c>
      <c r="E366" t="s">
        <v>94</v>
      </c>
      <c r="F366" t="s">
        <v>95</v>
      </c>
      <c r="G366">
        <v>0.62025742082706403</v>
      </c>
      <c r="H366">
        <v>4.2186149667423199E-2</v>
      </c>
      <c r="I366">
        <v>0</v>
      </c>
      <c r="J366">
        <v>1</v>
      </c>
      <c r="K366">
        <v>1</v>
      </c>
      <c r="L366">
        <v>0</v>
      </c>
      <c r="M366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366" cm="1">
        <f t="array" ref="N366">MAX(IF((ProjectInfoTable[ProjectName]=ContinuousStatsTable[[#This Row],[ProjectName]]),(ProjectInfoTable[ProjectName]=ContinuousStatsTable[[#This Row],[ProjectName]])*ProjectInfoTable[NumberOfReplications]))</f>
        <v>30</v>
      </c>
      <c r="O366" cm="1">
        <f t="array" ref="O366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366" cm="1">
        <f t="array" ref="P366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366" cm="1">
        <f t="array" ref="Q366">MAX(IF((ProjectInfoTable[ProjectName]=ContinuousStatsTable[[#This Row],[ProjectName]]),(ProjectInfoTable[ProjectName]=ContinuousStatsTable[[#This Row],[ProjectName]])*ProjectInfoTable[ConfidenceInterval]))</f>
        <v>0.95</v>
      </c>
      <c r="R3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366" cm="1">
        <f t="array" ref="S366">MIN(IF((ContinuousStatsTable[GroupByKey]=ContinuousStatsTable[[#This Row],[GroupByKey]]),(ContinuousStatsTable[GroupByKey]=ContinuousStatsTable[[#This Row],[GroupByKey]])*ContinuousStatsTable[Average]))</f>
        <v>0.58256422876290004</v>
      </c>
      <c r="T366" cm="1">
        <f t="array" ref="T366">MAX(IF((ContinuousStatsTable[GroupByKey]=ContinuousStatsTable[[#This Row],[GroupByKey]]),(ContinuousStatsTable[GroupByKey]=ContinuousStatsTable[[#This Row],[GroupByKey]])*ContinuousStatsTable[Average]))</f>
        <v>0.68643238055161704</v>
      </c>
      <c r="U366">
        <f>IF((ContinuousStatsTable[[#This Row],[RepsRequested]]&gt;1),ContinuousStatsTable[[#This Row],[HalfWidth]],ContinuousStatsTable[[#This Row],[BatchMeansHalfWidth]])</f>
        <v>9.8490003000806757E-3</v>
      </c>
    </row>
    <row r="367" spans="1:21" x14ac:dyDescent="0.2">
      <c r="A367" t="s">
        <v>67</v>
      </c>
      <c r="B367" t="s">
        <v>70</v>
      </c>
      <c r="C367">
        <v>16</v>
      </c>
      <c r="D367" t="s">
        <v>99</v>
      </c>
      <c r="E367" t="s">
        <v>96</v>
      </c>
      <c r="F367" t="s">
        <v>95</v>
      </c>
      <c r="G367">
        <v>1.2405148416541301</v>
      </c>
      <c r="H367">
        <v>8.4372299334846398E-2</v>
      </c>
      <c r="I367">
        <v>0</v>
      </c>
      <c r="J367">
        <v>2</v>
      </c>
      <c r="K367">
        <v>2</v>
      </c>
      <c r="L367">
        <v>0</v>
      </c>
      <c r="M367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367" cm="1">
        <f t="array" ref="N367">MAX(IF((ProjectInfoTable[ProjectName]=ContinuousStatsTable[[#This Row],[ProjectName]]),(ProjectInfoTable[ProjectName]=ContinuousStatsTable[[#This Row],[ProjectName]])*ProjectInfoTable[NumberOfReplications]))</f>
        <v>30</v>
      </c>
      <c r="O367" cm="1">
        <f t="array" ref="O367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367" cm="1">
        <f t="array" ref="P367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367" cm="1">
        <f t="array" ref="Q367">MAX(IF((ProjectInfoTable[ProjectName]=ContinuousStatsTable[[#This Row],[ProjectName]]),(ProjectInfoTable[ProjectName]=ContinuousStatsTable[[#This Row],[ProjectName]])*ProjectInfoTable[ConfidenceInterval]))</f>
        <v>0.95</v>
      </c>
      <c r="R3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367" cm="1">
        <f t="array" ref="S367">MIN(IF((ContinuousStatsTable[GroupByKey]=ContinuousStatsTable[[#This Row],[GroupByKey]]),(ContinuousStatsTable[GroupByKey]=ContinuousStatsTable[[#This Row],[GroupByKey]])*ContinuousStatsTable[Average]))</f>
        <v>1.1651284575258001</v>
      </c>
      <c r="T367" cm="1">
        <f t="array" ref="T367">MAX(IF((ContinuousStatsTable[GroupByKey]=ContinuousStatsTable[[#This Row],[GroupByKey]]),(ContinuousStatsTable[GroupByKey]=ContinuousStatsTable[[#This Row],[GroupByKey]])*ContinuousStatsTable[Average]))</f>
        <v>1.3728647611032301</v>
      </c>
      <c r="U367">
        <f>IF((ContinuousStatsTable[[#This Row],[RepsRequested]]&gt;1),ContinuousStatsTable[[#This Row],[HalfWidth]],ContinuousStatsTable[[#This Row],[BatchMeansHalfWidth]])</f>
        <v>1.9698000600160998E-2</v>
      </c>
    </row>
    <row r="368" spans="1:21" x14ac:dyDescent="0.2">
      <c r="A368" t="s">
        <v>67</v>
      </c>
      <c r="B368" t="s">
        <v>70</v>
      </c>
      <c r="C368">
        <v>16</v>
      </c>
      <c r="D368" t="s">
        <v>99</v>
      </c>
      <c r="E368" t="s">
        <v>97</v>
      </c>
      <c r="F368" t="s">
        <v>95</v>
      </c>
      <c r="G368">
        <v>2</v>
      </c>
      <c r="H368">
        <v>2E+20</v>
      </c>
      <c r="I368">
        <v>2</v>
      </c>
      <c r="J368">
        <v>2</v>
      </c>
      <c r="K368">
        <v>2</v>
      </c>
      <c r="L368">
        <v>0</v>
      </c>
      <c r="M368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368" cm="1">
        <f t="array" ref="N368">MAX(IF((ProjectInfoTable[ProjectName]=ContinuousStatsTable[[#This Row],[ProjectName]]),(ProjectInfoTable[ProjectName]=ContinuousStatsTable[[#This Row],[ProjectName]])*ProjectInfoTable[NumberOfReplications]))</f>
        <v>30</v>
      </c>
      <c r="O368" cm="1">
        <f t="array" ref="O368">IFERROR(AVERAGE(IF((ContinuousStatsTable[GroupByKey]=ContinuousStatsTable[[#This Row],[GroupByKey]]),(ContinuousStatsTable[GroupByKey]=ContinuousStatsTable[[#This Row],[GroupByKey]])*ContinuousStatsTable[Average])),0)</f>
        <v>2</v>
      </c>
      <c r="P368" cm="1">
        <f t="array" ref="P368">IFERROR(_xlfn.STDEV.S(IF((ContinuousStatsTable[GroupByKey]=ContinuousStatsTable[[#This Row],[GroupByKey]]),(ContinuousStatsTable[GroupByKey]=ContinuousStatsTable[[#This Row],[GroupByKey]])*ContinuousStatsTable[Average])),0)</f>
        <v>0</v>
      </c>
      <c r="Q368" cm="1">
        <f t="array" ref="Q368">MAX(IF((ProjectInfoTable[ProjectName]=ContinuousStatsTable[[#This Row],[ProjectName]]),(ProjectInfoTable[ProjectName]=ContinuousStatsTable[[#This Row],[ProjectName]])*ProjectInfoTable[ConfidenceInterval]))</f>
        <v>0.95</v>
      </c>
      <c r="R3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8" cm="1">
        <f t="array" ref="S368">MIN(IF((ContinuousStatsTable[GroupByKey]=ContinuousStatsTable[[#This Row],[GroupByKey]]),(ContinuousStatsTable[GroupByKey]=ContinuousStatsTable[[#This Row],[GroupByKey]])*ContinuousStatsTable[Average]))</f>
        <v>2</v>
      </c>
      <c r="T368" cm="1">
        <f t="array" ref="T368">MAX(IF((ContinuousStatsTable[GroupByKey]=ContinuousStatsTable[[#This Row],[GroupByKey]]),(ContinuousStatsTable[GroupByKey]=ContinuousStatsTable[[#This Row],[GroupByKey]])*ContinuousStatsTable[Average]))</f>
        <v>2</v>
      </c>
      <c r="U368">
        <f>IF((ContinuousStatsTable[[#This Row],[RepsRequested]]&gt;1),ContinuousStatsTable[[#This Row],[HalfWidth]],ContinuousStatsTable[[#This Row],[BatchMeansHalfWidth]])</f>
        <v>0</v>
      </c>
    </row>
    <row r="369" spans="1:21" x14ac:dyDescent="0.2">
      <c r="A369" t="s">
        <v>67</v>
      </c>
      <c r="B369" t="s">
        <v>70</v>
      </c>
      <c r="C369">
        <v>16</v>
      </c>
      <c r="D369" t="s">
        <v>74</v>
      </c>
      <c r="E369" t="s">
        <v>100</v>
      </c>
      <c r="F369" t="s">
        <v>76</v>
      </c>
      <c r="G369">
        <v>15.1415986067004</v>
      </c>
      <c r="H369">
        <v>0.91213977747224895</v>
      </c>
      <c r="I369">
        <v>3</v>
      </c>
      <c r="J369">
        <v>32</v>
      </c>
      <c r="K369">
        <v>13</v>
      </c>
      <c r="L369">
        <v>0</v>
      </c>
      <c r="M369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69" cm="1">
        <f t="array" ref="N369">MAX(IF((ProjectInfoTable[ProjectName]=ContinuousStatsTable[[#This Row],[ProjectName]]),(ProjectInfoTable[ProjectName]=ContinuousStatsTable[[#This Row],[ProjectName]])*ProjectInfoTable[NumberOfReplications]))</f>
        <v>30</v>
      </c>
      <c r="O369" cm="1">
        <f t="array" ref="O369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369" cm="1">
        <f t="array" ref="P369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369" cm="1">
        <f t="array" ref="Q369">MAX(IF((ProjectInfoTable[ProjectName]=ContinuousStatsTable[[#This Row],[ProjectName]]),(ProjectInfoTable[ProjectName]=ContinuousStatsTable[[#This Row],[ProjectName]])*ProjectInfoTable[ConfidenceInterval]))</f>
        <v>0.95</v>
      </c>
      <c r="R3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369" cm="1">
        <f t="array" ref="S369">MIN(IF((ContinuousStatsTable[GroupByKey]=ContinuousStatsTable[[#This Row],[GroupByKey]]),(ContinuousStatsTable[GroupByKey]=ContinuousStatsTable[[#This Row],[GroupByKey]])*ContinuousStatsTable[Average]))</f>
        <v>14.4112589759764</v>
      </c>
      <c r="T369" cm="1">
        <f t="array" ref="T369">MAX(IF((ContinuousStatsTable[GroupByKey]=ContinuousStatsTable[[#This Row],[GroupByKey]]),(ContinuousStatsTable[GroupByKey]=ContinuousStatsTable[[#This Row],[GroupByKey]])*ContinuousStatsTable[Average]))</f>
        <v>16.972707717517899</v>
      </c>
      <c r="U369">
        <f>IF((ContinuousStatsTable[[#This Row],[RepsRequested]]&gt;1),ContinuousStatsTable[[#This Row],[HalfWidth]],ContinuousStatsTable[[#This Row],[BatchMeansHalfWidth]])</f>
        <v>0.25870181881670146</v>
      </c>
    </row>
    <row r="370" spans="1:21" x14ac:dyDescent="0.2">
      <c r="A370" t="s">
        <v>67</v>
      </c>
      <c r="B370" t="s">
        <v>70</v>
      </c>
      <c r="C370">
        <v>16</v>
      </c>
      <c r="D370" t="s">
        <v>82</v>
      </c>
      <c r="E370" t="s">
        <v>98</v>
      </c>
      <c r="F370" t="s">
        <v>73</v>
      </c>
      <c r="G370">
        <v>0.126885644993014</v>
      </c>
      <c r="H370">
        <v>2E+20</v>
      </c>
      <c r="I370">
        <v>0</v>
      </c>
      <c r="J370">
        <v>4</v>
      </c>
      <c r="K370">
        <v>0</v>
      </c>
      <c r="L370">
        <v>0</v>
      </c>
      <c r="M370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370" cm="1">
        <f t="array" ref="N370">MAX(IF((ProjectInfoTable[ProjectName]=ContinuousStatsTable[[#This Row],[ProjectName]]),(ProjectInfoTable[ProjectName]=ContinuousStatsTable[[#This Row],[ProjectName]])*ProjectInfoTable[NumberOfReplications]))</f>
        <v>30</v>
      </c>
      <c r="O370" cm="1">
        <f t="array" ref="O370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370" cm="1">
        <f t="array" ref="P370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370" cm="1">
        <f t="array" ref="Q370">MAX(IF((ProjectInfoTable[ProjectName]=ContinuousStatsTable[[#This Row],[ProjectName]]),(ProjectInfoTable[ProjectName]=ContinuousStatsTable[[#This Row],[ProjectName]])*ProjectInfoTable[ConfidenceInterval]))</f>
        <v>0.95</v>
      </c>
      <c r="R3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370" cm="1">
        <f t="array" ref="S370">MIN(IF((ContinuousStatsTable[GroupByKey]=ContinuousStatsTable[[#This Row],[GroupByKey]]),(ContinuousStatsTable[GroupByKey]=ContinuousStatsTable[[#This Row],[GroupByKey]])*ContinuousStatsTable[Average]))</f>
        <v>7.4406608295854798E-2</v>
      </c>
      <c r="T370" cm="1">
        <f t="array" ref="T370">MAX(IF((ContinuousStatsTable[GroupByKey]=ContinuousStatsTable[[#This Row],[GroupByKey]]),(ContinuousStatsTable[GroupByKey]=ContinuousStatsTable[[#This Row],[GroupByKey]])*ContinuousStatsTable[Average]))</f>
        <v>0.29874320707386398</v>
      </c>
      <c r="U370">
        <f>IF((ContinuousStatsTable[[#This Row],[RepsRequested]]&gt;1),ContinuousStatsTable[[#This Row],[HalfWidth]],ContinuousStatsTable[[#This Row],[BatchMeansHalfWidth]])</f>
        <v>2.0058204231149332E-2</v>
      </c>
    </row>
    <row r="371" spans="1:21" x14ac:dyDescent="0.2">
      <c r="A371" t="s">
        <v>67</v>
      </c>
      <c r="B371" t="s">
        <v>70</v>
      </c>
      <c r="C371">
        <v>16</v>
      </c>
      <c r="D371" t="s">
        <v>101</v>
      </c>
      <c r="E371" t="s">
        <v>94</v>
      </c>
      <c r="F371" t="s">
        <v>95</v>
      </c>
      <c r="G371">
        <v>1.8201838973989899E-3</v>
      </c>
      <c r="H371">
        <v>1.9956094204802999E-4</v>
      </c>
      <c r="I371">
        <v>0</v>
      </c>
      <c r="J371">
        <v>3.7499999999999999E-2</v>
      </c>
      <c r="K371">
        <v>1.2500000000000001E-2</v>
      </c>
      <c r="L371">
        <v>0</v>
      </c>
      <c r="M371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371" cm="1">
        <f t="array" ref="N371">MAX(IF((ProjectInfoTable[ProjectName]=ContinuousStatsTable[[#This Row],[ProjectName]]),(ProjectInfoTable[ProjectName]=ContinuousStatsTable[[#This Row],[ProjectName]])*ProjectInfoTable[NumberOfReplications]))</f>
        <v>30</v>
      </c>
      <c r="O371" cm="1">
        <f t="array" ref="O371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371" cm="1">
        <f t="array" ref="P371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371" cm="1">
        <f t="array" ref="Q371">MAX(IF((ProjectInfoTable[ProjectName]=ContinuousStatsTable[[#This Row],[ProjectName]]),(ProjectInfoTable[ProjectName]=ContinuousStatsTable[[#This Row],[ProjectName]])*ProjectInfoTable[ConfidenceInterval]))</f>
        <v>0.95</v>
      </c>
      <c r="R3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371" cm="1">
        <f t="array" ref="S371">MIN(IF((ContinuousStatsTable[GroupByKey]=ContinuousStatsTable[[#This Row],[GroupByKey]]),(ContinuousStatsTable[GroupByKey]=ContinuousStatsTable[[#This Row],[GroupByKey]])*ContinuousStatsTable[Average]))</f>
        <v>1.70504385964912E-3</v>
      </c>
      <c r="T371" cm="1">
        <f t="array" ref="T371">MAX(IF((ContinuousStatsTable[GroupByKey]=ContinuousStatsTable[[#This Row],[GroupByKey]]),(ContinuousStatsTable[GroupByKey]=ContinuousStatsTable[[#This Row],[GroupByKey]])*ContinuousStatsTable[Average]))</f>
        <v>2.17031677925951E-3</v>
      </c>
      <c r="U371">
        <f>IF((ContinuousStatsTable[[#This Row],[RepsRequested]]&gt;1),ContinuousStatsTable[[#This Row],[HalfWidth]],ContinuousStatsTable[[#This Row],[BatchMeansHalfWidth]])</f>
        <v>4.4865881583116605E-5</v>
      </c>
    </row>
    <row r="372" spans="1:21" x14ac:dyDescent="0.2">
      <c r="A372" t="s">
        <v>67</v>
      </c>
      <c r="B372" t="s">
        <v>70</v>
      </c>
      <c r="C372">
        <v>16</v>
      </c>
      <c r="D372" t="s">
        <v>101</v>
      </c>
      <c r="E372" t="s">
        <v>96</v>
      </c>
      <c r="F372" t="s">
        <v>95</v>
      </c>
      <c r="G372">
        <v>0.14561471179191901</v>
      </c>
      <c r="H372">
        <v>1.5964875363842401E-2</v>
      </c>
      <c r="I372">
        <v>0</v>
      </c>
      <c r="J372">
        <v>3</v>
      </c>
      <c r="K372">
        <v>1</v>
      </c>
      <c r="L372">
        <v>0</v>
      </c>
      <c r="M372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372" cm="1">
        <f t="array" ref="N372">MAX(IF((ProjectInfoTable[ProjectName]=ContinuousStatsTable[[#This Row],[ProjectName]]),(ProjectInfoTable[ProjectName]=ContinuousStatsTable[[#This Row],[ProjectName]])*ProjectInfoTable[NumberOfReplications]))</f>
        <v>30</v>
      </c>
      <c r="O372" cm="1">
        <f t="array" ref="O372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372" cm="1">
        <f t="array" ref="P372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372" cm="1">
        <f t="array" ref="Q372">MAX(IF((ProjectInfoTable[ProjectName]=ContinuousStatsTable[[#This Row],[ProjectName]]),(ProjectInfoTable[ProjectName]=ContinuousStatsTable[[#This Row],[ProjectName]])*ProjectInfoTable[ConfidenceInterval]))</f>
        <v>0.95</v>
      </c>
      <c r="R3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372" cm="1">
        <f t="array" ref="S372">MIN(IF((ContinuousStatsTable[GroupByKey]=ContinuousStatsTable[[#This Row],[GroupByKey]]),(ContinuousStatsTable[GroupByKey]=ContinuousStatsTable[[#This Row],[GroupByKey]])*ContinuousStatsTable[Average]))</f>
        <v>0.13640350877193</v>
      </c>
      <c r="T372" cm="1">
        <f t="array" ref="T372">MAX(IF((ContinuousStatsTable[GroupByKey]=ContinuousStatsTable[[#This Row],[GroupByKey]]),(ContinuousStatsTable[GroupByKey]=ContinuousStatsTable[[#This Row],[GroupByKey]])*ContinuousStatsTable[Average]))</f>
        <v>0.17362534234076099</v>
      </c>
      <c r="U372">
        <f>IF((ContinuousStatsTable[[#This Row],[RepsRequested]]&gt;1),ContinuousStatsTable[[#This Row],[HalfWidth]],ContinuousStatsTable[[#This Row],[BatchMeansHalfWidth]])</f>
        <v>3.5892705266493139E-3</v>
      </c>
    </row>
    <row r="373" spans="1:21" x14ac:dyDescent="0.2">
      <c r="A373" t="s">
        <v>67</v>
      </c>
      <c r="B373" t="s">
        <v>70</v>
      </c>
      <c r="C373">
        <v>16</v>
      </c>
      <c r="D373" t="s">
        <v>101</v>
      </c>
      <c r="E373" t="s">
        <v>97</v>
      </c>
      <c r="F373" t="s">
        <v>95</v>
      </c>
      <c r="G373">
        <v>80</v>
      </c>
      <c r="H373">
        <v>2E+20</v>
      </c>
      <c r="I373">
        <v>80</v>
      </c>
      <c r="J373">
        <v>80</v>
      </c>
      <c r="K373">
        <v>80</v>
      </c>
      <c r="L373">
        <v>0</v>
      </c>
      <c r="M373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373" cm="1">
        <f t="array" ref="N373">MAX(IF((ProjectInfoTable[ProjectName]=ContinuousStatsTable[[#This Row],[ProjectName]]),(ProjectInfoTable[ProjectName]=ContinuousStatsTable[[#This Row],[ProjectName]])*ProjectInfoTable[NumberOfReplications]))</f>
        <v>30</v>
      </c>
      <c r="O373" cm="1">
        <f t="array" ref="O373">IFERROR(AVERAGE(IF((ContinuousStatsTable[GroupByKey]=ContinuousStatsTable[[#This Row],[GroupByKey]]),(ContinuousStatsTable[GroupByKey]=ContinuousStatsTable[[#This Row],[GroupByKey]])*ContinuousStatsTable[Average])),0)</f>
        <v>80</v>
      </c>
      <c r="P373" cm="1">
        <f t="array" ref="P373">IFERROR(_xlfn.STDEV.S(IF((ContinuousStatsTable[GroupByKey]=ContinuousStatsTable[[#This Row],[GroupByKey]]),(ContinuousStatsTable[GroupByKey]=ContinuousStatsTable[[#This Row],[GroupByKey]])*ContinuousStatsTable[Average])),0)</f>
        <v>0</v>
      </c>
      <c r="Q373" cm="1">
        <f t="array" ref="Q373">MAX(IF((ProjectInfoTable[ProjectName]=ContinuousStatsTable[[#This Row],[ProjectName]]),(ProjectInfoTable[ProjectName]=ContinuousStatsTable[[#This Row],[ProjectName]])*ProjectInfoTable[ConfidenceInterval]))</f>
        <v>0.95</v>
      </c>
      <c r="R3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3" cm="1">
        <f t="array" ref="S373">MIN(IF((ContinuousStatsTable[GroupByKey]=ContinuousStatsTable[[#This Row],[GroupByKey]]),(ContinuousStatsTable[GroupByKey]=ContinuousStatsTable[[#This Row],[GroupByKey]])*ContinuousStatsTable[Average]))</f>
        <v>80</v>
      </c>
      <c r="T373" cm="1">
        <f t="array" ref="T373">MAX(IF((ContinuousStatsTable[GroupByKey]=ContinuousStatsTable[[#This Row],[GroupByKey]]),(ContinuousStatsTable[GroupByKey]=ContinuousStatsTable[[#This Row],[GroupByKey]])*ContinuousStatsTable[Average]))</f>
        <v>80</v>
      </c>
      <c r="U373">
        <f>IF((ContinuousStatsTable[[#This Row],[RepsRequested]]&gt;1),ContinuousStatsTable[[#This Row],[HalfWidth]],ContinuousStatsTable[[#This Row],[BatchMeansHalfWidth]])</f>
        <v>0</v>
      </c>
    </row>
    <row r="374" spans="1:21" x14ac:dyDescent="0.2">
      <c r="A374" t="s">
        <v>67</v>
      </c>
      <c r="B374" t="s">
        <v>70</v>
      </c>
      <c r="C374">
        <v>16</v>
      </c>
      <c r="D374" t="s">
        <v>86</v>
      </c>
      <c r="E374" t="s">
        <v>98</v>
      </c>
      <c r="F374" t="s">
        <v>73</v>
      </c>
      <c r="G374">
        <v>0</v>
      </c>
      <c r="H374">
        <v>2E+20</v>
      </c>
      <c r="I374">
        <v>0</v>
      </c>
      <c r="J374">
        <v>0</v>
      </c>
      <c r="K374">
        <v>0</v>
      </c>
      <c r="L374">
        <v>0</v>
      </c>
      <c r="M374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374" cm="1">
        <f t="array" ref="N374">MAX(IF((ProjectInfoTable[ProjectName]=ContinuousStatsTable[[#This Row],[ProjectName]]),(ProjectInfoTable[ProjectName]=ContinuousStatsTable[[#This Row],[ProjectName]])*ProjectInfoTable[NumberOfReplications]))</f>
        <v>30</v>
      </c>
      <c r="O374" cm="1">
        <f t="array" ref="O374">IFERROR(AVERAGE(IF((ContinuousStatsTable[GroupByKey]=ContinuousStatsTable[[#This Row],[GroupByKey]]),(ContinuousStatsTable[GroupByKey]=ContinuousStatsTable[[#This Row],[GroupByKey]])*ContinuousStatsTable[Average])),0)</f>
        <v>0</v>
      </c>
      <c r="P374" cm="1">
        <f t="array" ref="P374">IFERROR(_xlfn.STDEV.S(IF((ContinuousStatsTable[GroupByKey]=ContinuousStatsTable[[#This Row],[GroupByKey]]),(ContinuousStatsTable[GroupByKey]=ContinuousStatsTable[[#This Row],[GroupByKey]])*ContinuousStatsTable[Average])),0)</f>
        <v>0</v>
      </c>
      <c r="Q374" cm="1">
        <f t="array" ref="Q374">MAX(IF((ProjectInfoTable[ProjectName]=ContinuousStatsTable[[#This Row],[ProjectName]]),(ProjectInfoTable[ProjectName]=ContinuousStatsTable[[#This Row],[ProjectName]])*ProjectInfoTable[ConfidenceInterval]))</f>
        <v>0.95</v>
      </c>
      <c r="R3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4" cm="1">
        <f t="array" ref="S374">MIN(IF((ContinuousStatsTable[GroupByKey]=ContinuousStatsTable[[#This Row],[GroupByKey]]),(ContinuousStatsTable[GroupByKey]=ContinuousStatsTable[[#This Row],[GroupByKey]])*ContinuousStatsTable[Average]))</f>
        <v>0</v>
      </c>
      <c r="T374" cm="1">
        <f t="array" ref="T374">MAX(IF((ContinuousStatsTable[GroupByKey]=ContinuousStatsTable[[#This Row],[GroupByKey]]),(ContinuousStatsTable[GroupByKey]=ContinuousStatsTable[[#This Row],[GroupByKey]])*ContinuousStatsTable[Average]))</f>
        <v>0</v>
      </c>
      <c r="U374">
        <f>IF((ContinuousStatsTable[[#This Row],[RepsRequested]]&gt;1),ContinuousStatsTable[[#This Row],[HalfWidth]],ContinuousStatsTable[[#This Row],[BatchMeansHalfWidth]])</f>
        <v>0</v>
      </c>
    </row>
    <row r="375" spans="1:21" x14ac:dyDescent="0.2">
      <c r="A375" t="s">
        <v>67</v>
      </c>
      <c r="B375" t="s">
        <v>70</v>
      </c>
      <c r="C375">
        <v>16</v>
      </c>
      <c r="D375" t="s">
        <v>87</v>
      </c>
      <c r="E375" t="s">
        <v>98</v>
      </c>
      <c r="F375" t="s">
        <v>73</v>
      </c>
      <c r="G375">
        <v>0</v>
      </c>
      <c r="H375">
        <v>2E+20</v>
      </c>
      <c r="I375">
        <v>0</v>
      </c>
      <c r="J375">
        <v>0</v>
      </c>
      <c r="K375">
        <v>0</v>
      </c>
      <c r="L375">
        <v>0</v>
      </c>
      <c r="M375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375" cm="1">
        <f t="array" ref="N375">MAX(IF((ProjectInfoTable[ProjectName]=ContinuousStatsTable[[#This Row],[ProjectName]]),(ProjectInfoTable[ProjectName]=ContinuousStatsTable[[#This Row],[ProjectName]])*ProjectInfoTable[NumberOfReplications]))</f>
        <v>30</v>
      </c>
      <c r="O375" cm="1">
        <f t="array" ref="O375">IFERROR(AVERAGE(IF((ContinuousStatsTable[GroupByKey]=ContinuousStatsTable[[#This Row],[GroupByKey]]),(ContinuousStatsTable[GroupByKey]=ContinuousStatsTable[[#This Row],[GroupByKey]])*ContinuousStatsTable[Average])),0)</f>
        <v>0</v>
      </c>
      <c r="P375" cm="1">
        <f t="array" ref="P375">IFERROR(_xlfn.STDEV.S(IF((ContinuousStatsTable[GroupByKey]=ContinuousStatsTable[[#This Row],[GroupByKey]]),(ContinuousStatsTable[GroupByKey]=ContinuousStatsTable[[#This Row],[GroupByKey]])*ContinuousStatsTable[Average])),0)</f>
        <v>0</v>
      </c>
      <c r="Q375" cm="1">
        <f t="array" ref="Q375">MAX(IF((ProjectInfoTable[ProjectName]=ContinuousStatsTable[[#This Row],[ProjectName]]),(ProjectInfoTable[ProjectName]=ContinuousStatsTable[[#This Row],[ProjectName]])*ProjectInfoTable[ConfidenceInterval]))</f>
        <v>0.95</v>
      </c>
      <c r="R3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5" cm="1">
        <f t="array" ref="S375">MIN(IF((ContinuousStatsTable[GroupByKey]=ContinuousStatsTable[[#This Row],[GroupByKey]]),(ContinuousStatsTable[GroupByKey]=ContinuousStatsTable[[#This Row],[GroupByKey]])*ContinuousStatsTable[Average]))</f>
        <v>0</v>
      </c>
      <c r="T375" cm="1">
        <f t="array" ref="T375">MAX(IF((ContinuousStatsTable[GroupByKey]=ContinuousStatsTable[[#This Row],[GroupByKey]]),(ContinuousStatsTable[GroupByKey]=ContinuousStatsTable[[#This Row],[GroupByKey]])*ContinuousStatsTable[Average]))</f>
        <v>0</v>
      </c>
      <c r="U375">
        <f>IF((ContinuousStatsTable[[#This Row],[RepsRequested]]&gt;1),ContinuousStatsTable[[#This Row],[HalfWidth]],ContinuousStatsTable[[#This Row],[BatchMeansHalfWidth]])</f>
        <v>0</v>
      </c>
    </row>
    <row r="376" spans="1:21" x14ac:dyDescent="0.2">
      <c r="A376" t="s">
        <v>67</v>
      </c>
      <c r="B376" t="s">
        <v>70</v>
      </c>
      <c r="C376">
        <v>16</v>
      </c>
      <c r="D376" t="s">
        <v>88</v>
      </c>
      <c r="E376" t="s">
        <v>98</v>
      </c>
      <c r="F376" t="s">
        <v>73</v>
      </c>
      <c r="G376">
        <v>1.5889769030929</v>
      </c>
      <c r="H376">
        <v>9.60091725974659E-2</v>
      </c>
      <c r="I376">
        <v>0</v>
      </c>
      <c r="J376">
        <v>4</v>
      </c>
      <c r="K376">
        <v>0</v>
      </c>
      <c r="L376">
        <v>0</v>
      </c>
      <c r="M376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376" cm="1">
        <f t="array" ref="N376">MAX(IF((ProjectInfoTable[ProjectName]=ContinuousStatsTable[[#This Row],[ProjectName]]),(ProjectInfoTable[ProjectName]=ContinuousStatsTable[[#This Row],[ProjectName]])*ProjectInfoTable[NumberOfReplications]))</f>
        <v>30</v>
      </c>
      <c r="O376" cm="1">
        <f t="array" ref="O376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376" cm="1">
        <f t="array" ref="P376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376" cm="1">
        <f t="array" ref="Q376">MAX(IF((ProjectInfoTable[ProjectName]=ContinuousStatsTable[[#This Row],[ProjectName]]),(ProjectInfoTable[ProjectName]=ContinuousStatsTable[[#This Row],[ProjectName]])*ProjectInfoTable[ConfidenceInterval]))</f>
        <v>0.95</v>
      </c>
      <c r="R3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376" cm="1">
        <f t="array" ref="S376">MIN(IF((ContinuousStatsTable[GroupByKey]=ContinuousStatsTable[[#This Row],[GroupByKey]]),(ContinuousStatsTable[GroupByKey]=ContinuousStatsTable[[#This Row],[GroupByKey]])*ContinuousStatsTable[Average]))</f>
        <v>1.4062336911317099</v>
      </c>
      <c r="T376" cm="1">
        <f t="array" ref="T376">MAX(IF((ContinuousStatsTable[GroupByKey]=ContinuousStatsTable[[#This Row],[GroupByKey]]),(ContinuousStatsTable[GroupByKey]=ContinuousStatsTable[[#This Row],[GroupByKey]])*ContinuousStatsTable[Average]))</f>
        <v>1.5889769030929</v>
      </c>
      <c r="U376">
        <f>IF((ContinuousStatsTable[[#This Row],[RepsRequested]]&gt;1),ContinuousStatsTable[[#This Row],[HalfWidth]],ContinuousStatsTable[[#This Row],[BatchMeansHalfWidth]])</f>
        <v>1.602866983772662E-2</v>
      </c>
    </row>
    <row r="377" spans="1:21" x14ac:dyDescent="0.2">
      <c r="A377" t="s">
        <v>67</v>
      </c>
      <c r="B377" t="s">
        <v>70</v>
      </c>
      <c r="C377">
        <v>16</v>
      </c>
      <c r="D377" t="s">
        <v>102</v>
      </c>
      <c r="E377" t="s">
        <v>94</v>
      </c>
      <c r="F377" t="s">
        <v>95</v>
      </c>
      <c r="G377">
        <v>4.86842105263158E-3</v>
      </c>
      <c r="H377">
        <v>6.4789762389947997E-4</v>
      </c>
      <c r="I377">
        <v>0</v>
      </c>
      <c r="J377">
        <v>0.1</v>
      </c>
      <c r="K377">
        <v>0</v>
      </c>
      <c r="L377">
        <v>0</v>
      </c>
      <c r="M377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377" cm="1">
        <f t="array" ref="N377">MAX(IF((ProjectInfoTable[ProjectName]=ContinuousStatsTable[[#This Row],[ProjectName]]),(ProjectInfoTable[ProjectName]=ContinuousStatsTable[[#This Row],[ProjectName]])*ProjectInfoTable[NumberOfReplications]))</f>
        <v>30</v>
      </c>
      <c r="O377" cm="1">
        <f t="array" ref="O377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377" cm="1">
        <f t="array" ref="P377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377" cm="1">
        <f t="array" ref="Q377">MAX(IF((ProjectInfoTable[ProjectName]=ContinuousStatsTable[[#This Row],[ProjectName]]),(ProjectInfoTable[ProjectName]=ContinuousStatsTable[[#This Row],[ProjectName]])*ProjectInfoTable[ConfidenceInterval]))</f>
        <v>0.95</v>
      </c>
      <c r="R3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377" cm="1">
        <f t="array" ref="S377">MIN(IF((ContinuousStatsTable[GroupByKey]=ContinuousStatsTable[[#This Row],[GroupByKey]]),(ContinuousStatsTable[GroupByKey]=ContinuousStatsTable[[#This Row],[GroupByKey]])*ContinuousStatsTable[Average]))</f>
        <v>4.4956140350877203E-3</v>
      </c>
      <c r="T377" cm="1">
        <f t="array" ref="T377">MAX(IF((ContinuousStatsTable[GroupByKey]=ContinuousStatsTable[[#This Row],[GroupByKey]]),(ContinuousStatsTable[GroupByKey]=ContinuousStatsTable[[#This Row],[GroupByKey]])*ContinuousStatsTable[Average]))</f>
        <v>5.5482456140350904E-3</v>
      </c>
      <c r="U377">
        <f>IF((ContinuousStatsTable[[#This Row],[RepsRequested]]&gt;1),ContinuousStatsTable[[#This Row],[HalfWidth]],ContinuousStatsTable[[#This Row],[BatchMeansHalfWidth]])</f>
        <v>1.0144486472958472E-4</v>
      </c>
    </row>
    <row r="378" spans="1:21" x14ac:dyDescent="0.2">
      <c r="A378" t="s">
        <v>67</v>
      </c>
      <c r="B378" t="s">
        <v>70</v>
      </c>
      <c r="C378">
        <v>16</v>
      </c>
      <c r="D378" t="s">
        <v>102</v>
      </c>
      <c r="E378" t="s">
        <v>96</v>
      </c>
      <c r="F378" t="s">
        <v>95</v>
      </c>
      <c r="G378">
        <v>9.7368421052631604E-2</v>
      </c>
      <c r="H378">
        <v>1.2957952477989599E-2</v>
      </c>
      <c r="I378">
        <v>0</v>
      </c>
      <c r="J378">
        <v>2</v>
      </c>
      <c r="K378">
        <v>0</v>
      </c>
      <c r="L378">
        <v>0</v>
      </c>
      <c r="M378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378" cm="1">
        <f t="array" ref="N378">MAX(IF((ProjectInfoTable[ProjectName]=ContinuousStatsTable[[#This Row],[ProjectName]]),(ProjectInfoTable[ProjectName]=ContinuousStatsTable[[#This Row],[ProjectName]])*ProjectInfoTable[NumberOfReplications]))</f>
        <v>30</v>
      </c>
      <c r="O378" cm="1">
        <f t="array" ref="O378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378" cm="1">
        <f t="array" ref="P378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378" cm="1">
        <f t="array" ref="Q378">MAX(IF((ProjectInfoTable[ProjectName]=ContinuousStatsTable[[#This Row],[ProjectName]]),(ProjectInfoTable[ProjectName]=ContinuousStatsTable[[#This Row],[ProjectName]])*ProjectInfoTable[ConfidenceInterval]))</f>
        <v>0.95</v>
      </c>
      <c r="R3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378" cm="1">
        <f t="array" ref="S378">MIN(IF((ContinuousStatsTable[GroupByKey]=ContinuousStatsTable[[#This Row],[GroupByKey]]),(ContinuousStatsTable[GroupByKey]=ContinuousStatsTable[[#This Row],[GroupByKey]])*ContinuousStatsTable[Average]))</f>
        <v>8.9912280701754305E-2</v>
      </c>
      <c r="T378" cm="1">
        <f t="array" ref="T378">MAX(IF((ContinuousStatsTable[GroupByKey]=ContinuousStatsTable[[#This Row],[GroupByKey]]),(ContinuousStatsTable[GroupByKey]=ContinuousStatsTable[[#This Row],[GroupByKey]])*ContinuousStatsTable[Average]))</f>
        <v>0.110964912280702</v>
      </c>
      <c r="U378">
        <f>IF((ContinuousStatsTable[[#This Row],[RepsRequested]]&gt;1),ContinuousStatsTable[[#This Row],[HalfWidth]],ContinuousStatsTable[[#This Row],[BatchMeansHalfWidth]])</f>
        <v>2.0288972945916956E-3</v>
      </c>
    </row>
    <row r="379" spans="1:21" x14ac:dyDescent="0.2">
      <c r="A379" t="s">
        <v>67</v>
      </c>
      <c r="B379" t="s">
        <v>70</v>
      </c>
      <c r="C379">
        <v>16</v>
      </c>
      <c r="D379" t="s">
        <v>102</v>
      </c>
      <c r="E379" t="s">
        <v>97</v>
      </c>
      <c r="F379" t="s">
        <v>95</v>
      </c>
      <c r="G379">
        <v>20</v>
      </c>
      <c r="H379">
        <v>2E+20</v>
      </c>
      <c r="I379">
        <v>20</v>
      </c>
      <c r="J379">
        <v>20</v>
      </c>
      <c r="K379">
        <v>20</v>
      </c>
      <c r="L379">
        <v>0</v>
      </c>
      <c r="M379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379" cm="1">
        <f t="array" ref="N379">MAX(IF((ProjectInfoTable[ProjectName]=ContinuousStatsTable[[#This Row],[ProjectName]]),(ProjectInfoTable[ProjectName]=ContinuousStatsTable[[#This Row],[ProjectName]])*ProjectInfoTable[NumberOfReplications]))</f>
        <v>30</v>
      </c>
      <c r="O379" cm="1">
        <f t="array" ref="O379">IFERROR(AVERAGE(IF((ContinuousStatsTable[GroupByKey]=ContinuousStatsTable[[#This Row],[GroupByKey]]),(ContinuousStatsTable[GroupByKey]=ContinuousStatsTable[[#This Row],[GroupByKey]])*ContinuousStatsTable[Average])),0)</f>
        <v>20</v>
      </c>
      <c r="P379" cm="1">
        <f t="array" ref="P379">IFERROR(_xlfn.STDEV.S(IF((ContinuousStatsTable[GroupByKey]=ContinuousStatsTable[[#This Row],[GroupByKey]]),(ContinuousStatsTable[GroupByKey]=ContinuousStatsTable[[#This Row],[GroupByKey]])*ContinuousStatsTable[Average])),0)</f>
        <v>0</v>
      </c>
      <c r="Q379" cm="1">
        <f t="array" ref="Q379">MAX(IF((ProjectInfoTable[ProjectName]=ContinuousStatsTable[[#This Row],[ProjectName]]),(ProjectInfoTable[ProjectName]=ContinuousStatsTable[[#This Row],[ProjectName]])*ProjectInfoTable[ConfidenceInterval]))</f>
        <v>0.95</v>
      </c>
      <c r="R3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79" cm="1">
        <f t="array" ref="S379">MIN(IF((ContinuousStatsTable[GroupByKey]=ContinuousStatsTable[[#This Row],[GroupByKey]]),(ContinuousStatsTable[GroupByKey]=ContinuousStatsTable[[#This Row],[GroupByKey]])*ContinuousStatsTable[Average]))</f>
        <v>20</v>
      </c>
      <c r="T379" cm="1">
        <f t="array" ref="T379">MAX(IF((ContinuousStatsTable[GroupByKey]=ContinuousStatsTable[[#This Row],[GroupByKey]]),(ContinuousStatsTable[GroupByKey]=ContinuousStatsTable[[#This Row],[GroupByKey]])*ContinuousStatsTable[Average]))</f>
        <v>20</v>
      </c>
      <c r="U379">
        <f>IF((ContinuousStatsTable[[#This Row],[RepsRequested]]&gt;1),ContinuousStatsTable[[#This Row],[HalfWidth]],ContinuousStatsTable[[#This Row],[BatchMeansHalfWidth]])</f>
        <v>0</v>
      </c>
    </row>
    <row r="380" spans="1:21" x14ac:dyDescent="0.2">
      <c r="A380" t="s">
        <v>67</v>
      </c>
      <c r="B380" t="s">
        <v>70</v>
      </c>
      <c r="C380">
        <v>16</v>
      </c>
      <c r="D380" t="s">
        <v>90</v>
      </c>
      <c r="E380" t="s">
        <v>98</v>
      </c>
      <c r="F380" t="s">
        <v>73</v>
      </c>
      <c r="G380">
        <v>0</v>
      </c>
      <c r="H380">
        <v>2E+20</v>
      </c>
      <c r="I380">
        <v>0</v>
      </c>
      <c r="J380">
        <v>0</v>
      </c>
      <c r="K380">
        <v>0</v>
      </c>
      <c r="L380">
        <v>0</v>
      </c>
      <c r="M380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380" cm="1">
        <f t="array" ref="N380">MAX(IF((ProjectInfoTable[ProjectName]=ContinuousStatsTable[[#This Row],[ProjectName]]),(ProjectInfoTable[ProjectName]=ContinuousStatsTable[[#This Row],[ProjectName]])*ProjectInfoTable[NumberOfReplications]))</f>
        <v>30</v>
      </c>
      <c r="O380" cm="1">
        <f t="array" ref="O380">IFERROR(AVERAGE(IF((ContinuousStatsTable[GroupByKey]=ContinuousStatsTable[[#This Row],[GroupByKey]]),(ContinuousStatsTable[GroupByKey]=ContinuousStatsTable[[#This Row],[GroupByKey]])*ContinuousStatsTable[Average])),0)</f>
        <v>0</v>
      </c>
      <c r="P380" cm="1">
        <f t="array" ref="P380">IFERROR(_xlfn.STDEV.S(IF((ContinuousStatsTable[GroupByKey]=ContinuousStatsTable[[#This Row],[GroupByKey]]),(ContinuousStatsTable[GroupByKey]=ContinuousStatsTable[[#This Row],[GroupByKey]])*ContinuousStatsTable[Average])),0)</f>
        <v>0</v>
      </c>
      <c r="Q380" cm="1">
        <f t="array" ref="Q380">MAX(IF((ProjectInfoTable[ProjectName]=ContinuousStatsTable[[#This Row],[ProjectName]]),(ProjectInfoTable[ProjectName]=ContinuousStatsTable[[#This Row],[ProjectName]])*ProjectInfoTable[ConfidenceInterval]))</f>
        <v>0.95</v>
      </c>
      <c r="R3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0" cm="1">
        <f t="array" ref="S380">MIN(IF((ContinuousStatsTable[GroupByKey]=ContinuousStatsTable[[#This Row],[GroupByKey]]),(ContinuousStatsTable[GroupByKey]=ContinuousStatsTable[[#This Row],[GroupByKey]])*ContinuousStatsTable[Average]))</f>
        <v>0</v>
      </c>
      <c r="T380" cm="1">
        <f t="array" ref="T380">MAX(IF((ContinuousStatsTable[GroupByKey]=ContinuousStatsTable[[#This Row],[GroupByKey]]),(ContinuousStatsTable[GroupByKey]=ContinuousStatsTable[[#This Row],[GroupByKey]])*ContinuousStatsTable[Average]))</f>
        <v>0</v>
      </c>
      <c r="U380">
        <f>IF((ContinuousStatsTable[[#This Row],[RepsRequested]]&gt;1),ContinuousStatsTable[[#This Row],[HalfWidth]],ContinuousStatsTable[[#This Row],[BatchMeansHalfWidth]])</f>
        <v>0</v>
      </c>
    </row>
    <row r="381" spans="1:21" x14ac:dyDescent="0.2">
      <c r="A381" t="s">
        <v>67</v>
      </c>
      <c r="B381" t="s">
        <v>70</v>
      </c>
      <c r="C381">
        <v>16</v>
      </c>
      <c r="D381" t="s">
        <v>91</v>
      </c>
      <c r="E381" t="s">
        <v>98</v>
      </c>
      <c r="F381" t="s">
        <v>73</v>
      </c>
      <c r="G381">
        <v>0</v>
      </c>
      <c r="H381">
        <v>2E+20</v>
      </c>
      <c r="I381">
        <v>0</v>
      </c>
      <c r="J381">
        <v>0</v>
      </c>
      <c r="K381">
        <v>0</v>
      </c>
      <c r="L381">
        <v>0</v>
      </c>
      <c r="M381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381" cm="1">
        <f t="array" ref="N381">MAX(IF((ProjectInfoTable[ProjectName]=ContinuousStatsTable[[#This Row],[ProjectName]]),(ProjectInfoTable[ProjectName]=ContinuousStatsTable[[#This Row],[ProjectName]])*ProjectInfoTable[NumberOfReplications]))</f>
        <v>30</v>
      </c>
      <c r="O381" cm="1">
        <f t="array" ref="O381">IFERROR(AVERAGE(IF((ContinuousStatsTable[GroupByKey]=ContinuousStatsTable[[#This Row],[GroupByKey]]),(ContinuousStatsTable[GroupByKey]=ContinuousStatsTable[[#This Row],[GroupByKey]])*ContinuousStatsTable[Average])),0)</f>
        <v>0</v>
      </c>
      <c r="P381" cm="1">
        <f t="array" ref="P381">IFERROR(_xlfn.STDEV.S(IF((ContinuousStatsTable[GroupByKey]=ContinuousStatsTable[[#This Row],[GroupByKey]]),(ContinuousStatsTable[GroupByKey]=ContinuousStatsTable[[#This Row],[GroupByKey]])*ContinuousStatsTable[Average])),0)</f>
        <v>0</v>
      </c>
      <c r="Q381" cm="1">
        <f t="array" ref="Q381">MAX(IF((ProjectInfoTable[ProjectName]=ContinuousStatsTable[[#This Row],[ProjectName]]),(ProjectInfoTable[ProjectName]=ContinuousStatsTable[[#This Row],[ProjectName]])*ProjectInfoTable[ConfidenceInterval]))</f>
        <v>0.95</v>
      </c>
      <c r="R3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1" cm="1">
        <f t="array" ref="S381">MIN(IF((ContinuousStatsTable[GroupByKey]=ContinuousStatsTable[[#This Row],[GroupByKey]]),(ContinuousStatsTable[GroupByKey]=ContinuousStatsTable[[#This Row],[GroupByKey]])*ContinuousStatsTable[Average]))</f>
        <v>0</v>
      </c>
      <c r="T381" cm="1">
        <f t="array" ref="T381">MAX(IF((ContinuousStatsTable[GroupByKey]=ContinuousStatsTable[[#This Row],[GroupByKey]]),(ContinuousStatsTable[GroupByKey]=ContinuousStatsTable[[#This Row],[GroupByKey]])*ContinuousStatsTable[Average]))</f>
        <v>0</v>
      </c>
      <c r="U381">
        <f>IF((ContinuousStatsTable[[#This Row],[RepsRequested]]&gt;1),ContinuousStatsTable[[#This Row],[HalfWidth]],ContinuousStatsTable[[#This Row],[BatchMeansHalfWidth]])</f>
        <v>0</v>
      </c>
    </row>
    <row r="382" spans="1:21" x14ac:dyDescent="0.2">
      <c r="A382" t="s">
        <v>67</v>
      </c>
      <c r="B382" t="s">
        <v>70</v>
      </c>
      <c r="C382">
        <v>16</v>
      </c>
      <c r="D382" t="s">
        <v>92</v>
      </c>
      <c r="E382" t="s">
        <v>98</v>
      </c>
      <c r="F382" t="s">
        <v>73</v>
      </c>
      <c r="G382">
        <v>0</v>
      </c>
      <c r="H382">
        <v>2E+20</v>
      </c>
      <c r="I382">
        <v>0</v>
      </c>
      <c r="J382">
        <v>0</v>
      </c>
      <c r="K382">
        <v>0</v>
      </c>
      <c r="L382">
        <v>0</v>
      </c>
      <c r="M382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382" cm="1">
        <f t="array" ref="N382">MAX(IF((ProjectInfoTable[ProjectName]=ContinuousStatsTable[[#This Row],[ProjectName]]),(ProjectInfoTable[ProjectName]=ContinuousStatsTable[[#This Row],[ProjectName]])*ProjectInfoTable[NumberOfReplications]))</f>
        <v>30</v>
      </c>
      <c r="O382" cm="1">
        <f t="array" ref="O382">IFERROR(AVERAGE(IF((ContinuousStatsTable[GroupByKey]=ContinuousStatsTable[[#This Row],[GroupByKey]]),(ContinuousStatsTable[GroupByKey]=ContinuousStatsTable[[#This Row],[GroupByKey]])*ContinuousStatsTable[Average])),0)</f>
        <v>0</v>
      </c>
      <c r="P382" cm="1">
        <f t="array" ref="P382">IFERROR(_xlfn.STDEV.S(IF((ContinuousStatsTable[GroupByKey]=ContinuousStatsTable[[#This Row],[GroupByKey]]),(ContinuousStatsTable[GroupByKey]=ContinuousStatsTable[[#This Row],[GroupByKey]])*ContinuousStatsTable[Average])),0)</f>
        <v>0</v>
      </c>
      <c r="Q382" cm="1">
        <f t="array" ref="Q382">MAX(IF((ProjectInfoTable[ProjectName]=ContinuousStatsTable[[#This Row],[ProjectName]]),(ProjectInfoTable[ProjectName]=ContinuousStatsTable[[#This Row],[ProjectName]])*ProjectInfoTable[ConfidenceInterval]))</f>
        <v>0.95</v>
      </c>
      <c r="R3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2" cm="1">
        <f t="array" ref="S382">MIN(IF((ContinuousStatsTable[GroupByKey]=ContinuousStatsTable[[#This Row],[GroupByKey]]),(ContinuousStatsTable[GroupByKey]=ContinuousStatsTable[[#This Row],[GroupByKey]])*ContinuousStatsTable[Average]))</f>
        <v>0</v>
      </c>
      <c r="T382" cm="1">
        <f t="array" ref="T382">MAX(IF((ContinuousStatsTable[GroupByKey]=ContinuousStatsTable[[#This Row],[GroupByKey]]),(ContinuousStatsTable[GroupByKey]=ContinuousStatsTable[[#This Row],[GroupByKey]])*ContinuousStatsTable[Average]))</f>
        <v>0</v>
      </c>
      <c r="U382">
        <f>IF((ContinuousStatsTable[[#This Row],[RepsRequested]]&gt;1),ContinuousStatsTable[[#This Row],[HalfWidth]],ContinuousStatsTable[[#This Row],[BatchMeansHalfWidth]])</f>
        <v>0</v>
      </c>
    </row>
    <row r="383" spans="1:21" x14ac:dyDescent="0.2">
      <c r="A383" t="s">
        <v>67</v>
      </c>
      <c r="B383" t="s">
        <v>70</v>
      </c>
      <c r="C383">
        <v>16</v>
      </c>
      <c r="D383" t="s">
        <v>103</v>
      </c>
      <c r="E383" t="s">
        <v>94</v>
      </c>
      <c r="F383" t="s">
        <v>95</v>
      </c>
      <c r="G383">
        <v>8.0650049738792307E-2</v>
      </c>
      <c r="H383">
        <v>2E+20</v>
      </c>
      <c r="I383">
        <v>0</v>
      </c>
      <c r="J383">
        <v>0.66666666666666696</v>
      </c>
      <c r="K383">
        <v>0</v>
      </c>
      <c r="L383">
        <v>0</v>
      </c>
      <c r="M383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383" cm="1">
        <f t="array" ref="N383">MAX(IF((ProjectInfoTable[ProjectName]=ContinuousStatsTable[[#This Row],[ProjectName]]),(ProjectInfoTable[ProjectName]=ContinuousStatsTable[[#This Row],[ProjectName]])*ProjectInfoTable[NumberOfReplications]))</f>
        <v>30</v>
      </c>
      <c r="O383" cm="1">
        <f t="array" ref="O383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383" cm="1">
        <f t="array" ref="P383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383" cm="1">
        <f t="array" ref="Q383">MAX(IF((ProjectInfoTable[ProjectName]=ContinuousStatsTable[[#This Row],[ProjectName]]),(ProjectInfoTable[ProjectName]=ContinuousStatsTable[[#This Row],[ProjectName]])*ProjectInfoTable[ConfidenceInterval]))</f>
        <v>0.95</v>
      </c>
      <c r="R3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383" cm="1">
        <f t="array" ref="S383">MIN(IF((ContinuousStatsTable[GroupByKey]=ContinuousStatsTable[[#This Row],[GroupByKey]]),(ContinuousStatsTable[GroupByKey]=ContinuousStatsTable[[#This Row],[GroupByKey]])*ContinuousStatsTable[Average]))</f>
        <v>7.7176470357846902E-2</v>
      </c>
      <c r="T383" cm="1">
        <f t="array" ref="T383">MAX(IF((ContinuousStatsTable[GroupByKey]=ContinuousStatsTable[[#This Row],[GroupByKey]]),(ContinuousStatsTable[GroupByKey]=ContinuousStatsTable[[#This Row],[GroupByKey]])*ContinuousStatsTable[Average]))</f>
        <v>9.2534326714405896E-2</v>
      </c>
      <c r="U383">
        <f>IF((ContinuousStatsTable[[#This Row],[RepsRequested]]&gt;1),ContinuousStatsTable[[#This Row],[HalfWidth]],ContinuousStatsTable[[#This Row],[BatchMeansHalfWidth]])</f>
        <v>1.3238327186697659E-3</v>
      </c>
    </row>
    <row r="384" spans="1:21" x14ac:dyDescent="0.2">
      <c r="A384" t="s">
        <v>67</v>
      </c>
      <c r="B384" t="s">
        <v>70</v>
      </c>
      <c r="C384">
        <v>16</v>
      </c>
      <c r="D384" t="s">
        <v>103</v>
      </c>
      <c r="E384" t="s">
        <v>96</v>
      </c>
      <c r="F384" t="s">
        <v>95</v>
      </c>
      <c r="G384">
        <v>0.241950149216377</v>
      </c>
      <c r="H384">
        <v>2E+20</v>
      </c>
      <c r="I384">
        <v>0</v>
      </c>
      <c r="J384">
        <v>2</v>
      </c>
      <c r="K384">
        <v>0</v>
      </c>
      <c r="L384">
        <v>0</v>
      </c>
      <c r="M384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384" cm="1">
        <f t="array" ref="N384">MAX(IF((ProjectInfoTable[ProjectName]=ContinuousStatsTable[[#This Row],[ProjectName]]),(ProjectInfoTable[ProjectName]=ContinuousStatsTable[[#This Row],[ProjectName]])*ProjectInfoTable[NumberOfReplications]))</f>
        <v>30</v>
      </c>
      <c r="O384" cm="1">
        <f t="array" ref="O384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384" cm="1">
        <f t="array" ref="P384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384" cm="1">
        <f t="array" ref="Q384">MAX(IF((ProjectInfoTable[ProjectName]=ContinuousStatsTable[[#This Row],[ProjectName]]),(ProjectInfoTable[ProjectName]=ContinuousStatsTable[[#This Row],[ProjectName]])*ProjectInfoTable[ConfidenceInterval]))</f>
        <v>0.95</v>
      </c>
      <c r="R3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384" cm="1">
        <f t="array" ref="S384">MIN(IF((ContinuousStatsTable[GroupByKey]=ContinuousStatsTable[[#This Row],[GroupByKey]]),(ContinuousStatsTable[GroupByKey]=ContinuousStatsTable[[#This Row],[GroupByKey]])*ContinuousStatsTable[Average]))</f>
        <v>0.231529411073541</v>
      </c>
      <c r="T384" cm="1">
        <f t="array" ref="T384">MAX(IF((ContinuousStatsTable[GroupByKey]=ContinuousStatsTable[[#This Row],[GroupByKey]]),(ContinuousStatsTable[GroupByKey]=ContinuousStatsTable[[#This Row],[GroupByKey]])*ContinuousStatsTable[Average]))</f>
        <v>0.27760298014321699</v>
      </c>
      <c r="U384">
        <f>IF((ContinuousStatsTable[[#This Row],[RepsRequested]]&gt;1),ContinuousStatsTable[[#This Row],[HalfWidth]],ContinuousStatsTable[[#This Row],[BatchMeansHalfWidth]])</f>
        <v>3.9714981560092996E-3</v>
      </c>
    </row>
    <row r="385" spans="1:21" x14ac:dyDescent="0.2">
      <c r="A385" t="s">
        <v>67</v>
      </c>
      <c r="B385" t="s">
        <v>70</v>
      </c>
      <c r="C385">
        <v>16</v>
      </c>
      <c r="D385" t="s">
        <v>103</v>
      </c>
      <c r="E385" t="s">
        <v>97</v>
      </c>
      <c r="F385" t="s">
        <v>95</v>
      </c>
      <c r="G385">
        <v>3</v>
      </c>
      <c r="H385">
        <v>2E+20</v>
      </c>
      <c r="I385">
        <v>3</v>
      </c>
      <c r="J385">
        <v>3</v>
      </c>
      <c r="K385">
        <v>3</v>
      </c>
      <c r="L385">
        <v>0</v>
      </c>
      <c r="M385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385" cm="1">
        <f t="array" ref="N385">MAX(IF((ProjectInfoTable[ProjectName]=ContinuousStatsTable[[#This Row],[ProjectName]]),(ProjectInfoTable[ProjectName]=ContinuousStatsTable[[#This Row],[ProjectName]])*ProjectInfoTable[NumberOfReplications]))</f>
        <v>30</v>
      </c>
      <c r="O385" cm="1">
        <f t="array" ref="O385">IFERROR(AVERAGE(IF((ContinuousStatsTable[GroupByKey]=ContinuousStatsTable[[#This Row],[GroupByKey]]),(ContinuousStatsTable[GroupByKey]=ContinuousStatsTable[[#This Row],[GroupByKey]])*ContinuousStatsTable[Average])),0)</f>
        <v>3</v>
      </c>
      <c r="P385" cm="1">
        <f t="array" ref="P385">IFERROR(_xlfn.STDEV.S(IF((ContinuousStatsTable[GroupByKey]=ContinuousStatsTable[[#This Row],[GroupByKey]]),(ContinuousStatsTable[GroupByKey]=ContinuousStatsTable[[#This Row],[GroupByKey]])*ContinuousStatsTable[Average])),0)</f>
        <v>0</v>
      </c>
      <c r="Q385" cm="1">
        <f t="array" ref="Q385">MAX(IF((ProjectInfoTable[ProjectName]=ContinuousStatsTable[[#This Row],[ProjectName]]),(ProjectInfoTable[ProjectName]=ContinuousStatsTable[[#This Row],[ProjectName]])*ProjectInfoTable[ConfidenceInterval]))</f>
        <v>0.95</v>
      </c>
      <c r="R3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5" cm="1">
        <f t="array" ref="S385">MIN(IF((ContinuousStatsTable[GroupByKey]=ContinuousStatsTable[[#This Row],[GroupByKey]]),(ContinuousStatsTable[GroupByKey]=ContinuousStatsTable[[#This Row],[GroupByKey]])*ContinuousStatsTable[Average]))</f>
        <v>3</v>
      </c>
      <c r="T385" cm="1">
        <f t="array" ref="T385">MAX(IF((ContinuousStatsTable[GroupByKey]=ContinuousStatsTable[[#This Row],[GroupByKey]]),(ContinuousStatsTable[GroupByKey]=ContinuousStatsTable[[#This Row],[GroupByKey]])*ContinuousStatsTable[Average]))</f>
        <v>3</v>
      </c>
      <c r="U385">
        <f>IF((ContinuousStatsTable[[#This Row],[RepsRequested]]&gt;1),ContinuousStatsTable[[#This Row],[HalfWidth]],ContinuousStatsTable[[#This Row],[BatchMeansHalfWidth]])</f>
        <v>0</v>
      </c>
    </row>
    <row r="386" spans="1:21" x14ac:dyDescent="0.2">
      <c r="A386" t="s">
        <v>67</v>
      </c>
      <c r="B386" t="s">
        <v>70</v>
      </c>
      <c r="C386">
        <v>17</v>
      </c>
      <c r="D386" t="s">
        <v>93</v>
      </c>
      <c r="E386" t="s">
        <v>94</v>
      </c>
      <c r="F386" t="s">
        <v>95</v>
      </c>
      <c r="G386">
        <v>0.24561403508771901</v>
      </c>
      <c r="H386">
        <v>2.25531222823975E-2</v>
      </c>
      <c r="I386">
        <v>0</v>
      </c>
      <c r="J386">
        <v>1</v>
      </c>
      <c r="K386">
        <v>0</v>
      </c>
      <c r="L386">
        <v>0</v>
      </c>
      <c r="M386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386" cm="1">
        <f t="array" ref="N386">MAX(IF((ProjectInfoTable[ProjectName]=ContinuousStatsTable[[#This Row],[ProjectName]]),(ProjectInfoTable[ProjectName]=ContinuousStatsTable[[#This Row],[ProjectName]])*ProjectInfoTable[NumberOfReplications]))</f>
        <v>30</v>
      </c>
      <c r="O386" cm="1">
        <f t="array" ref="O386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386" cm="1">
        <f t="array" ref="P386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386" cm="1">
        <f t="array" ref="Q386">MAX(IF((ProjectInfoTable[ProjectName]=ContinuousStatsTable[[#This Row],[ProjectName]]),(ProjectInfoTable[ProjectName]=ContinuousStatsTable[[#This Row],[ProjectName]])*ProjectInfoTable[ConfidenceInterval]))</f>
        <v>0.95</v>
      </c>
      <c r="R3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386" cm="1">
        <f t="array" ref="S386">MIN(IF((ContinuousStatsTable[GroupByKey]=ContinuousStatsTable[[#This Row],[GroupByKey]]),(ContinuousStatsTable[GroupByKey]=ContinuousStatsTable[[#This Row],[GroupByKey]])*ContinuousStatsTable[Average]))</f>
        <v>0.233333333333333</v>
      </c>
      <c r="T386" cm="1">
        <f t="array" ref="T386">MAX(IF((ContinuousStatsTable[GroupByKey]=ContinuousStatsTable[[#This Row],[GroupByKey]]),(ContinuousStatsTable[GroupByKey]=ContinuousStatsTable[[#This Row],[GroupByKey]])*ContinuousStatsTable[Average]))</f>
        <v>0.27905535859326402</v>
      </c>
      <c r="U386">
        <f>IF((ContinuousStatsTable[[#This Row],[RepsRequested]]&gt;1),ContinuousStatsTable[[#This Row],[HalfWidth]],ContinuousStatsTable[[#This Row],[BatchMeansHalfWidth]])</f>
        <v>4.2029769261323026E-3</v>
      </c>
    </row>
    <row r="387" spans="1:21" x14ac:dyDescent="0.2">
      <c r="A387" t="s">
        <v>67</v>
      </c>
      <c r="B387" t="s">
        <v>70</v>
      </c>
      <c r="C387">
        <v>17</v>
      </c>
      <c r="D387" t="s">
        <v>93</v>
      </c>
      <c r="E387" t="s">
        <v>96</v>
      </c>
      <c r="F387" t="s">
        <v>95</v>
      </c>
      <c r="G387">
        <v>0.24561403508771901</v>
      </c>
      <c r="H387">
        <v>2.25531222823975E-2</v>
      </c>
      <c r="I387">
        <v>0</v>
      </c>
      <c r="J387">
        <v>1</v>
      </c>
      <c r="K387">
        <v>0</v>
      </c>
      <c r="L387">
        <v>0</v>
      </c>
      <c r="M387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387" cm="1">
        <f t="array" ref="N387">MAX(IF((ProjectInfoTable[ProjectName]=ContinuousStatsTable[[#This Row],[ProjectName]]),(ProjectInfoTable[ProjectName]=ContinuousStatsTable[[#This Row],[ProjectName]])*ProjectInfoTable[NumberOfReplications]))</f>
        <v>30</v>
      </c>
      <c r="O387" cm="1">
        <f t="array" ref="O387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387" cm="1">
        <f t="array" ref="P387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387" cm="1">
        <f t="array" ref="Q387">MAX(IF((ProjectInfoTable[ProjectName]=ContinuousStatsTable[[#This Row],[ProjectName]]),(ProjectInfoTable[ProjectName]=ContinuousStatsTable[[#This Row],[ProjectName]])*ProjectInfoTable[ConfidenceInterval]))</f>
        <v>0.95</v>
      </c>
      <c r="R3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387" cm="1">
        <f t="array" ref="S387">MIN(IF((ContinuousStatsTable[GroupByKey]=ContinuousStatsTable[[#This Row],[GroupByKey]]),(ContinuousStatsTable[GroupByKey]=ContinuousStatsTable[[#This Row],[GroupByKey]])*ContinuousStatsTable[Average]))</f>
        <v>0.233333333333333</v>
      </c>
      <c r="T387" cm="1">
        <f t="array" ref="T387">MAX(IF((ContinuousStatsTable[GroupByKey]=ContinuousStatsTable[[#This Row],[GroupByKey]]),(ContinuousStatsTable[GroupByKey]=ContinuousStatsTable[[#This Row],[GroupByKey]])*ContinuousStatsTable[Average]))</f>
        <v>0.27905535859326402</v>
      </c>
      <c r="U387">
        <f>IF((ContinuousStatsTable[[#This Row],[RepsRequested]]&gt;1),ContinuousStatsTable[[#This Row],[HalfWidth]],ContinuousStatsTable[[#This Row],[BatchMeansHalfWidth]])</f>
        <v>4.2029769261323026E-3</v>
      </c>
    </row>
    <row r="388" spans="1:21" x14ac:dyDescent="0.2">
      <c r="A388" t="s">
        <v>67</v>
      </c>
      <c r="B388" t="s">
        <v>70</v>
      </c>
      <c r="C388">
        <v>17</v>
      </c>
      <c r="D388" t="s">
        <v>93</v>
      </c>
      <c r="E388" t="s">
        <v>97</v>
      </c>
      <c r="F388" t="s">
        <v>95</v>
      </c>
      <c r="G388">
        <v>1</v>
      </c>
      <c r="H388">
        <v>2E+20</v>
      </c>
      <c r="I388">
        <v>1</v>
      </c>
      <c r="J388">
        <v>1</v>
      </c>
      <c r="K388">
        <v>1</v>
      </c>
      <c r="L388">
        <v>0</v>
      </c>
      <c r="M388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388" cm="1">
        <f t="array" ref="N388">MAX(IF((ProjectInfoTable[ProjectName]=ContinuousStatsTable[[#This Row],[ProjectName]]),(ProjectInfoTable[ProjectName]=ContinuousStatsTable[[#This Row],[ProjectName]])*ProjectInfoTable[NumberOfReplications]))</f>
        <v>30</v>
      </c>
      <c r="O388" cm="1">
        <f t="array" ref="O388">IFERROR(AVERAGE(IF((ContinuousStatsTable[GroupByKey]=ContinuousStatsTable[[#This Row],[GroupByKey]]),(ContinuousStatsTable[GroupByKey]=ContinuousStatsTable[[#This Row],[GroupByKey]])*ContinuousStatsTable[Average])),0)</f>
        <v>1</v>
      </c>
      <c r="P388" cm="1">
        <f t="array" ref="P388">IFERROR(_xlfn.STDEV.S(IF((ContinuousStatsTable[GroupByKey]=ContinuousStatsTable[[#This Row],[GroupByKey]]),(ContinuousStatsTable[GroupByKey]=ContinuousStatsTable[[#This Row],[GroupByKey]])*ContinuousStatsTable[Average])),0)</f>
        <v>0</v>
      </c>
      <c r="Q388" cm="1">
        <f t="array" ref="Q388">MAX(IF((ProjectInfoTable[ProjectName]=ContinuousStatsTable[[#This Row],[ProjectName]]),(ProjectInfoTable[ProjectName]=ContinuousStatsTable[[#This Row],[ProjectName]])*ProjectInfoTable[ConfidenceInterval]))</f>
        <v>0.95</v>
      </c>
      <c r="R3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88" cm="1">
        <f t="array" ref="S388">MIN(IF((ContinuousStatsTable[GroupByKey]=ContinuousStatsTable[[#This Row],[GroupByKey]]),(ContinuousStatsTable[GroupByKey]=ContinuousStatsTable[[#This Row],[GroupByKey]])*ContinuousStatsTable[Average]))</f>
        <v>1</v>
      </c>
      <c r="T388" cm="1">
        <f t="array" ref="T388">MAX(IF((ContinuousStatsTable[GroupByKey]=ContinuousStatsTable[[#This Row],[GroupByKey]]),(ContinuousStatsTable[GroupByKey]=ContinuousStatsTable[[#This Row],[GroupByKey]])*ContinuousStatsTable[Average]))</f>
        <v>1</v>
      </c>
      <c r="U388">
        <f>IF((ContinuousStatsTable[[#This Row],[RepsRequested]]&gt;1),ContinuousStatsTable[[#This Row],[HalfWidth]],ContinuousStatsTable[[#This Row],[BatchMeansHalfWidth]])</f>
        <v>0</v>
      </c>
    </row>
    <row r="389" spans="1:21" x14ac:dyDescent="0.2">
      <c r="A389" t="s">
        <v>67</v>
      </c>
      <c r="B389" t="s">
        <v>70</v>
      </c>
      <c r="C389">
        <v>17</v>
      </c>
      <c r="D389" t="s">
        <v>71</v>
      </c>
      <c r="E389" t="s">
        <v>98</v>
      </c>
      <c r="F389" t="s">
        <v>73</v>
      </c>
      <c r="G389">
        <v>3.2723358219486298E-2</v>
      </c>
      <c r="H389">
        <v>2E+20</v>
      </c>
      <c r="I389">
        <v>0</v>
      </c>
      <c r="J389">
        <v>2</v>
      </c>
      <c r="K389">
        <v>0</v>
      </c>
      <c r="L389">
        <v>0</v>
      </c>
      <c r="M389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389" cm="1">
        <f t="array" ref="N389">MAX(IF((ProjectInfoTable[ProjectName]=ContinuousStatsTable[[#This Row],[ProjectName]]),(ProjectInfoTable[ProjectName]=ContinuousStatsTable[[#This Row],[ProjectName]])*ProjectInfoTable[NumberOfReplications]))</f>
        <v>30</v>
      </c>
      <c r="O389" cm="1">
        <f t="array" ref="O389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389" cm="1">
        <f t="array" ref="P389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389" cm="1">
        <f t="array" ref="Q389">MAX(IF((ProjectInfoTable[ProjectName]=ContinuousStatsTable[[#This Row],[ProjectName]]),(ProjectInfoTable[ProjectName]=ContinuousStatsTable[[#This Row],[ProjectName]])*ProjectInfoTable[ConfidenceInterval]))</f>
        <v>0.95</v>
      </c>
      <c r="R3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389" cm="1">
        <f t="array" ref="S389">MIN(IF((ContinuousStatsTable[GroupByKey]=ContinuousStatsTable[[#This Row],[GroupByKey]]),(ContinuousStatsTable[GroupByKey]=ContinuousStatsTable[[#This Row],[GroupByKey]])*ContinuousStatsTable[Average]))</f>
        <v>1.9664517785186901E-2</v>
      </c>
      <c r="T389" cm="1">
        <f t="array" ref="T389">MAX(IF((ContinuousStatsTable[GroupByKey]=ContinuousStatsTable[[#This Row],[GroupByKey]]),(ContinuousStatsTable[GroupByKey]=ContinuousStatsTable[[#This Row],[GroupByKey]])*ContinuousStatsTable[Average]))</f>
        <v>3.9738966906982302E-2</v>
      </c>
      <c r="U389">
        <f>IF((ContinuousStatsTable[[#This Row],[RepsRequested]]&gt;1),ContinuousStatsTable[[#This Row],[HalfWidth]],ContinuousStatsTable[[#This Row],[BatchMeansHalfWidth]])</f>
        <v>1.6627262085570247E-3</v>
      </c>
    </row>
    <row r="390" spans="1:21" x14ac:dyDescent="0.2">
      <c r="A390" t="s">
        <v>67</v>
      </c>
      <c r="B390" t="s">
        <v>70</v>
      </c>
      <c r="C390">
        <v>17</v>
      </c>
      <c r="D390" t="s">
        <v>99</v>
      </c>
      <c r="E390" t="s">
        <v>94</v>
      </c>
      <c r="F390" t="s">
        <v>95</v>
      </c>
      <c r="G390">
        <v>0.62040482220339699</v>
      </c>
      <c r="H390">
        <v>2E+20</v>
      </c>
      <c r="I390">
        <v>0</v>
      </c>
      <c r="J390">
        <v>1</v>
      </c>
      <c r="K390">
        <v>1</v>
      </c>
      <c r="L390">
        <v>0</v>
      </c>
      <c r="M390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390" cm="1">
        <f t="array" ref="N390">MAX(IF((ProjectInfoTable[ProjectName]=ContinuousStatsTable[[#This Row],[ProjectName]]),(ProjectInfoTable[ProjectName]=ContinuousStatsTable[[#This Row],[ProjectName]])*ProjectInfoTable[NumberOfReplications]))</f>
        <v>30</v>
      </c>
      <c r="O390" cm="1">
        <f t="array" ref="O390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390" cm="1">
        <f t="array" ref="P390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390" cm="1">
        <f t="array" ref="Q390">MAX(IF((ProjectInfoTable[ProjectName]=ContinuousStatsTable[[#This Row],[ProjectName]]),(ProjectInfoTable[ProjectName]=ContinuousStatsTable[[#This Row],[ProjectName]])*ProjectInfoTable[ConfidenceInterval]))</f>
        <v>0.95</v>
      </c>
      <c r="R3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390" cm="1">
        <f t="array" ref="S390">MIN(IF((ContinuousStatsTable[GroupByKey]=ContinuousStatsTable[[#This Row],[GroupByKey]]),(ContinuousStatsTable[GroupByKey]=ContinuousStatsTable[[#This Row],[GroupByKey]])*ContinuousStatsTable[Average]))</f>
        <v>0.58256422876290004</v>
      </c>
      <c r="T390" cm="1">
        <f t="array" ref="T390">MAX(IF((ContinuousStatsTable[GroupByKey]=ContinuousStatsTable[[#This Row],[GroupByKey]]),(ContinuousStatsTable[GroupByKey]=ContinuousStatsTable[[#This Row],[GroupByKey]])*ContinuousStatsTable[Average]))</f>
        <v>0.68643238055161704</v>
      </c>
      <c r="U390">
        <f>IF((ContinuousStatsTable[[#This Row],[RepsRequested]]&gt;1),ContinuousStatsTable[[#This Row],[HalfWidth]],ContinuousStatsTable[[#This Row],[BatchMeansHalfWidth]])</f>
        <v>9.8490003000806757E-3</v>
      </c>
    </row>
    <row r="391" spans="1:21" x14ac:dyDescent="0.2">
      <c r="A391" t="s">
        <v>67</v>
      </c>
      <c r="B391" t="s">
        <v>70</v>
      </c>
      <c r="C391">
        <v>17</v>
      </c>
      <c r="D391" t="s">
        <v>99</v>
      </c>
      <c r="E391" t="s">
        <v>96</v>
      </c>
      <c r="F391" t="s">
        <v>95</v>
      </c>
      <c r="G391">
        <v>1.24080964440679</v>
      </c>
      <c r="H391">
        <v>2E+20</v>
      </c>
      <c r="I391">
        <v>0</v>
      </c>
      <c r="J391">
        <v>2</v>
      </c>
      <c r="K391">
        <v>2</v>
      </c>
      <c r="L391">
        <v>0</v>
      </c>
      <c r="M391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391" cm="1">
        <f t="array" ref="N391">MAX(IF((ProjectInfoTable[ProjectName]=ContinuousStatsTable[[#This Row],[ProjectName]]),(ProjectInfoTable[ProjectName]=ContinuousStatsTable[[#This Row],[ProjectName]])*ProjectInfoTable[NumberOfReplications]))</f>
        <v>30</v>
      </c>
      <c r="O391" cm="1">
        <f t="array" ref="O391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391" cm="1">
        <f t="array" ref="P391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391" cm="1">
        <f t="array" ref="Q391">MAX(IF((ProjectInfoTable[ProjectName]=ContinuousStatsTable[[#This Row],[ProjectName]]),(ProjectInfoTable[ProjectName]=ContinuousStatsTable[[#This Row],[ProjectName]])*ProjectInfoTable[ConfidenceInterval]))</f>
        <v>0.95</v>
      </c>
      <c r="R3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391" cm="1">
        <f t="array" ref="S391">MIN(IF((ContinuousStatsTable[GroupByKey]=ContinuousStatsTable[[#This Row],[GroupByKey]]),(ContinuousStatsTable[GroupByKey]=ContinuousStatsTable[[#This Row],[GroupByKey]])*ContinuousStatsTable[Average]))</f>
        <v>1.1651284575258001</v>
      </c>
      <c r="T391" cm="1">
        <f t="array" ref="T391">MAX(IF((ContinuousStatsTable[GroupByKey]=ContinuousStatsTable[[#This Row],[GroupByKey]]),(ContinuousStatsTable[GroupByKey]=ContinuousStatsTable[[#This Row],[GroupByKey]])*ContinuousStatsTable[Average]))</f>
        <v>1.3728647611032301</v>
      </c>
      <c r="U391">
        <f>IF((ContinuousStatsTable[[#This Row],[RepsRequested]]&gt;1),ContinuousStatsTable[[#This Row],[HalfWidth]],ContinuousStatsTable[[#This Row],[BatchMeansHalfWidth]])</f>
        <v>1.9698000600160998E-2</v>
      </c>
    </row>
    <row r="392" spans="1:21" x14ac:dyDescent="0.2">
      <c r="A392" t="s">
        <v>67</v>
      </c>
      <c r="B392" t="s">
        <v>70</v>
      </c>
      <c r="C392">
        <v>17</v>
      </c>
      <c r="D392" t="s">
        <v>99</v>
      </c>
      <c r="E392" t="s">
        <v>97</v>
      </c>
      <c r="F392" t="s">
        <v>95</v>
      </c>
      <c r="G392">
        <v>2</v>
      </c>
      <c r="H392">
        <v>2E+20</v>
      </c>
      <c r="I392">
        <v>2</v>
      </c>
      <c r="J392">
        <v>2</v>
      </c>
      <c r="K392">
        <v>2</v>
      </c>
      <c r="L392">
        <v>0</v>
      </c>
      <c r="M392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392" cm="1">
        <f t="array" ref="N392">MAX(IF((ProjectInfoTable[ProjectName]=ContinuousStatsTable[[#This Row],[ProjectName]]),(ProjectInfoTable[ProjectName]=ContinuousStatsTable[[#This Row],[ProjectName]])*ProjectInfoTable[NumberOfReplications]))</f>
        <v>30</v>
      </c>
      <c r="O392" cm="1">
        <f t="array" ref="O392">IFERROR(AVERAGE(IF((ContinuousStatsTable[GroupByKey]=ContinuousStatsTable[[#This Row],[GroupByKey]]),(ContinuousStatsTable[GroupByKey]=ContinuousStatsTable[[#This Row],[GroupByKey]])*ContinuousStatsTable[Average])),0)</f>
        <v>2</v>
      </c>
      <c r="P392" cm="1">
        <f t="array" ref="P392">IFERROR(_xlfn.STDEV.S(IF((ContinuousStatsTable[GroupByKey]=ContinuousStatsTable[[#This Row],[GroupByKey]]),(ContinuousStatsTable[GroupByKey]=ContinuousStatsTable[[#This Row],[GroupByKey]])*ContinuousStatsTable[Average])),0)</f>
        <v>0</v>
      </c>
      <c r="Q392" cm="1">
        <f t="array" ref="Q392">MAX(IF((ProjectInfoTable[ProjectName]=ContinuousStatsTable[[#This Row],[ProjectName]]),(ProjectInfoTable[ProjectName]=ContinuousStatsTable[[#This Row],[ProjectName]])*ProjectInfoTable[ConfidenceInterval]))</f>
        <v>0.95</v>
      </c>
      <c r="R3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2" cm="1">
        <f t="array" ref="S392">MIN(IF((ContinuousStatsTable[GroupByKey]=ContinuousStatsTable[[#This Row],[GroupByKey]]),(ContinuousStatsTable[GroupByKey]=ContinuousStatsTable[[#This Row],[GroupByKey]])*ContinuousStatsTable[Average]))</f>
        <v>2</v>
      </c>
      <c r="T392" cm="1">
        <f t="array" ref="T392">MAX(IF((ContinuousStatsTable[GroupByKey]=ContinuousStatsTable[[#This Row],[GroupByKey]]),(ContinuousStatsTable[GroupByKey]=ContinuousStatsTable[[#This Row],[GroupByKey]])*ContinuousStatsTable[Average]))</f>
        <v>2</v>
      </c>
      <c r="U392">
        <f>IF((ContinuousStatsTable[[#This Row],[RepsRequested]]&gt;1),ContinuousStatsTable[[#This Row],[HalfWidth]],ContinuousStatsTable[[#This Row],[BatchMeansHalfWidth]])</f>
        <v>0</v>
      </c>
    </row>
    <row r="393" spans="1:21" x14ac:dyDescent="0.2">
      <c r="A393" t="s">
        <v>67</v>
      </c>
      <c r="B393" t="s">
        <v>70</v>
      </c>
      <c r="C393">
        <v>17</v>
      </c>
      <c r="D393" t="s">
        <v>74</v>
      </c>
      <c r="E393" t="s">
        <v>100</v>
      </c>
      <c r="F393" t="s">
        <v>76</v>
      </c>
      <c r="G393">
        <v>15.1109737029582</v>
      </c>
      <c r="H393">
        <v>3E+20</v>
      </c>
      <c r="I393">
        <v>4</v>
      </c>
      <c r="J393">
        <v>31</v>
      </c>
      <c r="K393">
        <v>14</v>
      </c>
      <c r="L393">
        <v>0</v>
      </c>
      <c r="M393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93" cm="1">
        <f t="array" ref="N393">MAX(IF((ProjectInfoTable[ProjectName]=ContinuousStatsTable[[#This Row],[ProjectName]]),(ProjectInfoTable[ProjectName]=ContinuousStatsTable[[#This Row],[ProjectName]])*ProjectInfoTable[NumberOfReplications]))</f>
        <v>30</v>
      </c>
      <c r="O393" cm="1">
        <f t="array" ref="O393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393" cm="1">
        <f t="array" ref="P393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393" cm="1">
        <f t="array" ref="Q393">MAX(IF((ProjectInfoTable[ProjectName]=ContinuousStatsTable[[#This Row],[ProjectName]]),(ProjectInfoTable[ProjectName]=ContinuousStatsTable[[#This Row],[ProjectName]])*ProjectInfoTable[ConfidenceInterval]))</f>
        <v>0.95</v>
      </c>
      <c r="R3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393" cm="1">
        <f t="array" ref="S393">MIN(IF((ContinuousStatsTable[GroupByKey]=ContinuousStatsTable[[#This Row],[GroupByKey]]),(ContinuousStatsTable[GroupByKey]=ContinuousStatsTable[[#This Row],[GroupByKey]])*ContinuousStatsTable[Average]))</f>
        <v>14.4112589759764</v>
      </c>
      <c r="T393" cm="1">
        <f t="array" ref="T393">MAX(IF((ContinuousStatsTable[GroupByKey]=ContinuousStatsTable[[#This Row],[GroupByKey]]),(ContinuousStatsTable[GroupByKey]=ContinuousStatsTable[[#This Row],[GroupByKey]])*ContinuousStatsTable[Average]))</f>
        <v>16.972707717517899</v>
      </c>
      <c r="U393">
        <f>IF((ContinuousStatsTable[[#This Row],[RepsRequested]]&gt;1),ContinuousStatsTable[[#This Row],[HalfWidth]],ContinuousStatsTable[[#This Row],[BatchMeansHalfWidth]])</f>
        <v>0.25870181881670146</v>
      </c>
    </row>
    <row r="394" spans="1:21" x14ac:dyDescent="0.2">
      <c r="A394" t="s">
        <v>67</v>
      </c>
      <c r="B394" t="s">
        <v>70</v>
      </c>
      <c r="C394">
        <v>17</v>
      </c>
      <c r="D394" t="s">
        <v>82</v>
      </c>
      <c r="E394" t="s">
        <v>98</v>
      </c>
      <c r="F394" t="s">
        <v>73</v>
      </c>
      <c r="G394">
        <v>0.14671381198290701</v>
      </c>
      <c r="H394">
        <v>2E+20</v>
      </c>
      <c r="I394">
        <v>0</v>
      </c>
      <c r="J394">
        <v>3</v>
      </c>
      <c r="K394">
        <v>0</v>
      </c>
      <c r="L394">
        <v>0</v>
      </c>
      <c r="M394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394" cm="1">
        <f t="array" ref="N394">MAX(IF((ProjectInfoTable[ProjectName]=ContinuousStatsTable[[#This Row],[ProjectName]]),(ProjectInfoTable[ProjectName]=ContinuousStatsTable[[#This Row],[ProjectName]])*ProjectInfoTable[NumberOfReplications]))</f>
        <v>30</v>
      </c>
      <c r="O394" cm="1">
        <f t="array" ref="O394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394" cm="1">
        <f t="array" ref="P394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394" cm="1">
        <f t="array" ref="Q394">MAX(IF((ProjectInfoTable[ProjectName]=ContinuousStatsTable[[#This Row],[ProjectName]]),(ProjectInfoTable[ProjectName]=ContinuousStatsTable[[#This Row],[ProjectName]])*ProjectInfoTable[ConfidenceInterval]))</f>
        <v>0.95</v>
      </c>
      <c r="R3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394" cm="1">
        <f t="array" ref="S394">MIN(IF((ContinuousStatsTable[GroupByKey]=ContinuousStatsTable[[#This Row],[GroupByKey]]),(ContinuousStatsTable[GroupByKey]=ContinuousStatsTable[[#This Row],[GroupByKey]])*ContinuousStatsTable[Average]))</f>
        <v>7.4406608295854798E-2</v>
      </c>
      <c r="T394" cm="1">
        <f t="array" ref="T394">MAX(IF((ContinuousStatsTable[GroupByKey]=ContinuousStatsTable[[#This Row],[GroupByKey]]),(ContinuousStatsTable[GroupByKey]=ContinuousStatsTable[[#This Row],[GroupByKey]])*ContinuousStatsTable[Average]))</f>
        <v>0.29874320707386398</v>
      </c>
      <c r="U394">
        <f>IF((ContinuousStatsTable[[#This Row],[RepsRequested]]&gt;1),ContinuousStatsTable[[#This Row],[HalfWidth]],ContinuousStatsTable[[#This Row],[BatchMeansHalfWidth]])</f>
        <v>2.0058204231149332E-2</v>
      </c>
    </row>
    <row r="395" spans="1:21" x14ac:dyDescent="0.2">
      <c r="A395" t="s">
        <v>67</v>
      </c>
      <c r="B395" t="s">
        <v>70</v>
      </c>
      <c r="C395">
        <v>17</v>
      </c>
      <c r="D395" t="s">
        <v>101</v>
      </c>
      <c r="E395" t="s">
        <v>94</v>
      </c>
      <c r="F395" t="s">
        <v>95</v>
      </c>
      <c r="G395">
        <v>1.8530701754385999E-3</v>
      </c>
      <c r="H395">
        <v>1.5945118044989501E-4</v>
      </c>
      <c r="I395">
        <v>0</v>
      </c>
      <c r="J395">
        <v>3.7499999999999999E-2</v>
      </c>
      <c r="K395">
        <v>0</v>
      </c>
      <c r="L395">
        <v>0</v>
      </c>
      <c r="M395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395" cm="1">
        <f t="array" ref="N395">MAX(IF((ProjectInfoTable[ProjectName]=ContinuousStatsTable[[#This Row],[ProjectName]]),(ProjectInfoTable[ProjectName]=ContinuousStatsTable[[#This Row],[ProjectName]])*ProjectInfoTable[NumberOfReplications]))</f>
        <v>30</v>
      </c>
      <c r="O395" cm="1">
        <f t="array" ref="O395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395" cm="1">
        <f t="array" ref="P395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395" cm="1">
        <f t="array" ref="Q395">MAX(IF((ProjectInfoTable[ProjectName]=ContinuousStatsTable[[#This Row],[ProjectName]]),(ProjectInfoTable[ProjectName]=ContinuousStatsTable[[#This Row],[ProjectName]])*ProjectInfoTable[ConfidenceInterval]))</f>
        <v>0.95</v>
      </c>
      <c r="R3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395" cm="1">
        <f t="array" ref="S395">MIN(IF((ContinuousStatsTable[GroupByKey]=ContinuousStatsTable[[#This Row],[GroupByKey]]),(ContinuousStatsTable[GroupByKey]=ContinuousStatsTable[[#This Row],[GroupByKey]])*ContinuousStatsTable[Average]))</f>
        <v>1.70504385964912E-3</v>
      </c>
      <c r="T395" cm="1">
        <f t="array" ref="T395">MAX(IF((ContinuousStatsTable[GroupByKey]=ContinuousStatsTable[[#This Row],[GroupByKey]]),(ContinuousStatsTable[GroupByKey]=ContinuousStatsTable[[#This Row],[GroupByKey]])*ContinuousStatsTable[Average]))</f>
        <v>2.17031677925951E-3</v>
      </c>
      <c r="U395">
        <f>IF((ContinuousStatsTable[[#This Row],[RepsRequested]]&gt;1),ContinuousStatsTable[[#This Row],[HalfWidth]],ContinuousStatsTable[[#This Row],[BatchMeansHalfWidth]])</f>
        <v>4.4865881583116605E-5</v>
      </c>
    </row>
    <row r="396" spans="1:21" x14ac:dyDescent="0.2">
      <c r="A396" t="s">
        <v>67</v>
      </c>
      <c r="B396" t="s">
        <v>70</v>
      </c>
      <c r="C396">
        <v>17</v>
      </c>
      <c r="D396" t="s">
        <v>101</v>
      </c>
      <c r="E396" t="s">
        <v>96</v>
      </c>
      <c r="F396" t="s">
        <v>95</v>
      </c>
      <c r="G396">
        <v>0.14824561403508801</v>
      </c>
      <c r="H396">
        <v>1.27560944359916E-2</v>
      </c>
      <c r="I396">
        <v>0</v>
      </c>
      <c r="J396">
        <v>3</v>
      </c>
      <c r="K396">
        <v>0</v>
      </c>
      <c r="L396">
        <v>0</v>
      </c>
      <c r="M396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396" cm="1">
        <f t="array" ref="N396">MAX(IF((ProjectInfoTable[ProjectName]=ContinuousStatsTable[[#This Row],[ProjectName]]),(ProjectInfoTable[ProjectName]=ContinuousStatsTable[[#This Row],[ProjectName]])*ProjectInfoTable[NumberOfReplications]))</f>
        <v>30</v>
      </c>
      <c r="O396" cm="1">
        <f t="array" ref="O396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396" cm="1">
        <f t="array" ref="P396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396" cm="1">
        <f t="array" ref="Q396">MAX(IF((ProjectInfoTable[ProjectName]=ContinuousStatsTable[[#This Row],[ProjectName]]),(ProjectInfoTable[ProjectName]=ContinuousStatsTable[[#This Row],[ProjectName]])*ProjectInfoTable[ConfidenceInterval]))</f>
        <v>0.95</v>
      </c>
      <c r="R3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396" cm="1">
        <f t="array" ref="S396">MIN(IF((ContinuousStatsTable[GroupByKey]=ContinuousStatsTable[[#This Row],[GroupByKey]]),(ContinuousStatsTable[GroupByKey]=ContinuousStatsTable[[#This Row],[GroupByKey]])*ContinuousStatsTable[Average]))</f>
        <v>0.13640350877193</v>
      </c>
      <c r="T396" cm="1">
        <f t="array" ref="T396">MAX(IF((ContinuousStatsTable[GroupByKey]=ContinuousStatsTable[[#This Row],[GroupByKey]]),(ContinuousStatsTable[GroupByKey]=ContinuousStatsTable[[#This Row],[GroupByKey]])*ContinuousStatsTable[Average]))</f>
        <v>0.17362534234076099</v>
      </c>
      <c r="U396">
        <f>IF((ContinuousStatsTable[[#This Row],[RepsRequested]]&gt;1),ContinuousStatsTable[[#This Row],[HalfWidth]],ContinuousStatsTable[[#This Row],[BatchMeansHalfWidth]])</f>
        <v>3.5892705266493139E-3</v>
      </c>
    </row>
    <row r="397" spans="1:21" x14ac:dyDescent="0.2">
      <c r="A397" t="s">
        <v>67</v>
      </c>
      <c r="B397" t="s">
        <v>70</v>
      </c>
      <c r="C397">
        <v>17</v>
      </c>
      <c r="D397" t="s">
        <v>101</v>
      </c>
      <c r="E397" t="s">
        <v>97</v>
      </c>
      <c r="F397" t="s">
        <v>95</v>
      </c>
      <c r="G397">
        <v>80</v>
      </c>
      <c r="H397">
        <v>2E+20</v>
      </c>
      <c r="I397">
        <v>80</v>
      </c>
      <c r="J397">
        <v>80</v>
      </c>
      <c r="K397">
        <v>80</v>
      </c>
      <c r="L397">
        <v>0</v>
      </c>
      <c r="M397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397" cm="1">
        <f t="array" ref="N397">MAX(IF((ProjectInfoTable[ProjectName]=ContinuousStatsTable[[#This Row],[ProjectName]]),(ProjectInfoTable[ProjectName]=ContinuousStatsTable[[#This Row],[ProjectName]])*ProjectInfoTable[NumberOfReplications]))</f>
        <v>30</v>
      </c>
      <c r="O397" cm="1">
        <f t="array" ref="O397">IFERROR(AVERAGE(IF((ContinuousStatsTable[GroupByKey]=ContinuousStatsTable[[#This Row],[GroupByKey]]),(ContinuousStatsTable[GroupByKey]=ContinuousStatsTable[[#This Row],[GroupByKey]])*ContinuousStatsTable[Average])),0)</f>
        <v>80</v>
      </c>
      <c r="P397" cm="1">
        <f t="array" ref="P397">IFERROR(_xlfn.STDEV.S(IF((ContinuousStatsTable[GroupByKey]=ContinuousStatsTable[[#This Row],[GroupByKey]]),(ContinuousStatsTable[GroupByKey]=ContinuousStatsTable[[#This Row],[GroupByKey]])*ContinuousStatsTable[Average])),0)</f>
        <v>0</v>
      </c>
      <c r="Q397" cm="1">
        <f t="array" ref="Q397">MAX(IF((ProjectInfoTable[ProjectName]=ContinuousStatsTable[[#This Row],[ProjectName]]),(ProjectInfoTable[ProjectName]=ContinuousStatsTable[[#This Row],[ProjectName]])*ProjectInfoTable[ConfidenceInterval]))</f>
        <v>0.95</v>
      </c>
      <c r="R3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7" cm="1">
        <f t="array" ref="S397">MIN(IF((ContinuousStatsTable[GroupByKey]=ContinuousStatsTable[[#This Row],[GroupByKey]]),(ContinuousStatsTable[GroupByKey]=ContinuousStatsTable[[#This Row],[GroupByKey]])*ContinuousStatsTable[Average]))</f>
        <v>80</v>
      </c>
      <c r="T397" cm="1">
        <f t="array" ref="T397">MAX(IF((ContinuousStatsTable[GroupByKey]=ContinuousStatsTable[[#This Row],[GroupByKey]]),(ContinuousStatsTable[GroupByKey]=ContinuousStatsTable[[#This Row],[GroupByKey]])*ContinuousStatsTable[Average]))</f>
        <v>80</v>
      </c>
      <c r="U397">
        <f>IF((ContinuousStatsTable[[#This Row],[RepsRequested]]&gt;1),ContinuousStatsTable[[#This Row],[HalfWidth]],ContinuousStatsTable[[#This Row],[BatchMeansHalfWidth]])</f>
        <v>0</v>
      </c>
    </row>
    <row r="398" spans="1:21" x14ac:dyDescent="0.2">
      <c r="A398" t="s">
        <v>67</v>
      </c>
      <c r="B398" t="s">
        <v>70</v>
      </c>
      <c r="C398">
        <v>17</v>
      </c>
      <c r="D398" t="s">
        <v>86</v>
      </c>
      <c r="E398" t="s">
        <v>98</v>
      </c>
      <c r="F398" t="s">
        <v>73</v>
      </c>
      <c r="G398">
        <v>0</v>
      </c>
      <c r="H398">
        <v>2E+20</v>
      </c>
      <c r="I398">
        <v>0</v>
      </c>
      <c r="J398">
        <v>0</v>
      </c>
      <c r="K398">
        <v>0</v>
      </c>
      <c r="L398">
        <v>0</v>
      </c>
      <c r="M398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398" cm="1">
        <f t="array" ref="N398">MAX(IF((ProjectInfoTable[ProjectName]=ContinuousStatsTable[[#This Row],[ProjectName]]),(ProjectInfoTable[ProjectName]=ContinuousStatsTable[[#This Row],[ProjectName]])*ProjectInfoTable[NumberOfReplications]))</f>
        <v>30</v>
      </c>
      <c r="O398" cm="1">
        <f t="array" ref="O398">IFERROR(AVERAGE(IF((ContinuousStatsTable[GroupByKey]=ContinuousStatsTable[[#This Row],[GroupByKey]]),(ContinuousStatsTable[GroupByKey]=ContinuousStatsTable[[#This Row],[GroupByKey]])*ContinuousStatsTable[Average])),0)</f>
        <v>0</v>
      </c>
      <c r="P398" cm="1">
        <f t="array" ref="P398">IFERROR(_xlfn.STDEV.S(IF((ContinuousStatsTable[GroupByKey]=ContinuousStatsTable[[#This Row],[GroupByKey]]),(ContinuousStatsTable[GroupByKey]=ContinuousStatsTable[[#This Row],[GroupByKey]])*ContinuousStatsTable[Average])),0)</f>
        <v>0</v>
      </c>
      <c r="Q398" cm="1">
        <f t="array" ref="Q398">MAX(IF((ProjectInfoTable[ProjectName]=ContinuousStatsTable[[#This Row],[ProjectName]]),(ProjectInfoTable[ProjectName]=ContinuousStatsTable[[#This Row],[ProjectName]])*ProjectInfoTable[ConfidenceInterval]))</f>
        <v>0.95</v>
      </c>
      <c r="R3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8" cm="1">
        <f t="array" ref="S398">MIN(IF((ContinuousStatsTable[GroupByKey]=ContinuousStatsTable[[#This Row],[GroupByKey]]),(ContinuousStatsTable[GroupByKey]=ContinuousStatsTable[[#This Row],[GroupByKey]])*ContinuousStatsTable[Average]))</f>
        <v>0</v>
      </c>
      <c r="T398" cm="1">
        <f t="array" ref="T398">MAX(IF((ContinuousStatsTable[GroupByKey]=ContinuousStatsTable[[#This Row],[GroupByKey]]),(ContinuousStatsTable[GroupByKey]=ContinuousStatsTable[[#This Row],[GroupByKey]])*ContinuousStatsTable[Average]))</f>
        <v>0</v>
      </c>
      <c r="U398">
        <f>IF((ContinuousStatsTable[[#This Row],[RepsRequested]]&gt;1),ContinuousStatsTable[[#This Row],[HalfWidth]],ContinuousStatsTable[[#This Row],[BatchMeansHalfWidth]])</f>
        <v>0</v>
      </c>
    </row>
    <row r="399" spans="1:21" x14ac:dyDescent="0.2">
      <c r="A399" t="s">
        <v>67</v>
      </c>
      <c r="B399" t="s">
        <v>70</v>
      </c>
      <c r="C399">
        <v>17</v>
      </c>
      <c r="D399" t="s">
        <v>87</v>
      </c>
      <c r="E399" t="s">
        <v>98</v>
      </c>
      <c r="F399" t="s">
        <v>73</v>
      </c>
      <c r="G399">
        <v>0</v>
      </c>
      <c r="H399">
        <v>2E+20</v>
      </c>
      <c r="I399">
        <v>0</v>
      </c>
      <c r="J399">
        <v>0</v>
      </c>
      <c r="K399">
        <v>0</v>
      </c>
      <c r="L399">
        <v>0</v>
      </c>
      <c r="M399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399" cm="1">
        <f t="array" ref="N399">MAX(IF((ProjectInfoTable[ProjectName]=ContinuousStatsTable[[#This Row],[ProjectName]]),(ProjectInfoTable[ProjectName]=ContinuousStatsTable[[#This Row],[ProjectName]])*ProjectInfoTable[NumberOfReplications]))</f>
        <v>30</v>
      </c>
      <c r="O399" cm="1">
        <f t="array" ref="O399">IFERROR(AVERAGE(IF((ContinuousStatsTable[GroupByKey]=ContinuousStatsTable[[#This Row],[GroupByKey]]),(ContinuousStatsTable[GroupByKey]=ContinuousStatsTable[[#This Row],[GroupByKey]])*ContinuousStatsTable[Average])),0)</f>
        <v>0</v>
      </c>
      <c r="P399" cm="1">
        <f t="array" ref="P399">IFERROR(_xlfn.STDEV.S(IF((ContinuousStatsTable[GroupByKey]=ContinuousStatsTable[[#This Row],[GroupByKey]]),(ContinuousStatsTable[GroupByKey]=ContinuousStatsTable[[#This Row],[GroupByKey]])*ContinuousStatsTable[Average])),0)</f>
        <v>0</v>
      </c>
      <c r="Q399" cm="1">
        <f t="array" ref="Q399">MAX(IF((ProjectInfoTable[ProjectName]=ContinuousStatsTable[[#This Row],[ProjectName]]),(ProjectInfoTable[ProjectName]=ContinuousStatsTable[[#This Row],[ProjectName]])*ProjectInfoTable[ConfidenceInterval]))</f>
        <v>0.95</v>
      </c>
      <c r="R3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9" cm="1">
        <f t="array" ref="S399">MIN(IF((ContinuousStatsTable[GroupByKey]=ContinuousStatsTable[[#This Row],[GroupByKey]]),(ContinuousStatsTable[GroupByKey]=ContinuousStatsTable[[#This Row],[GroupByKey]])*ContinuousStatsTable[Average]))</f>
        <v>0</v>
      </c>
      <c r="T399" cm="1">
        <f t="array" ref="T399">MAX(IF((ContinuousStatsTable[GroupByKey]=ContinuousStatsTable[[#This Row],[GroupByKey]]),(ContinuousStatsTable[GroupByKey]=ContinuousStatsTable[[#This Row],[GroupByKey]])*ContinuousStatsTable[Average]))</f>
        <v>0</v>
      </c>
      <c r="U399">
        <f>IF((ContinuousStatsTable[[#This Row],[RepsRequested]]&gt;1),ContinuousStatsTable[[#This Row],[HalfWidth]],ContinuousStatsTable[[#This Row],[BatchMeansHalfWidth]])</f>
        <v>0</v>
      </c>
    </row>
    <row r="400" spans="1:21" x14ac:dyDescent="0.2">
      <c r="A400" t="s">
        <v>67</v>
      </c>
      <c r="B400" t="s">
        <v>70</v>
      </c>
      <c r="C400">
        <v>17</v>
      </c>
      <c r="D400" t="s">
        <v>88</v>
      </c>
      <c r="E400" t="s">
        <v>98</v>
      </c>
      <c r="F400" t="s">
        <v>73</v>
      </c>
      <c r="G400">
        <v>1.50568356470464</v>
      </c>
      <c r="H400">
        <v>0.108964958900094</v>
      </c>
      <c r="I400">
        <v>0</v>
      </c>
      <c r="J400">
        <v>4</v>
      </c>
      <c r="K400">
        <v>2</v>
      </c>
      <c r="L400">
        <v>0</v>
      </c>
      <c r="M400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400" cm="1">
        <f t="array" ref="N400">MAX(IF((ProjectInfoTable[ProjectName]=ContinuousStatsTable[[#This Row],[ProjectName]]),(ProjectInfoTable[ProjectName]=ContinuousStatsTable[[#This Row],[ProjectName]])*ProjectInfoTable[NumberOfReplications]))</f>
        <v>30</v>
      </c>
      <c r="O400" cm="1">
        <f t="array" ref="O400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400" cm="1">
        <f t="array" ref="P400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400" cm="1">
        <f t="array" ref="Q400">MAX(IF((ProjectInfoTable[ProjectName]=ContinuousStatsTable[[#This Row],[ProjectName]]),(ProjectInfoTable[ProjectName]=ContinuousStatsTable[[#This Row],[ProjectName]])*ProjectInfoTable[ConfidenceInterval]))</f>
        <v>0.95</v>
      </c>
      <c r="R4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400" cm="1">
        <f t="array" ref="S400">MIN(IF((ContinuousStatsTable[GroupByKey]=ContinuousStatsTable[[#This Row],[GroupByKey]]),(ContinuousStatsTable[GroupByKey]=ContinuousStatsTable[[#This Row],[GroupByKey]])*ContinuousStatsTable[Average]))</f>
        <v>1.4062336911317099</v>
      </c>
      <c r="T400" cm="1">
        <f t="array" ref="T400">MAX(IF((ContinuousStatsTable[GroupByKey]=ContinuousStatsTable[[#This Row],[GroupByKey]]),(ContinuousStatsTable[GroupByKey]=ContinuousStatsTable[[#This Row],[GroupByKey]])*ContinuousStatsTable[Average]))</f>
        <v>1.5889769030929</v>
      </c>
      <c r="U400">
        <f>IF((ContinuousStatsTable[[#This Row],[RepsRequested]]&gt;1),ContinuousStatsTable[[#This Row],[HalfWidth]],ContinuousStatsTable[[#This Row],[BatchMeansHalfWidth]])</f>
        <v>1.602866983772662E-2</v>
      </c>
    </row>
    <row r="401" spans="1:21" x14ac:dyDescent="0.2">
      <c r="A401" t="s">
        <v>67</v>
      </c>
      <c r="B401" t="s">
        <v>70</v>
      </c>
      <c r="C401">
        <v>17</v>
      </c>
      <c r="D401" t="s">
        <v>102</v>
      </c>
      <c r="E401" t="s">
        <v>94</v>
      </c>
      <c r="F401" t="s">
        <v>95</v>
      </c>
      <c r="G401">
        <v>4.9342105263157901E-3</v>
      </c>
      <c r="H401">
        <v>7.5249828675073697E-4</v>
      </c>
      <c r="I401">
        <v>0</v>
      </c>
      <c r="J401">
        <v>0.15</v>
      </c>
      <c r="K401">
        <v>0</v>
      </c>
      <c r="L401">
        <v>0</v>
      </c>
      <c r="M401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401" cm="1">
        <f t="array" ref="N401">MAX(IF((ProjectInfoTable[ProjectName]=ContinuousStatsTable[[#This Row],[ProjectName]]),(ProjectInfoTable[ProjectName]=ContinuousStatsTable[[#This Row],[ProjectName]])*ProjectInfoTable[NumberOfReplications]))</f>
        <v>30</v>
      </c>
      <c r="O401" cm="1">
        <f t="array" ref="O401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401" cm="1">
        <f t="array" ref="P401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401" cm="1">
        <f t="array" ref="Q401">MAX(IF((ProjectInfoTable[ProjectName]=ContinuousStatsTable[[#This Row],[ProjectName]]),(ProjectInfoTable[ProjectName]=ContinuousStatsTable[[#This Row],[ProjectName]])*ProjectInfoTable[ConfidenceInterval]))</f>
        <v>0.95</v>
      </c>
      <c r="R4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401" cm="1">
        <f t="array" ref="S401">MIN(IF((ContinuousStatsTable[GroupByKey]=ContinuousStatsTable[[#This Row],[GroupByKey]]),(ContinuousStatsTable[GroupByKey]=ContinuousStatsTable[[#This Row],[GroupByKey]])*ContinuousStatsTable[Average]))</f>
        <v>4.4956140350877203E-3</v>
      </c>
      <c r="T401" cm="1">
        <f t="array" ref="T401">MAX(IF((ContinuousStatsTable[GroupByKey]=ContinuousStatsTable[[#This Row],[GroupByKey]]),(ContinuousStatsTable[GroupByKey]=ContinuousStatsTable[[#This Row],[GroupByKey]])*ContinuousStatsTable[Average]))</f>
        <v>5.5482456140350904E-3</v>
      </c>
      <c r="U401">
        <f>IF((ContinuousStatsTable[[#This Row],[RepsRequested]]&gt;1),ContinuousStatsTable[[#This Row],[HalfWidth]],ContinuousStatsTable[[#This Row],[BatchMeansHalfWidth]])</f>
        <v>1.0144486472958472E-4</v>
      </c>
    </row>
    <row r="402" spans="1:21" x14ac:dyDescent="0.2">
      <c r="A402" t="s">
        <v>67</v>
      </c>
      <c r="B402" t="s">
        <v>70</v>
      </c>
      <c r="C402">
        <v>17</v>
      </c>
      <c r="D402" t="s">
        <v>102</v>
      </c>
      <c r="E402" t="s">
        <v>96</v>
      </c>
      <c r="F402" t="s">
        <v>95</v>
      </c>
      <c r="G402">
        <v>9.8684210526315805E-2</v>
      </c>
      <c r="H402">
        <v>1.50499657350147E-2</v>
      </c>
      <c r="I402">
        <v>0</v>
      </c>
      <c r="J402">
        <v>3</v>
      </c>
      <c r="K402">
        <v>0</v>
      </c>
      <c r="L402">
        <v>0</v>
      </c>
      <c r="M402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402" cm="1">
        <f t="array" ref="N402">MAX(IF((ProjectInfoTable[ProjectName]=ContinuousStatsTable[[#This Row],[ProjectName]]),(ProjectInfoTable[ProjectName]=ContinuousStatsTable[[#This Row],[ProjectName]])*ProjectInfoTable[NumberOfReplications]))</f>
        <v>30</v>
      </c>
      <c r="O402" cm="1">
        <f t="array" ref="O402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402" cm="1">
        <f t="array" ref="P402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402" cm="1">
        <f t="array" ref="Q402">MAX(IF((ProjectInfoTable[ProjectName]=ContinuousStatsTable[[#This Row],[ProjectName]]),(ProjectInfoTable[ProjectName]=ContinuousStatsTable[[#This Row],[ProjectName]])*ProjectInfoTable[ConfidenceInterval]))</f>
        <v>0.95</v>
      </c>
      <c r="R4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402" cm="1">
        <f t="array" ref="S402">MIN(IF((ContinuousStatsTable[GroupByKey]=ContinuousStatsTable[[#This Row],[GroupByKey]]),(ContinuousStatsTable[GroupByKey]=ContinuousStatsTable[[#This Row],[GroupByKey]])*ContinuousStatsTable[Average]))</f>
        <v>8.9912280701754305E-2</v>
      </c>
      <c r="T402" cm="1">
        <f t="array" ref="T402">MAX(IF((ContinuousStatsTable[GroupByKey]=ContinuousStatsTable[[#This Row],[GroupByKey]]),(ContinuousStatsTable[GroupByKey]=ContinuousStatsTable[[#This Row],[GroupByKey]])*ContinuousStatsTable[Average]))</f>
        <v>0.110964912280702</v>
      </c>
      <c r="U402">
        <f>IF((ContinuousStatsTable[[#This Row],[RepsRequested]]&gt;1),ContinuousStatsTable[[#This Row],[HalfWidth]],ContinuousStatsTable[[#This Row],[BatchMeansHalfWidth]])</f>
        <v>2.0288972945916956E-3</v>
      </c>
    </row>
    <row r="403" spans="1:21" x14ac:dyDescent="0.2">
      <c r="A403" t="s">
        <v>67</v>
      </c>
      <c r="B403" t="s">
        <v>70</v>
      </c>
      <c r="C403">
        <v>17</v>
      </c>
      <c r="D403" t="s">
        <v>102</v>
      </c>
      <c r="E403" t="s">
        <v>97</v>
      </c>
      <c r="F403" t="s">
        <v>95</v>
      </c>
      <c r="G403">
        <v>20</v>
      </c>
      <c r="H403">
        <v>2E+20</v>
      </c>
      <c r="I403">
        <v>20</v>
      </c>
      <c r="J403">
        <v>20</v>
      </c>
      <c r="K403">
        <v>20</v>
      </c>
      <c r="L403">
        <v>0</v>
      </c>
      <c r="M403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403" cm="1">
        <f t="array" ref="N403">MAX(IF((ProjectInfoTable[ProjectName]=ContinuousStatsTable[[#This Row],[ProjectName]]),(ProjectInfoTable[ProjectName]=ContinuousStatsTable[[#This Row],[ProjectName]])*ProjectInfoTable[NumberOfReplications]))</f>
        <v>30</v>
      </c>
      <c r="O403" cm="1">
        <f t="array" ref="O403">IFERROR(AVERAGE(IF((ContinuousStatsTable[GroupByKey]=ContinuousStatsTable[[#This Row],[GroupByKey]]),(ContinuousStatsTable[GroupByKey]=ContinuousStatsTable[[#This Row],[GroupByKey]])*ContinuousStatsTable[Average])),0)</f>
        <v>20</v>
      </c>
      <c r="P403" cm="1">
        <f t="array" ref="P403">IFERROR(_xlfn.STDEV.S(IF((ContinuousStatsTable[GroupByKey]=ContinuousStatsTable[[#This Row],[GroupByKey]]),(ContinuousStatsTable[GroupByKey]=ContinuousStatsTable[[#This Row],[GroupByKey]])*ContinuousStatsTable[Average])),0)</f>
        <v>0</v>
      </c>
      <c r="Q403" cm="1">
        <f t="array" ref="Q403">MAX(IF((ProjectInfoTable[ProjectName]=ContinuousStatsTable[[#This Row],[ProjectName]]),(ProjectInfoTable[ProjectName]=ContinuousStatsTable[[#This Row],[ProjectName]])*ProjectInfoTable[ConfidenceInterval]))</f>
        <v>0.95</v>
      </c>
      <c r="R4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3" cm="1">
        <f t="array" ref="S403">MIN(IF((ContinuousStatsTable[GroupByKey]=ContinuousStatsTable[[#This Row],[GroupByKey]]),(ContinuousStatsTable[GroupByKey]=ContinuousStatsTable[[#This Row],[GroupByKey]])*ContinuousStatsTable[Average]))</f>
        <v>20</v>
      </c>
      <c r="T403" cm="1">
        <f t="array" ref="T403">MAX(IF((ContinuousStatsTable[GroupByKey]=ContinuousStatsTable[[#This Row],[GroupByKey]]),(ContinuousStatsTable[GroupByKey]=ContinuousStatsTable[[#This Row],[GroupByKey]])*ContinuousStatsTable[Average]))</f>
        <v>20</v>
      </c>
      <c r="U403">
        <f>IF((ContinuousStatsTable[[#This Row],[RepsRequested]]&gt;1),ContinuousStatsTable[[#This Row],[HalfWidth]],ContinuousStatsTable[[#This Row],[BatchMeansHalfWidth]])</f>
        <v>0</v>
      </c>
    </row>
    <row r="404" spans="1:21" x14ac:dyDescent="0.2">
      <c r="A404" t="s">
        <v>67</v>
      </c>
      <c r="B404" t="s">
        <v>70</v>
      </c>
      <c r="C404">
        <v>17</v>
      </c>
      <c r="D404" t="s">
        <v>90</v>
      </c>
      <c r="E404" t="s">
        <v>98</v>
      </c>
      <c r="F404" t="s">
        <v>73</v>
      </c>
      <c r="G404">
        <v>0</v>
      </c>
      <c r="H404">
        <v>2E+20</v>
      </c>
      <c r="I404">
        <v>0</v>
      </c>
      <c r="J404">
        <v>0</v>
      </c>
      <c r="K404">
        <v>0</v>
      </c>
      <c r="L404">
        <v>0</v>
      </c>
      <c r="M404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404" cm="1">
        <f t="array" ref="N404">MAX(IF((ProjectInfoTable[ProjectName]=ContinuousStatsTable[[#This Row],[ProjectName]]),(ProjectInfoTable[ProjectName]=ContinuousStatsTable[[#This Row],[ProjectName]])*ProjectInfoTable[NumberOfReplications]))</f>
        <v>30</v>
      </c>
      <c r="O404" cm="1">
        <f t="array" ref="O404">IFERROR(AVERAGE(IF((ContinuousStatsTable[GroupByKey]=ContinuousStatsTable[[#This Row],[GroupByKey]]),(ContinuousStatsTable[GroupByKey]=ContinuousStatsTable[[#This Row],[GroupByKey]])*ContinuousStatsTable[Average])),0)</f>
        <v>0</v>
      </c>
      <c r="P404" cm="1">
        <f t="array" ref="P404">IFERROR(_xlfn.STDEV.S(IF((ContinuousStatsTable[GroupByKey]=ContinuousStatsTable[[#This Row],[GroupByKey]]),(ContinuousStatsTable[GroupByKey]=ContinuousStatsTable[[#This Row],[GroupByKey]])*ContinuousStatsTable[Average])),0)</f>
        <v>0</v>
      </c>
      <c r="Q404" cm="1">
        <f t="array" ref="Q404">MAX(IF((ProjectInfoTable[ProjectName]=ContinuousStatsTable[[#This Row],[ProjectName]]),(ProjectInfoTable[ProjectName]=ContinuousStatsTable[[#This Row],[ProjectName]])*ProjectInfoTable[ConfidenceInterval]))</f>
        <v>0.95</v>
      </c>
      <c r="R4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4" cm="1">
        <f t="array" ref="S404">MIN(IF((ContinuousStatsTable[GroupByKey]=ContinuousStatsTable[[#This Row],[GroupByKey]]),(ContinuousStatsTable[GroupByKey]=ContinuousStatsTable[[#This Row],[GroupByKey]])*ContinuousStatsTable[Average]))</f>
        <v>0</v>
      </c>
      <c r="T404" cm="1">
        <f t="array" ref="T404">MAX(IF((ContinuousStatsTable[GroupByKey]=ContinuousStatsTable[[#This Row],[GroupByKey]]),(ContinuousStatsTable[GroupByKey]=ContinuousStatsTable[[#This Row],[GroupByKey]])*ContinuousStatsTable[Average]))</f>
        <v>0</v>
      </c>
      <c r="U404">
        <f>IF((ContinuousStatsTable[[#This Row],[RepsRequested]]&gt;1),ContinuousStatsTable[[#This Row],[HalfWidth]],ContinuousStatsTable[[#This Row],[BatchMeansHalfWidth]])</f>
        <v>0</v>
      </c>
    </row>
    <row r="405" spans="1:21" x14ac:dyDescent="0.2">
      <c r="A405" t="s">
        <v>67</v>
      </c>
      <c r="B405" t="s">
        <v>70</v>
      </c>
      <c r="C405">
        <v>17</v>
      </c>
      <c r="D405" t="s">
        <v>91</v>
      </c>
      <c r="E405" t="s">
        <v>98</v>
      </c>
      <c r="F405" t="s">
        <v>73</v>
      </c>
      <c r="G405">
        <v>0</v>
      </c>
      <c r="H405">
        <v>2E+20</v>
      </c>
      <c r="I405">
        <v>0</v>
      </c>
      <c r="J405">
        <v>0</v>
      </c>
      <c r="K405">
        <v>0</v>
      </c>
      <c r="L405">
        <v>0</v>
      </c>
      <c r="M405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405" cm="1">
        <f t="array" ref="N405">MAX(IF((ProjectInfoTable[ProjectName]=ContinuousStatsTable[[#This Row],[ProjectName]]),(ProjectInfoTable[ProjectName]=ContinuousStatsTable[[#This Row],[ProjectName]])*ProjectInfoTable[NumberOfReplications]))</f>
        <v>30</v>
      </c>
      <c r="O405" cm="1">
        <f t="array" ref="O405">IFERROR(AVERAGE(IF((ContinuousStatsTable[GroupByKey]=ContinuousStatsTable[[#This Row],[GroupByKey]]),(ContinuousStatsTable[GroupByKey]=ContinuousStatsTable[[#This Row],[GroupByKey]])*ContinuousStatsTable[Average])),0)</f>
        <v>0</v>
      </c>
      <c r="P405" cm="1">
        <f t="array" ref="P405">IFERROR(_xlfn.STDEV.S(IF((ContinuousStatsTable[GroupByKey]=ContinuousStatsTable[[#This Row],[GroupByKey]]),(ContinuousStatsTable[GroupByKey]=ContinuousStatsTable[[#This Row],[GroupByKey]])*ContinuousStatsTable[Average])),0)</f>
        <v>0</v>
      </c>
      <c r="Q405" cm="1">
        <f t="array" ref="Q405">MAX(IF((ProjectInfoTable[ProjectName]=ContinuousStatsTable[[#This Row],[ProjectName]]),(ProjectInfoTable[ProjectName]=ContinuousStatsTable[[#This Row],[ProjectName]])*ProjectInfoTable[ConfidenceInterval]))</f>
        <v>0.95</v>
      </c>
      <c r="R4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5" cm="1">
        <f t="array" ref="S405">MIN(IF((ContinuousStatsTable[GroupByKey]=ContinuousStatsTable[[#This Row],[GroupByKey]]),(ContinuousStatsTable[GroupByKey]=ContinuousStatsTable[[#This Row],[GroupByKey]])*ContinuousStatsTable[Average]))</f>
        <v>0</v>
      </c>
      <c r="T405" cm="1">
        <f t="array" ref="T405">MAX(IF((ContinuousStatsTable[GroupByKey]=ContinuousStatsTable[[#This Row],[GroupByKey]]),(ContinuousStatsTable[GroupByKey]=ContinuousStatsTable[[#This Row],[GroupByKey]])*ContinuousStatsTable[Average]))</f>
        <v>0</v>
      </c>
      <c r="U405">
        <f>IF((ContinuousStatsTable[[#This Row],[RepsRequested]]&gt;1),ContinuousStatsTable[[#This Row],[HalfWidth]],ContinuousStatsTable[[#This Row],[BatchMeansHalfWidth]])</f>
        <v>0</v>
      </c>
    </row>
    <row r="406" spans="1:21" x14ac:dyDescent="0.2">
      <c r="A406" t="s">
        <v>67</v>
      </c>
      <c r="B406" t="s">
        <v>70</v>
      </c>
      <c r="C406">
        <v>17</v>
      </c>
      <c r="D406" t="s">
        <v>92</v>
      </c>
      <c r="E406" t="s">
        <v>98</v>
      </c>
      <c r="F406" t="s">
        <v>73</v>
      </c>
      <c r="G406">
        <v>0</v>
      </c>
      <c r="H406">
        <v>2E+20</v>
      </c>
      <c r="I406">
        <v>0</v>
      </c>
      <c r="J406">
        <v>0</v>
      </c>
      <c r="K406">
        <v>0</v>
      </c>
      <c r="L406">
        <v>0</v>
      </c>
      <c r="M406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406" cm="1">
        <f t="array" ref="N406">MAX(IF((ProjectInfoTable[ProjectName]=ContinuousStatsTable[[#This Row],[ProjectName]]),(ProjectInfoTable[ProjectName]=ContinuousStatsTable[[#This Row],[ProjectName]])*ProjectInfoTable[NumberOfReplications]))</f>
        <v>30</v>
      </c>
      <c r="O406" cm="1">
        <f t="array" ref="O406">IFERROR(AVERAGE(IF((ContinuousStatsTable[GroupByKey]=ContinuousStatsTable[[#This Row],[GroupByKey]]),(ContinuousStatsTable[GroupByKey]=ContinuousStatsTable[[#This Row],[GroupByKey]])*ContinuousStatsTable[Average])),0)</f>
        <v>0</v>
      </c>
      <c r="P406" cm="1">
        <f t="array" ref="P406">IFERROR(_xlfn.STDEV.S(IF((ContinuousStatsTable[GroupByKey]=ContinuousStatsTable[[#This Row],[GroupByKey]]),(ContinuousStatsTable[GroupByKey]=ContinuousStatsTable[[#This Row],[GroupByKey]])*ContinuousStatsTable[Average])),0)</f>
        <v>0</v>
      </c>
      <c r="Q406" cm="1">
        <f t="array" ref="Q406">MAX(IF((ProjectInfoTable[ProjectName]=ContinuousStatsTable[[#This Row],[ProjectName]]),(ProjectInfoTable[ProjectName]=ContinuousStatsTable[[#This Row],[ProjectName]])*ProjectInfoTable[ConfidenceInterval]))</f>
        <v>0.95</v>
      </c>
      <c r="R4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6" cm="1">
        <f t="array" ref="S406">MIN(IF((ContinuousStatsTable[GroupByKey]=ContinuousStatsTable[[#This Row],[GroupByKey]]),(ContinuousStatsTable[GroupByKey]=ContinuousStatsTable[[#This Row],[GroupByKey]])*ContinuousStatsTable[Average]))</f>
        <v>0</v>
      </c>
      <c r="T406" cm="1">
        <f t="array" ref="T406">MAX(IF((ContinuousStatsTable[GroupByKey]=ContinuousStatsTable[[#This Row],[GroupByKey]]),(ContinuousStatsTable[GroupByKey]=ContinuousStatsTable[[#This Row],[GroupByKey]])*ContinuousStatsTable[Average]))</f>
        <v>0</v>
      </c>
      <c r="U406">
        <f>IF((ContinuousStatsTable[[#This Row],[RepsRequested]]&gt;1),ContinuousStatsTable[[#This Row],[HalfWidth]],ContinuousStatsTable[[#This Row],[BatchMeansHalfWidth]])</f>
        <v>0</v>
      </c>
    </row>
    <row r="407" spans="1:21" x14ac:dyDescent="0.2">
      <c r="A407" t="s">
        <v>67</v>
      </c>
      <c r="B407" t="s">
        <v>70</v>
      </c>
      <c r="C407">
        <v>17</v>
      </c>
      <c r="D407" t="s">
        <v>103</v>
      </c>
      <c r="E407" t="s">
        <v>94</v>
      </c>
      <c r="F407" t="s">
        <v>95</v>
      </c>
      <c r="G407">
        <v>8.3676530020434306E-2</v>
      </c>
      <c r="H407">
        <v>2E+20</v>
      </c>
      <c r="I407">
        <v>0</v>
      </c>
      <c r="J407">
        <v>0.66666666666666696</v>
      </c>
      <c r="K407">
        <v>0</v>
      </c>
      <c r="L407">
        <v>0</v>
      </c>
      <c r="M407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407" cm="1">
        <f t="array" ref="N407">MAX(IF((ProjectInfoTable[ProjectName]=ContinuousStatsTable[[#This Row],[ProjectName]]),(ProjectInfoTable[ProjectName]=ContinuousStatsTable[[#This Row],[ProjectName]])*ProjectInfoTable[NumberOfReplications]))</f>
        <v>30</v>
      </c>
      <c r="O407" cm="1">
        <f t="array" ref="O407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407" cm="1">
        <f t="array" ref="P407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407" cm="1">
        <f t="array" ref="Q407">MAX(IF((ProjectInfoTable[ProjectName]=ContinuousStatsTable[[#This Row],[ProjectName]]),(ProjectInfoTable[ProjectName]=ContinuousStatsTable[[#This Row],[ProjectName]])*ProjectInfoTable[ConfidenceInterval]))</f>
        <v>0.95</v>
      </c>
      <c r="R4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407" cm="1">
        <f t="array" ref="S407">MIN(IF((ContinuousStatsTable[GroupByKey]=ContinuousStatsTable[[#This Row],[GroupByKey]]),(ContinuousStatsTable[GroupByKey]=ContinuousStatsTable[[#This Row],[GroupByKey]])*ContinuousStatsTable[Average]))</f>
        <v>7.7176470357846902E-2</v>
      </c>
      <c r="T407" cm="1">
        <f t="array" ref="T407">MAX(IF((ContinuousStatsTable[GroupByKey]=ContinuousStatsTable[[#This Row],[GroupByKey]]),(ContinuousStatsTable[GroupByKey]=ContinuousStatsTable[[#This Row],[GroupByKey]])*ContinuousStatsTable[Average]))</f>
        <v>9.2534326714405896E-2</v>
      </c>
      <c r="U407">
        <f>IF((ContinuousStatsTable[[#This Row],[RepsRequested]]&gt;1),ContinuousStatsTable[[#This Row],[HalfWidth]],ContinuousStatsTable[[#This Row],[BatchMeansHalfWidth]])</f>
        <v>1.3238327186697659E-3</v>
      </c>
    </row>
    <row r="408" spans="1:21" x14ac:dyDescent="0.2">
      <c r="A408" t="s">
        <v>67</v>
      </c>
      <c r="B408" t="s">
        <v>70</v>
      </c>
      <c r="C408">
        <v>17</v>
      </c>
      <c r="D408" t="s">
        <v>103</v>
      </c>
      <c r="E408" t="s">
        <v>96</v>
      </c>
      <c r="F408" t="s">
        <v>95</v>
      </c>
      <c r="G408">
        <v>0.25102959006130299</v>
      </c>
      <c r="H408">
        <v>2E+20</v>
      </c>
      <c r="I408">
        <v>0</v>
      </c>
      <c r="J408">
        <v>2</v>
      </c>
      <c r="K408">
        <v>0</v>
      </c>
      <c r="L408">
        <v>0</v>
      </c>
      <c r="M408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408" cm="1">
        <f t="array" ref="N408">MAX(IF((ProjectInfoTable[ProjectName]=ContinuousStatsTable[[#This Row],[ProjectName]]),(ProjectInfoTable[ProjectName]=ContinuousStatsTable[[#This Row],[ProjectName]])*ProjectInfoTable[NumberOfReplications]))</f>
        <v>30</v>
      </c>
      <c r="O408" cm="1">
        <f t="array" ref="O408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408" cm="1">
        <f t="array" ref="P408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408" cm="1">
        <f t="array" ref="Q408">MAX(IF((ProjectInfoTable[ProjectName]=ContinuousStatsTable[[#This Row],[ProjectName]]),(ProjectInfoTable[ProjectName]=ContinuousStatsTable[[#This Row],[ProjectName]])*ProjectInfoTable[ConfidenceInterval]))</f>
        <v>0.95</v>
      </c>
      <c r="R4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408" cm="1">
        <f t="array" ref="S408">MIN(IF((ContinuousStatsTable[GroupByKey]=ContinuousStatsTable[[#This Row],[GroupByKey]]),(ContinuousStatsTable[GroupByKey]=ContinuousStatsTable[[#This Row],[GroupByKey]])*ContinuousStatsTable[Average]))</f>
        <v>0.231529411073541</v>
      </c>
      <c r="T408" cm="1">
        <f t="array" ref="T408">MAX(IF((ContinuousStatsTable[GroupByKey]=ContinuousStatsTable[[#This Row],[GroupByKey]]),(ContinuousStatsTable[GroupByKey]=ContinuousStatsTable[[#This Row],[GroupByKey]])*ContinuousStatsTable[Average]))</f>
        <v>0.27760298014321699</v>
      </c>
      <c r="U408">
        <f>IF((ContinuousStatsTable[[#This Row],[RepsRequested]]&gt;1),ContinuousStatsTable[[#This Row],[HalfWidth]],ContinuousStatsTable[[#This Row],[BatchMeansHalfWidth]])</f>
        <v>3.9714981560092996E-3</v>
      </c>
    </row>
    <row r="409" spans="1:21" x14ac:dyDescent="0.2">
      <c r="A409" t="s">
        <v>67</v>
      </c>
      <c r="B409" t="s">
        <v>70</v>
      </c>
      <c r="C409">
        <v>17</v>
      </c>
      <c r="D409" t="s">
        <v>103</v>
      </c>
      <c r="E409" t="s">
        <v>97</v>
      </c>
      <c r="F409" t="s">
        <v>95</v>
      </c>
      <c r="G409">
        <v>3</v>
      </c>
      <c r="H409">
        <v>2E+20</v>
      </c>
      <c r="I409">
        <v>3</v>
      </c>
      <c r="J409">
        <v>3</v>
      </c>
      <c r="K409">
        <v>3</v>
      </c>
      <c r="L409">
        <v>0</v>
      </c>
      <c r="M409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409" cm="1">
        <f t="array" ref="N409">MAX(IF((ProjectInfoTable[ProjectName]=ContinuousStatsTable[[#This Row],[ProjectName]]),(ProjectInfoTable[ProjectName]=ContinuousStatsTable[[#This Row],[ProjectName]])*ProjectInfoTable[NumberOfReplications]))</f>
        <v>30</v>
      </c>
      <c r="O409" cm="1">
        <f t="array" ref="O409">IFERROR(AVERAGE(IF((ContinuousStatsTable[GroupByKey]=ContinuousStatsTable[[#This Row],[GroupByKey]]),(ContinuousStatsTable[GroupByKey]=ContinuousStatsTable[[#This Row],[GroupByKey]])*ContinuousStatsTable[Average])),0)</f>
        <v>3</v>
      </c>
      <c r="P409" cm="1">
        <f t="array" ref="P409">IFERROR(_xlfn.STDEV.S(IF((ContinuousStatsTable[GroupByKey]=ContinuousStatsTable[[#This Row],[GroupByKey]]),(ContinuousStatsTable[GroupByKey]=ContinuousStatsTable[[#This Row],[GroupByKey]])*ContinuousStatsTable[Average])),0)</f>
        <v>0</v>
      </c>
      <c r="Q409" cm="1">
        <f t="array" ref="Q409">MAX(IF((ProjectInfoTable[ProjectName]=ContinuousStatsTable[[#This Row],[ProjectName]]),(ProjectInfoTable[ProjectName]=ContinuousStatsTable[[#This Row],[ProjectName]])*ProjectInfoTable[ConfidenceInterval]))</f>
        <v>0.95</v>
      </c>
      <c r="R4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9" cm="1">
        <f t="array" ref="S409">MIN(IF((ContinuousStatsTable[GroupByKey]=ContinuousStatsTable[[#This Row],[GroupByKey]]),(ContinuousStatsTable[GroupByKey]=ContinuousStatsTable[[#This Row],[GroupByKey]])*ContinuousStatsTable[Average]))</f>
        <v>3</v>
      </c>
      <c r="T409" cm="1">
        <f t="array" ref="T409">MAX(IF((ContinuousStatsTable[GroupByKey]=ContinuousStatsTable[[#This Row],[GroupByKey]]),(ContinuousStatsTable[GroupByKey]=ContinuousStatsTable[[#This Row],[GroupByKey]])*ContinuousStatsTable[Average]))</f>
        <v>3</v>
      </c>
      <c r="U409">
        <f>IF((ContinuousStatsTable[[#This Row],[RepsRequested]]&gt;1),ContinuousStatsTable[[#This Row],[HalfWidth]],ContinuousStatsTable[[#This Row],[BatchMeansHalfWidth]])</f>
        <v>0</v>
      </c>
    </row>
    <row r="410" spans="1:21" x14ac:dyDescent="0.2">
      <c r="A410" t="s">
        <v>67</v>
      </c>
      <c r="B410" t="s">
        <v>70</v>
      </c>
      <c r="C410">
        <v>18</v>
      </c>
      <c r="D410" t="s">
        <v>93</v>
      </c>
      <c r="E410" t="s">
        <v>94</v>
      </c>
      <c r="F410" t="s">
        <v>95</v>
      </c>
      <c r="G410">
        <v>0.25087719298245598</v>
      </c>
      <c r="H410">
        <v>2.01534397904348E-2</v>
      </c>
      <c r="I410">
        <v>0</v>
      </c>
      <c r="J410">
        <v>1</v>
      </c>
      <c r="K410">
        <v>0</v>
      </c>
      <c r="L410">
        <v>0</v>
      </c>
      <c r="M410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410" cm="1">
        <f t="array" ref="N410">MAX(IF((ProjectInfoTable[ProjectName]=ContinuousStatsTable[[#This Row],[ProjectName]]),(ProjectInfoTable[ProjectName]=ContinuousStatsTable[[#This Row],[ProjectName]])*ProjectInfoTable[NumberOfReplications]))</f>
        <v>30</v>
      </c>
      <c r="O410" cm="1">
        <f t="array" ref="O410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410" cm="1">
        <f t="array" ref="P410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410" cm="1">
        <f t="array" ref="Q410">MAX(IF((ProjectInfoTable[ProjectName]=ContinuousStatsTable[[#This Row],[ProjectName]]),(ProjectInfoTable[ProjectName]=ContinuousStatsTable[[#This Row],[ProjectName]])*ProjectInfoTable[ConfidenceInterval]))</f>
        <v>0.95</v>
      </c>
      <c r="R4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410" cm="1">
        <f t="array" ref="S410">MIN(IF((ContinuousStatsTable[GroupByKey]=ContinuousStatsTable[[#This Row],[GroupByKey]]),(ContinuousStatsTable[GroupByKey]=ContinuousStatsTable[[#This Row],[GroupByKey]])*ContinuousStatsTable[Average]))</f>
        <v>0.233333333333333</v>
      </c>
      <c r="T410" cm="1">
        <f t="array" ref="T410">MAX(IF((ContinuousStatsTable[GroupByKey]=ContinuousStatsTable[[#This Row],[GroupByKey]]),(ContinuousStatsTable[GroupByKey]=ContinuousStatsTable[[#This Row],[GroupByKey]])*ContinuousStatsTable[Average]))</f>
        <v>0.27905535859326402</v>
      </c>
      <c r="U410">
        <f>IF((ContinuousStatsTable[[#This Row],[RepsRequested]]&gt;1),ContinuousStatsTable[[#This Row],[HalfWidth]],ContinuousStatsTable[[#This Row],[BatchMeansHalfWidth]])</f>
        <v>4.2029769261323026E-3</v>
      </c>
    </row>
    <row r="411" spans="1:21" x14ac:dyDescent="0.2">
      <c r="A411" t="s">
        <v>67</v>
      </c>
      <c r="B411" t="s">
        <v>70</v>
      </c>
      <c r="C411">
        <v>18</v>
      </c>
      <c r="D411" t="s">
        <v>93</v>
      </c>
      <c r="E411" t="s">
        <v>96</v>
      </c>
      <c r="F411" t="s">
        <v>95</v>
      </c>
      <c r="G411">
        <v>0.25087719298245598</v>
      </c>
      <c r="H411">
        <v>2.01534397904348E-2</v>
      </c>
      <c r="I411">
        <v>0</v>
      </c>
      <c r="J411">
        <v>1</v>
      </c>
      <c r="K411">
        <v>0</v>
      </c>
      <c r="L411">
        <v>0</v>
      </c>
      <c r="M411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411" cm="1">
        <f t="array" ref="N411">MAX(IF((ProjectInfoTable[ProjectName]=ContinuousStatsTable[[#This Row],[ProjectName]]),(ProjectInfoTable[ProjectName]=ContinuousStatsTable[[#This Row],[ProjectName]])*ProjectInfoTable[NumberOfReplications]))</f>
        <v>30</v>
      </c>
      <c r="O411" cm="1">
        <f t="array" ref="O411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411" cm="1">
        <f t="array" ref="P411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411" cm="1">
        <f t="array" ref="Q411">MAX(IF((ProjectInfoTable[ProjectName]=ContinuousStatsTable[[#This Row],[ProjectName]]),(ProjectInfoTable[ProjectName]=ContinuousStatsTable[[#This Row],[ProjectName]])*ProjectInfoTable[ConfidenceInterval]))</f>
        <v>0.95</v>
      </c>
      <c r="R4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411" cm="1">
        <f t="array" ref="S411">MIN(IF((ContinuousStatsTable[GroupByKey]=ContinuousStatsTable[[#This Row],[GroupByKey]]),(ContinuousStatsTable[GroupByKey]=ContinuousStatsTable[[#This Row],[GroupByKey]])*ContinuousStatsTable[Average]))</f>
        <v>0.233333333333333</v>
      </c>
      <c r="T411" cm="1">
        <f t="array" ref="T411">MAX(IF((ContinuousStatsTable[GroupByKey]=ContinuousStatsTable[[#This Row],[GroupByKey]]),(ContinuousStatsTable[GroupByKey]=ContinuousStatsTable[[#This Row],[GroupByKey]])*ContinuousStatsTable[Average]))</f>
        <v>0.27905535859326402</v>
      </c>
      <c r="U411">
        <f>IF((ContinuousStatsTable[[#This Row],[RepsRequested]]&gt;1),ContinuousStatsTable[[#This Row],[HalfWidth]],ContinuousStatsTable[[#This Row],[BatchMeansHalfWidth]])</f>
        <v>4.2029769261323026E-3</v>
      </c>
    </row>
    <row r="412" spans="1:21" x14ac:dyDescent="0.2">
      <c r="A412" t="s">
        <v>67</v>
      </c>
      <c r="B412" t="s">
        <v>70</v>
      </c>
      <c r="C412">
        <v>18</v>
      </c>
      <c r="D412" t="s">
        <v>93</v>
      </c>
      <c r="E412" t="s">
        <v>97</v>
      </c>
      <c r="F412" t="s">
        <v>95</v>
      </c>
      <c r="G412">
        <v>1</v>
      </c>
      <c r="H412">
        <v>2E+20</v>
      </c>
      <c r="I412">
        <v>1</v>
      </c>
      <c r="J412">
        <v>1</v>
      </c>
      <c r="K412">
        <v>1</v>
      </c>
      <c r="L412">
        <v>0</v>
      </c>
      <c r="M412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412" cm="1">
        <f t="array" ref="N412">MAX(IF((ProjectInfoTable[ProjectName]=ContinuousStatsTable[[#This Row],[ProjectName]]),(ProjectInfoTable[ProjectName]=ContinuousStatsTable[[#This Row],[ProjectName]])*ProjectInfoTable[NumberOfReplications]))</f>
        <v>30</v>
      </c>
      <c r="O412" cm="1">
        <f t="array" ref="O412">IFERROR(AVERAGE(IF((ContinuousStatsTable[GroupByKey]=ContinuousStatsTable[[#This Row],[GroupByKey]]),(ContinuousStatsTable[GroupByKey]=ContinuousStatsTable[[#This Row],[GroupByKey]])*ContinuousStatsTable[Average])),0)</f>
        <v>1</v>
      </c>
      <c r="P412" cm="1">
        <f t="array" ref="P412">IFERROR(_xlfn.STDEV.S(IF((ContinuousStatsTable[GroupByKey]=ContinuousStatsTable[[#This Row],[GroupByKey]]),(ContinuousStatsTable[GroupByKey]=ContinuousStatsTable[[#This Row],[GroupByKey]])*ContinuousStatsTable[Average])),0)</f>
        <v>0</v>
      </c>
      <c r="Q412" cm="1">
        <f t="array" ref="Q412">MAX(IF((ProjectInfoTable[ProjectName]=ContinuousStatsTable[[#This Row],[ProjectName]]),(ProjectInfoTable[ProjectName]=ContinuousStatsTable[[#This Row],[ProjectName]])*ProjectInfoTable[ConfidenceInterval]))</f>
        <v>0.95</v>
      </c>
      <c r="R4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2" cm="1">
        <f t="array" ref="S412">MIN(IF((ContinuousStatsTable[GroupByKey]=ContinuousStatsTable[[#This Row],[GroupByKey]]),(ContinuousStatsTable[GroupByKey]=ContinuousStatsTable[[#This Row],[GroupByKey]])*ContinuousStatsTable[Average]))</f>
        <v>1</v>
      </c>
      <c r="T412" cm="1">
        <f t="array" ref="T412">MAX(IF((ContinuousStatsTable[GroupByKey]=ContinuousStatsTable[[#This Row],[GroupByKey]]),(ContinuousStatsTable[GroupByKey]=ContinuousStatsTable[[#This Row],[GroupByKey]])*ContinuousStatsTable[Average]))</f>
        <v>1</v>
      </c>
      <c r="U412">
        <f>IF((ContinuousStatsTable[[#This Row],[RepsRequested]]&gt;1),ContinuousStatsTable[[#This Row],[HalfWidth]],ContinuousStatsTable[[#This Row],[BatchMeansHalfWidth]])</f>
        <v>0</v>
      </c>
    </row>
    <row r="413" spans="1:21" x14ac:dyDescent="0.2">
      <c r="A413" t="s">
        <v>67</v>
      </c>
      <c r="B413" t="s">
        <v>70</v>
      </c>
      <c r="C413">
        <v>18</v>
      </c>
      <c r="D413" t="s">
        <v>71</v>
      </c>
      <c r="E413" t="s">
        <v>98</v>
      </c>
      <c r="F413" t="s">
        <v>73</v>
      </c>
      <c r="G413">
        <v>3.5659886936882899E-2</v>
      </c>
      <c r="H413">
        <v>2E+20</v>
      </c>
      <c r="I413">
        <v>0</v>
      </c>
      <c r="J413">
        <v>2</v>
      </c>
      <c r="K413">
        <v>0</v>
      </c>
      <c r="L413">
        <v>0</v>
      </c>
      <c r="M413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413" cm="1">
        <f t="array" ref="N413">MAX(IF((ProjectInfoTable[ProjectName]=ContinuousStatsTable[[#This Row],[ProjectName]]),(ProjectInfoTable[ProjectName]=ContinuousStatsTable[[#This Row],[ProjectName]])*ProjectInfoTable[NumberOfReplications]))</f>
        <v>30</v>
      </c>
      <c r="O413" cm="1">
        <f t="array" ref="O413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413" cm="1">
        <f t="array" ref="P413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413" cm="1">
        <f t="array" ref="Q413">MAX(IF((ProjectInfoTable[ProjectName]=ContinuousStatsTable[[#This Row],[ProjectName]]),(ProjectInfoTable[ProjectName]=ContinuousStatsTable[[#This Row],[ProjectName]])*ProjectInfoTable[ConfidenceInterval]))</f>
        <v>0.95</v>
      </c>
      <c r="R4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413" cm="1">
        <f t="array" ref="S413">MIN(IF((ContinuousStatsTable[GroupByKey]=ContinuousStatsTable[[#This Row],[GroupByKey]]),(ContinuousStatsTable[GroupByKey]=ContinuousStatsTable[[#This Row],[GroupByKey]])*ContinuousStatsTable[Average]))</f>
        <v>1.9664517785186901E-2</v>
      </c>
      <c r="T413" cm="1">
        <f t="array" ref="T413">MAX(IF((ContinuousStatsTable[GroupByKey]=ContinuousStatsTable[[#This Row],[GroupByKey]]),(ContinuousStatsTable[GroupByKey]=ContinuousStatsTable[[#This Row],[GroupByKey]])*ContinuousStatsTable[Average]))</f>
        <v>3.9738966906982302E-2</v>
      </c>
      <c r="U413">
        <f>IF((ContinuousStatsTable[[#This Row],[RepsRequested]]&gt;1),ContinuousStatsTable[[#This Row],[HalfWidth]],ContinuousStatsTable[[#This Row],[BatchMeansHalfWidth]])</f>
        <v>1.6627262085570247E-3</v>
      </c>
    </row>
    <row r="414" spans="1:21" x14ac:dyDescent="0.2">
      <c r="A414" t="s">
        <v>67</v>
      </c>
      <c r="B414" t="s">
        <v>70</v>
      </c>
      <c r="C414">
        <v>18</v>
      </c>
      <c r="D414" t="s">
        <v>99</v>
      </c>
      <c r="E414" t="s">
        <v>94</v>
      </c>
      <c r="F414" t="s">
        <v>95</v>
      </c>
      <c r="G414">
        <v>0.63207337880649594</v>
      </c>
      <c r="H414">
        <v>4.9499668576251397E-2</v>
      </c>
      <c r="I414">
        <v>0</v>
      </c>
      <c r="J414">
        <v>1</v>
      </c>
      <c r="K414">
        <v>1</v>
      </c>
      <c r="L414">
        <v>0</v>
      </c>
      <c r="M414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414" cm="1">
        <f t="array" ref="N414">MAX(IF((ProjectInfoTable[ProjectName]=ContinuousStatsTable[[#This Row],[ProjectName]]),(ProjectInfoTable[ProjectName]=ContinuousStatsTable[[#This Row],[ProjectName]])*ProjectInfoTable[NumberOfReplications]))</f>
        <v>30</v>
      </c>
      <c r="O414" cm="1">
        <f t="array" ref="O414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414" cm="1">
        <f t="array" ref="P414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414" cm="1">
        <f t="array" ref="Q414">MAX(IF((ProjectInfoTable[ProjectName]=ContinuousStatsTable[[#This Row],[ProjectName]]),(ProjectInfoTable[ProjectName]=ContinuousStatsTable[[#This Row],[ProjectName]])*ProjectInfoTable[ConfidenceInterval]))</f>
        <v>0.95</v>
      </c>
      <c r="R4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414" cm="1">
        <f t="array" ref="S414">MIN(IF((ContinuousStatsTable[GroupByKey]=ContinuousStatsTable[[#This Row],[GroupByKey]]),(ContinuousStatsTable[GroupByKey]=ContinuousStatsTable[[#This Row],[GroupByKey]])*ContinuousStatsTable[Average]))</f>
        <v>0.58256422876290004</v>
      </c>
      <c r="T414" cm="1">
        <f t="array" ref="T414">MAX(IF((ContinuousStatsTable[GroupByKey]=ContinuousStatsTable[[#This Row],[GroupByKey]]),(ContinuousStatsTable[GroupByKey]=ContinuousStatsTable[[#This Row],[GroupByKey]])*ContinuousStatsTable[Average]))</f>
        <v>0.68643238055161704</v>
      </c>
      <c r="U414">
        <f>IF((ContinuousStatsTable[[#This Row],[RepsRequested]]&gt;1),ContinuousStatsTable[[#This Row],[HalfWidth]],ContinuousStatsTable[[#This Row],[BatchMeansHalfWidth]])</f>
        <v>9.8490003000806757E-3</v>
      </c>
    </row>
    <row r="415" spans="1:21" x14ac:dyDescent="0.2">
      <c r="A415" t="s">
        <v>67</v>
      </c>
      <c r="B415" t="s">
        <v>70</v>
      </c>
      <c r="C415">
        <v>18</v>
      </c>
      <c r="D415" t="s">
        <v>99</v>
      </c>
      <c r="E415" t="s">
        <v>96</v>
      </c>
      <c r="F415" t="s">
        <v>95</v>
      </c>
      <c r="G415">
        <v>1.2641467576129899</v>
      </c>
      <c r="H415">
        <v>9.8999337152502906E-2</v>
      </c>
      <c r="I415">
        <v>0</v>
      </c>
      <c r="J415">
        <v>2</v>
      </c>
      <c r="K415">
        <v>2</v>
      </c>
      <c r="L415">
        <v>0</v>
      </c>
      <c r="M415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415" cm="1">
        <f t="array" ref="N415">MAX(IF((ProjectInfoTable[ProjectName]=ContinuousStatsTable[[#This Row],[ProjectName]]),(ProjectInfoTable[ProjectName]=ContinuousStatsTable[[#This Row],[ProjectName]])*ProjectInfoTable[NumberOfReplications]))</f>
        <v>30</v>
      </c>
      <c r="O415" cm="1">
        <f t="array" ref="O415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415" cm="1">
        <f t="array" ref="P415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415" cm="1">
        <f t="array" ref="Q415">MAX(IF((ProjectInfoTable[ProjectName]=ContinuousStatsTable[[#This Row],[ProjectName]]),(ProjectInfoTable[ProjectName]=ContinuousStatsTable[[#This Row],[ProjectName]])*ProjectInfoTable[ConfidenceInterval]))</f>
        <v>0.95</v>
      </c>
      <c r="R4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415" cm="1">
        <f t="array" ref="S415">MIN(IF((ContinuousStatsTable[GroupByKey]=ContinuousStatsTable[[#This Row],[GroupByKey]]),(ContinuousStatsTable[GroupByKey]=ContinuousStatsTable[[#This Row],[GroupByKey]])*ContinuousStatsTable[Average]))</f>
        <v>1.1651284575258001</v>
      </c>
      <c r="T415" cm="1">
        <f t="array" ref="T415">MAX(IF((ContinuousStatsTable[GroupByKey]=ContinuousStatsTable[[#This Row],[GroupByKey]]),(ContinuousStatsTable[GroupByKey]=ContinuousStatsTable[[#This Row],[GroupByKey]])*ContinuousStatsTable[Average]))</f>
        <v>1.3728647611032301</v>
      </c>
      <c r="U415">
        <f>IF((ContinuousStatsTable[[#This Row],[RepsRequested]]&gt;1),ContinuousStatsTable[[#This Row],[HalfWidth]],ContinuousStatsTable[[#This Row],[BatchMeansHalfWidth]])</f>
        <v>1.9698000600160998E-2</v>
      </c>
    </row>
    <row r="416" spans="1:21" x14ac:dyDescent="0.2">
      <c r="A416" t="s">
        <v>67</v>
      </c>
      <c r="B416" t="s">
        <v>70</v>
      </c>
      <c r="C416">
        <v>18</v>
      </c>
      <c r="D416" t="s">
        <v>99</v>
      </c>
      <c r="E416" t="s">
        <v>97</v>
      </c>
      <c r="F416" t="s">
        <v>95</v>
      </c>
      <c r="G416">
        <v>2</v>
      </c>
      <c r="H416">
        <v>2E+20</v>
      </c>
      <c r="I416">
        <v>2</v>
      </c>
      <c r="J416">
        <v>2</v>
      </c>
      <c r="K416">
        <v>2</v>
      </c>
      <c r="L416">
        <v>0</v>
      </c>
      <c r="M416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416" cm="1">
        <f t="array" ref="N416">MAX(IF((ProjectInfoTable[ProjectName]=ContinuousStatsTable[[#This Row],[ProjectName]]),(ProjectInfoTable[ProjectName]=ContinuousStatsTable[[#This Row],[ProjectName]])*ProjectInfoTable[NumberOfReplications]))</f>
        <v>30</v>
      </c>
      <c r="O416" cm="1">
        <f t="array" ref="O416">IFERROR(AVERAGE(IF((ContinuousStatsTable[GroupByKey]=ContinuousStatsTable[[#This Row],[GroupByKey]]),(ContinuousStatsTable[GroupByKey]=ContinuousStatsTable[[#This Row],[GroupByKey]])*ContinuousStatsTable[Average])),0)</f>
        <v>2</v>
      </c>
      <c r="P416" cm="1">
        <f t="array" ref="P416">IFERROR(_xlfn.STDEV.S(IF((ContinuousStatsTable[GroupByKey]=ContinuousStatsTable[[#This Row],[GroupByKey]]),(ContinuousStatsTable[GroupByKey]=ContinuousStatsTable[[#This Row],[GroupByKey]])*ContinuousStatsTable[Average])),0)</f>
        <v>0</v>
      </c>
      <c r="Q416" cm="1">
        <f t="array" ref="Q416">MAX(IF((ProjectInfoTable[ProjectName]=ContinuousStatsTable[[#This Row],[ProjectName]]),(ProjectInfoTable[ProjectName]=ContinuousStatsTable[[#This Row],[ProjectName]])*ProjectInfoTable[ConfidenceInterval]))</f>
        <v>0.95</v>
      </c>
      <c r="R4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6" cm="1">
        <f t="array" ref="S416">MIN(IF((ContinuousStatsTable[GroupByKey]=ContinuousStatsTable[[#This Row],[GroupByKey]]),(ContinuousStatsTable[GroupByKey]=ContinuousStatsTable[[#This Row],[GroupByKey]])*ContinuousStatsTable[Average]))</f>
        <v>2</v>
      </c>
      <c r="T416" cm="1">
        <f t="array" ref="T416">MAX(IF((ContinuousStatsTable[GroupByKey]=ContinuousStatsTable[[#This Row],[GroupByKey]]),(ContinuousStatsTable[GroupByKey]=ContinuousStatsTable[[#This Row],[GroupByKey]])*ContinuousStatsTable[Average]))</f>
        <v>2</v>
      </c>
      <c r="U416">
        <f>IF((ContinuousStatsTable[[#This Row],[RepsRequested]]&gt;1),ContinuousStatsTable[[#This Row],[HalfWidth]],ContinuousStatsTable[[#This Row],[BatchMeansHalfWidth]])</f>
        <v>0</v>
      </c>
    </row>
    <row r="417" spans="1:21" x14ac:dyDescent="0.2">
      <c r="A417" t="s">
        <v>67</v>
      </c>
      <c r="B417" t="s">
        <v>70</v>
      </c>
      <c r="C417">
        <v>18</v>
      </c>
      <c r="D417" t="s">
        <v>74</v>
      </c>
      <c r="E417" t="s">
        <v>100</v>
      </c>
      <c r="F417" t="s">
        <v>76</v>
      </c>
      <c r="G417">
        <v>15.7396927127743</v>
      </c>
      <c r="H417">
        <v>0.93079470889399296</v>
      </c>
      <c r="I417">
        <v>3</v>
      </c>
      <c r="J417">
        <v>34</v>
      </c>
      <c r="K417">
        <v>20</v>
      </c>
      <c r="L417">
        <v>0</v>
      </c>
      <c r="M4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17" cm="1">
        <f t="array" ref="N417">MAX(IF((ProjectInfoTable[ProjectName]=ContinuousStatsTable[[#This Row],[ProjectName]]),(ProjectInfoTable[ProjectName]=ContinuousStatsTable[[#This Row],[ProjectName]])*ProjectInfoTable[NumberOfReplications]))</f>
        <v>30</v>
      </c>
      <c r="O417" cm="1">
        <f t="array" ref="O417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417" cm="1">
        <f t="array" ref="P417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417" cm="1">
        <f t="array" ref="Q417">MAX(IF((ProjectInfoTable[ProjectName]=ContinuousStatsTable[[#This Row],[ProjectName]]),(ProjectInfoTable[ProjectName]=ContinuousStatsTable[[#This Row],[ProjectName]])*ProjectInfoTable[ConfidenceInterval]))</f>
        <v>0.95</v>
      </c>
      <c r="R4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417" cm="1">
        <f t="array" ref="S417">MIN(IF((ContinuousStatsTable[GroupByKey]=ContinuousStatsTable[[#This Row],[GroupByKey]]),(ContinuousStatsTable[GroupByKey]=ContinuousStatsTable[[#This Row],[GroupByKey]])*ContinuousStatsTable[Average]))</f>
        <v>14.4112589759764</v>
      </c>
      <c r="T417" cm="1">
        <f t="array" ref="T417">MAX(IF((ContinuousStatsTable[GroupByKey]=ContinuousStatsTable[[#This Row],[GroupByKey]]),(ContinuousStatsTable[GroupByKey]=ContinuousStatsTable[[#This Row],[GroupByKey]])*ContinuousStatsTable[Average]))</f>
        <v>16.972707717517899</v>
      </c>
      <c r="U417">
        <f>IF((ContinuousStatsTable[[#This Row],[RepsRequested]]&gt;1),ContinuousStatsTable[[#This Row],[HalfWidth]],ContinuousStatsTable[[#This Row],[BatchMeansHalfWidth]])</f>
        <v>0.25870181881670146</v>
      </c>
    </row>
    <row r="418" spans="1:21" x14ac:dyDescent="0.2">
      <c r="A418" t="s">
        <v>67</v>
      </c>
      <c r="B418" t="s">
        <v>70</v>
      </c>
      <c r="C418">
        <v>18</v>
      </c>
      <c r="D418" t="s">
        <v>82</v>
      </c>
      <c r="E418" t="s">
        <v>98</v>
      </c>
      <c r="F418" t="s">
        <v>73</v>
      </c>
      <c r="G418">
        <v>0.14437771094806001</v>
      </c>
      <c r="H418">
        <v>2E+20</v>
      </c>
      <c r="I418">
        <v>0</v>
      </c>
      <c r="J418">
        <v>4</v>
      </c>
      <c r="K418">
        <v>0</v>
      </c>
      <c r="L418">
        <v>0</v>
      </c>
      <c r="M418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418" cm="1">
        <f t="array" ref="N418">MAX(IF((ProjectInfoTable[ProjectName]=ContinuousStatsTable[[#This Row],[ProjectName]]),(ProjectInfoTable[ProjectName]=ContinuousStatsTable[[#This Row],[ProjectName]])*ProjectInfoTable[NumberOfReplications]))</f>
        <v>30</v>
      </c>
      <c r="O418" cm="1">
        <f t="array" ref="O418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418" cm="1">
        <f t="array" ref="P418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418" cm="1">
        <f t="array" ref="Q418">MAX(IF((ProjectInfoTable[ProjectName]=ContinuousStatsTable[[#This Row],[ProjectName]]),(ProjectInfoTable[ProjectName]=ContinuousStatsTable[[#This Row],[ProjectName]])*ProjectInfoTable[ConfidenceInterval]))</f>
        <v>0.95</v>
      </c>
      <c r="R4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418" cm="1">
        <f t="array" ref="S418">MIN(IF((ContinuousStatsTable[GroupByKey]=ContinuousStatsTable[[#This Row],[GroupByKey]]),(ContinuousStatsTable[GroupByKey]=ContinuousStatsTable[[#This Row],[GroupByKey]])*ContinuousStatsTable[Average]))</f>
        <v>7.4406608295854798E-2</v>
      </c>
      <c r="T418" cm="1">
        <f t="array" ref="T418">MAX(IF((ContinuousStatsTable[GroupByKey]=ContinuousStatsTable[[#This Row],[GroupByKey]]),(ContinuousStatsTable[GroupByKey]=ContinuousStatsTable[[#This Row],[GroupByKey]])*ContinuousStatsTable[Average]))</f>
        <v>0.29874320707386398</v>
      </c>
      <c r="U418">
        <f>IF((ContinuousStatsTable[[#This Row],[RepsRequested]]&gt;1),ContinuousStatsTable[[#This Row],[HalfWidth]],ContinuousStatsTable[[#This Row],[BatchMeansHalfWidth]])</f>
        <v>2.0058204231149332E-2</v>
      </c>
    </row>
    <row r="419" spans="1:21" x14ac:dyDescent="0.2">
      <c r="A419" t="s">
        <v>67</v>
      </c>
      <c r="B419" t="s">
        <v>70</v>
      </c>
      <c r="C419">
        <v>18</v>
      </c>
      <c r="D419" t="s">
        <v>101</v>
      </c>
      <c r="E419" t="s">
        <v>94</v>
      </c>
      <c r="F419" t="s">
        <v>95</v>
      </c>
      <c r="G419">
        <v>1.8640350877192999E-3</v>
      </c>
      <c r="H419">
        <v>1.99699813771578E-4</v>
      </c>
      <c r="I419">
        <v>0</v>
      </c>
      <c r="J419">
        <v>3.7499999999999999E-2</v>
      </c>
      <c r="K419">
        <v>0</v>
      </c>
      <c r="L419">
        <v>0</v>
      </c>
      <c r="M419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419" cm="1">
        <f t="array" ref="N419">MAX(IF((ProjectInfoTable[ProjectName]=ContinuousStatsTable[[#This Row],[ProjectName]]),(ProjectInfoTable[ProjectName]=ContinuousStatsTable[[#This Row],[ProjectName]])*ProjectInfoTable[NumberOfReplications]))</f>
        <v>30</v>
      </c>
      <c r="O419" cm="1">
        <f t="array" ref="O419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419" cm="1">
        <f t="array" ref="P419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419" cm="1">
        <f t="array" ref="Q419">MAX(IF((ProjectInfoTable[ProjectName]=ContinuousStatsTable[[#This Row],[ProjectName]]),(ProjectInfoTable[ProjectName]=ContinuousStatsTable[[#This Row],[ProjectName]])*ProjectInfoTable[ConfidenceInterval]))</f>
        <v>0.95</v>
      </c>
      <c r="R4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419" cm="1">
        <f t="array" ref="S419">MIN(IF((ContinuousStatsTable[GroupByKey]=ContinuousStatsTable[[#This Row],[GroupByKey]]),(ContinuousStatsTable[GroupByKey]=ContinuousStatsTable[[#This Row],[GroupByKey]])*ContinuousStatsTable[Average]))</f>
        <v>1.70504385964912E-3</v>
      </c>
      <c r="T419" cm="1">
        <f t="array" ref="T419">MAX(IF((ContinuousStatsTable[GroupByKey]=ContinuousStatsTable[[#This Row],[GroupByKey]]),(ContinuousStatsTable[GroupByKey]=ContinuousStatsTable[[#This Row],[GroupByKey]])*ContinuousStatsTable[Average]))</f>
        <v>2.17031677925951E-3</v>
      </c>
      <c r="U419">
        <f>IF((ContinuousStatsTable[[#This Row],[RepsRequested]]&gt;1),ContinuousStatsTable[[#This Row],[HalfWidth]],ContinuousStatsTable[[#This Row],[BatchMeansHalfWidth]])</f>
        <v>4.4865881583116605E-5</v>
      </c>
    </row>
    <row r="420" spans="1:21" x14ac:dyDescent="0.2">
      <c r="A420" t="s">
        <v>67</v>
      </c>
      <c r="B420" t="s">
        <v>70</v>
      </c>
      <c r="C420">
        <v>18</v>
      </c>
      <c r="D420" t="s">
        <v>101</v>
      </c>
      <c r="E420" t="s">
        <v>96</v>
      </c>
      <c r="F420" t="s">
        <v>95</v>
      </c>
      <c r="G420">
        <v>0.14912280701754399</v>
      </c>
      <c r="H420">
        <v>1.5975985101726299E-2</v>
      </c>
      <c r="I420">
        <v>0</v>
      </c>
      <c r="J420">
        <v>3</v>
      </c>
      <c r="K420">
        <v>0</v>
      </c>
      <c r="L420">
        <v>0</v>
      </c>
      <c r="M420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420" cm="1">
        <f t="array" ref="N420">MAX(IF((ProjectInfoTable[ProjectName]=ContinuousStatsTable[[#This Row],[ProjectName]]),(ProjectInfoTable[ProjectName]=ContinuousStatsTable[[#This Row],[ProjectName]])*ProjectInfoTable[NumberOfReplications]))</f>
        <v>30</v>
      </c>
      <c r="O420" cm="1">
        <f t="array" ref="O420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420" cm="1">
        <f t="array" ref="P420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420" cm="1">
        <f t="array" ref="Q420">MAX(IF((ProjectInfoTable[ProjectName]=ContinuousStatsTable[[#This Row],[ProjectName]]),(ProjectInfoTable[ProjectName]=ContinuousStatsTable[[#This Row],[ProjectName]])*ProjectInfoTable[ConfidenceInterval]))</f>
        <v>0.95</v>
      </c>
      <c r="R4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420" cm="1">
        <f t="array" ref="S420">MIN(IF((ContinuousStatsTable[GroupByKey]=ContinuousStatsTable[[#This Row],[GroupByKey]]),(ContinuousStatsTable[GroupByKey]=ContinuousStatsTable[[#This Row],[GroupByKey]])*ContinuousStatsTable[Average]))</f>
        <v>0.13640350877193</v>
      </c>
      <c r="T420" cm="1">
        <f t="array" ref="T420">MAX(IF((ContinuousStatsTable[GroupByKey]=ContinuousStatsTable[[#This Row],[GroupByKey]]),(ContinuousStatsTable[GroupByKey]=ContinuousStatsTable[[#This Row],[GroupByKey]])*ContinuousStatsTable[Average]))</f>
        <v>0.17362534234076099</v>
      </c>
      <c r="U420">
        <f>IF((ContinuousStatsTable[[#This Row],[RepsRequested]]&gt;1),ContinuousStatsTable[[#This Row],[HalfWidth]],ContinuousStatsTable[[#This Row],[BatchMeansHalfWidth]])</f>
        <v>3.5892705266493139E-3</v>
      </c>
    </row>
    <row r="421" spans="1:21" x14ac:dyDescent="0.2">
      <c r="A421" t="s">
        <v>67</v>
      </c>
      <c r="B421" t="s">
        <v>70</v>
      </c>
      <c r="C421">
        <v>18</v>
      </c>
      <c r="D421" t="s">
        <v>101</v>
      </c>
      <c r="E421" t="s">
        <v>97</v>
      </c>
      <c r="F421" t="s">
        <v>95</v>
      </c>
      <c r="G421">
        <v>80</v>
      </c>
      <c r="H421">
        <v>2E+20</v>
      </c>
      <c r="I421">
        <v>80</v>
      </c>
      <c r="J421">
        <v>80</v>
      </c>
      <c r="K421">
        <v>80</v>
      </c>
      <c r="L421">
        <v>0</v>
      </c>
      <c r="M421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421" cm="1">
        <f t="array" ref="N421">MAX(IF((ProjectInfoTable[ProjectName]=ContinuousStatsTable[[#This Row],[ProjectName]]),(ProjectInfoTable[ProjectName]=ContinuousStatsTable[[#This Row],[ProjectName]])*ProjectInfoTable[NumberOfReplications]))</f>
        <v>30</v>
      </c>
      <c r="O421" cm="1">
        <f t="array" ref="O421">IFERROR(AVERAGE(IF((ContinuousStatsTable[GroupByKey]=ContinuousStatsTable[[#This Row],[GroupByKey]]),(ContinuousStatsTable[GroupByKey]=ContinuousStatsTable[[#This Row],[GroupByKey]])*ContinuousStatsTable[Average])),0)</f>
        <v>80</v>
      </c>
      <c r="P421" cm="1">
        <f t="array" ref="P421">IFERROR(_xlfn.STDEV.S(IF((ContinuousStatsTable[GroupByKey]=ContinuousStatsTable[[#This Row],[GroupByKey]]),(ContinuousStatsTable[GroupByKey]=ContinuousStatsTable[[#This Row],[GroupByKey]])*ContinuousStatsTable[Average])),0)</f>
        <v>0</v>
      </c>
      <c r="Q421" cm="1">
        <f t="array" ref="Q421">MAX(IF((ProjectInfoTable[ProjectName]=ContinuousStatsTable[[#This Row],[ProjectName]]),(ProjectInfoTable[ProjectName]=ContinuousStatsTable[[#This Row],[ProjectName]])*ProjectInfoTable[ConfidenceInterval]))</f>
        <v>0.95</v>
      </c>
      <c r="R4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1" cm="1">
        <f t="array" ref="S421">MIN(IF((ContinuousStatsTable[GroupByKey]=ContinuousStatsTable[[#This Row],[GroupByKey]]),(ContinuousStatsTable[GroupByKey]=ContinuousStatsTable[[#This Row],[GroupByKey]])*ContinuousStatsTable[Average]))</f>
        <v>80</v>
      </c>
      <c r="T421" cm="1">
        <f t="array" ref="T421">MAX(IF((ContinuousStatsTable[GroupByKey]=ContinuousStatsTable[[#This Row],[GroupByKey]]),(ContinuousStatsTable[GroupByKey]=ContinuousStatsTable[[#This Row],[GroupByKey]])*ContinuousStatsTable[Average]))</f>
        <v>80</v>
      </c>
      <c r="U421">
        <f>IF((ContinuousStatsTable[[#This Row],[RepsRequested]]&gt;1),ContinuousStatsTable[[#This Row],[HalfWidth]],ContinuousStatsTable[[#This Row],[BatchMeansHalfWidth]])</f>
        <v>0</v>
      </c>
    </row>
    <row r="422" spans="1:21" x14ac:dyDescent="0.2">
      <c r="A422" t="s">
        <v>67</v>
      </c>
      <c r="B422" t="s">
        <v>70</v>
      </c>
      <c r="C422">
        <v>18</v>
      </c>
      <c r="D422" t="s">
        <v>86</v>
      </c>
      <c r="E422" t="s">
        <v>98</v>
      </c>
      <c r="F422" t="s">
        <v>73</v>
      </c>
      <c r="G422">
        <v>0</v>
      </c>
      <c r="H422">
        <v>2E+20</v>
      </c>
      <c r="I422">
        <v>0</v>
      </c>
      <c r="J422">
        <v>0</v>
      </c>
      <c r="K422">
        <v>0</v>
      </c>
      <c r="L422">
        <v>0</v>
      </c>
      <c r="M422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422" cm="1">
        <f t="array" ref="N422">MAX(IF((ProjectInfoTable[ProjectName]=ContinuousStatsTable[[#This Row],[ProjectName]]),(ProjectInfoTable[ProjectName]=ContinuousStatsTable[[#This Row],[ProjectName]])*ProjectInfoTable[NumberOfReplications]))</f>
        <v>30</v>
      </c>
      <c r="O422" cm="1">
        <f t="array" ref="O422">IFERROR(AVERAGE(IF((ContinuousStatsTable[GroupByKey]=ContinuousStatsTable[[#This Row],[GroupByKey]]),(ContinuousStatsTable[GroupByKey]=ContinuousStatsTable[[#This Row],[GroupByKey]])*ContinuousStatsTable[Average])),0)</f>
        <v>0</v>
      </c>
      <c r="P422" cm="1">
        <f t="array" ref="P422">IFERROR(_xlfn.STDEV.S(IF((ContinuousStatsTable[GroupByKey]=ContinuousStatsTable[[#This Row],[GroupByKey]]),(ContinuousStatsTable[GroupByKey]=ContinuousStatsTable[[#This Row],[GroupByKey]])*ContinuousStatsTable[Average])),0)</f>
        <v>0</v>
      </c>
      <c r="Q422" cm="1">
        <f t="array" ref="Q422">MAX(IF((ProjectInfoTable[ProjectName]=ContinuousStatsTable[[#This Row],[ProjectName]]),(ProjectInfoTable[ProjectName]=ContinuousStatsTable[[#This Row],[ProjectName]])*ProjectInfoTable[ConfidenceInterval]))</f>
        <v>0.95</v>
      </c>
      <c r="R4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2" cm="1">
        <f t="array" ref="S422">MIN(IF((ContinuousStatsTable[GroupByKey]=ContinuousStatsTable[[#This Row],[GroupByKey]]),(ContinuousStatsTable[GroupByKey]=ContinuousStatsTable[[#This Row],[GroupByKey]])*ContinuousStatsTable[Average]))</f>
        <v>0</v>
      </c>
      <c r="T422" cm="1">
        <f t="array" ref="T422">MAX(IF((ContinuousStatsTable[GroupByKey]=ContinuousStatsTable[[#This Row],[GroupByKey]]),(ContinuousStatsTable[GroupByKey]=ContinuousStatsTable[[#This Row],[GroupByKey]])*ContinuousStatsTable[Average]))</f>
        <v>0</v>
      </c>
      <c r="U422">
        <f>IF((ContinuousStatsTable[[#This Row],[RepsRequested]]&gt;1),ContinuousStatsTable[[#This Row],[HalfWidth]],ContinuousStatsTable[[#This Row],[BatchMeansHalfWidth]])</f>
        <v>0</v>
      </c>
    </row>
    <row r="423" spans="1:21" x14ac:dyDescent="0.2">
      <c r="A423" t="s">
        <v>67</v>
      </c>
      <c r="B423" t="s">
        <v>70</v>
      </c>
      <c r="C423">
        <v>18</v>
      </c>
      <c r="D423" t="s">
        <v>87</v>
      </c>
      <c r="E423" t="s">
        <v>98</v>
      </c>
      <c r="F423" t="s">
        <v>73</v>
      </c>
      <c r="G423">
        <v>0</v>
      </c>
      <c r="H423">
        <v>2E+20</v>
      </c>
      <c r="I423">
        <v>0</v>
      </c>
      <c r="J423">
        <v>0</v>
      </c>
      <c r="K423">
        <v>0</v>
      </c>
      <c r="L423">
        <v>0</v>
      </c>
      <c r="M423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423" cm="1">
        <f t="array" ref="N423">MAX(IF((ProjectInfoTable[ProjectName]=ContinuousStatsTable[[#This Row],[ProjectName]]),(ProjectInfoTable[ProjectName]=ContinuousStatsTable[[#This Row],[ProjectName]])*ProjectInfoTable[NumberOfReplications]))</f>
        <v>30</v>
      </c>
      <c r="O423" cm="1">
        <f t="array" ref="O423">IFERROR(AVERAGE(IF((ContinuousStatsTable[GroupByKey]=ContinuousStatsTable[[#This Row],[GroupByKey]]),(ContinuousStatsTable[GroupByKey]=ContinuousStatsTable[[#This Row],[GroupByKey]])*ContinuousStatsTable[Average])),0)</f>
        <v>0</v>
      </c>
      <c r="P423" cm="1">
        <f t="array" ref="P423">IFERROR(_xlfn.STDEV.S(IF((ContinuousStatsTable[GroupByKey]=ContinuousStatsTable[[#This Row],[GroupByKey]]),(ContinuousStatsTable[GroupByKey]=ContinuousStatsTable[[#This Row],[GroupByKey]])*ContinuousStatsTable[Average])),0)</f>
        <v>0</v>
      </c>
      <c r="Q423" cm="1">
        <f t="array" ref="Q423">MAX(IF((ProjectInfoTable[ProjectName]=ContinuousStatsTable[[#This Row],[ProjectName]]),(ProjectInfoTable[ProjectName]=ContinuousStatsTable[[#This Row],[ProjectName]])*ProjectInfoTable[ConfidenceInterval]))</f>
        <v>0.95</v>
      </c>
      <c r="R4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3" cm="1">
        <f t="array" ref="S423">MIN(IF((ContinuousStatsTable[GroupByKey]=ContinuousStatsTable[[#This Row],[GroupByKey]]),(ContinuousStatsTable[GroupByKey]=ContinuousStatsTable[[#This Row],[GroupByKey]])*ContinuousStatsTable[Average]))</f>
        <v>0</v>
      </c>
      <c r="T423" cm="1">
        <f t="array" ref="T423">MAX(IF((ContinuousStatsTable[GroupByKey]=ContinuousStatsTable[[#This Row],[GroupByKey]]),(ContinuousStatsTable[GroupByKey]=ContinuousStatsTable[[#This Row],[GroupByKey]])*ContinuousStatsTable[Average]))</f>
        <v>0</v>
      </c>
      <c r="U423">
        <f>IF((ContinuousStatsTable[[#This Row],[RepsRequested]]&gt;1),ContinuousStatsTable[[#This Row],[HalfWidth]],ContinuousStatsTable[[#This Row],[BatchMeansHalfWidth]])</f>
        <v>0</v>
      </c>
    </row>
    <row r="424" spans="1:21" x14ac:dyDescent="0.2">
      <c r="A424" t="s">
        <v>67</v>
      </c>
      <c r="B424" t="s">
        <v>70</v>
      </c>
      <c r="C424">
        <v>18</v>
      </c>
      <c r="D424" t="s">
        <v>88</v>
      </c>
      <c r="E424" t="s">
        <v>98</v>
      </c>
      <c r="F424" t="s">
        <v>73</v>
      </c>
      <c r="G424">
        <v>1.5510668781138399</v>
      </c>
      <c r="H424">
        <v>9.9066370503211196E-2</v>
      </c>
      <c r="I424">
        <v>0</v>
      </c>
      <c r="J424">
        <v>4</v>
      </c>
      <c r="K424">
        <v>3</v>
      </c>
      <c r="L424">
        <v>0</v>
      </c>
      <c r="M424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424" cm="1">
        <f t="array" ref="N424">MAX(IF((ProjectInfoTable[ProjectName]=ContinuousStatsTable[[#This Row],[ProjectName]]),(ProjectInfoTable[ProjectName]=ContinuousStatsTable[[#This Row],[ProjectName]])*ProjectInfoTable[NumberOfReplications]))</f>
        <v>30</v>
      </c>
      <c r="O424" cm="1">
        <f t="array" ref="O424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424" cm="1">
        <f t="array" ref="P424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424" cm="1">
        <f t="array" ref="Q424">MAX(IF((ProjectInfoTable[ProjectName]=ContinuousStatsTable[[#This Row],[ProjectName]]),(ProjectInfoTable[ProjectName]=ContinuousStatsTable[[#This Row],[ProjectName]])*ProjectInfoTable[ConfidenceInterval]))</f>
        <v>0.95</v>
      </c>
      <c r="R4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424" cm="1">
        <f t="array" ref="S424">MIN(IF((ContinuousStatsTable[GroupByKey]=ContinuousStatsTable[[#This Row],[GroupByKey]]),(ContinuousStatsTable[GroupByKey]=ContinuousStatsTable[[#This Row],[GroupByKey]])*ContinuousStatsTable[Average]))</f>
        <v>1.4062336911317099</v>
      </c>
      <c r="T424" cm="1">
        <f t="array" ref="T424">MAX(IF((ContinuousStatsTable[GroupByKey]=ContinuousStatsTable[[#This Row],[GroupByKey]]),(ContinuousStatsTable[GroupByKey]=ContinuousStatsTable[[#This Row],[GroupByKey]])*ContinuousStatsTable[Average]))</f>
        <v>1.5889769030929</v>
      </c>
      <c r="U424">
        <f>IF((ContinuousStatsTable[[#This Row],[RepsRequested]]&gt;1),ContinuousStatsTable[[#This Row],[HalfWidth]],ContinuousStatsTable[[#This Row],[BatchMeansHalfWidth]])</f>
        <v>1.602866983772662E-2</v>
      </c>
    </row>
    <row r="425" spans="1:21" x14ac:dyDescent="0.2">
      <c r="A425" t="s">
        <v>67</v>
      </c>
      <c r="B425" t="s">
        <v>70</v>
      </c>
      <c r="C425">
        <v>18</v>
      </c>
      <c r="D425" t="s">
        <v>102</v>
      </c>
      <c r="E425" t="s">
        <v>94</v>
      </c>
      <c r="F425" t="s">
        <v>95</v>
      </c>
      <c r="G425">
        <v>5.1973684210526302E-3</v>
      </c>
      <c r="H425">
        <v>5.5457797580179896E-4</v>
      </c>
      <c r="I425">
        <v>0</v>
      </c>
      <c r="J425">
        <v>0.15</v>
      </c>
      <c r="K425">
        <v>0</v>
      </c>
      <c r="L425">
        <v>0</v>
      </c>
      <c r="M425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425" cm="1">
        <f t="array" ref="N425">MAX(IF((ProjectInfoTable[ProjectName]=ContinuousStatsTable[[#This Row],[ProjectName]]),(ProjectInfoTable[ProjectName]=ContinuousStatsTable[[#This Row],[ProjectName]])*ProjectInfoTable[NumberOfReplications]))</f>
        <v>30</v>
      </c>
      <c r="O425" cm="1">
        <f t="array" ref="O425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425" cm="1">
        <f t="array" ref="P425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425" cm="1">
        <f t="array" ref="Q425">MAX(IF((ProjectInfoTable[ProjectName]=ContinuousStatsTable[[#This Row],[ProjectName]]),(ProjectInfoTable[ProjectName]=ContinuousStatsTable[[#This Row],[ProjectName]])*ProjectInfoTable[ConfidenceInterval]))</f>
        <v>0.95</v>
      </c>
      <c r="R4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425" cm="1">
        <f t="array" ref="S425">MIN(IF((ContinuousStatsTable[GroupByKey]=ContinuousStatsTable[[#This Row],[GroupByKey]]),(ContinuousStatsTable[GroupByKey]=ContinuousStatsTable[[#This Row],[GroupByKey]])*ContinuousStatsTable[Average]))</f>
        <v>4.4956140350877203E-3</v>
      </c>
      <c r="T425" cm="1">
        <f t="array" ref="T425">MAX(IF((ContinuousStatsTable[GroupByKey]=ContinuousStatsTable[[#This Row],[GroupByKey]]),(ContinuousStatsTable[GroupByKey]=ContinuousStatsTable[[#This Row],[GroupByKey]])*ContinuousStatsTable[Average]))</f>
        <v>5.5482456140350904E-3</v>
      </c>
      <c r="U425">
        <f>IF((ContinuousStatsTable[[#This Row],[RepsRequested]]&gt;1),ContinuousStatsTable[[#This Row],[HalfWidth]],ContinuousStatsTable[[#This Row],[BatchMeansHalfWidth]])</f>
        <v>1.0144486472958472E-4</v>
      </c>
    </row>
    <row r="426" spans="1:21" x14ac:dyDescent="0.2">
      <c r="A426" t="s">
        <v>67</v>
      </c>
      <c r="B426" t="s">
        <v>70</v>
      </c>
      <c r="C426">
        <v>18</v>
      </c>
      <c r="D426" t="s">
        <v>102</v>
      </c>
      <c r="E426" t="s">
        <v>96</v>
      </c>
      <c r="F426" t="s">
        <v>95</v>
      </c>
      <c r="G426">
        <v>0.103947368421053</v>
      </c>
      <c r="H426">
        <v>1.1091559516035999E-2</v>
      </c>
      <c r="I426">
        <v>0</v>
      </c>
      <c r="J426">
        <v>3</v>
      </c>
      <c r="K426">
        <v>0</v>
      </c>
      <c r="L426">
        <v>0</v>
      </c>
      <c r="M426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426" cm="1">
        <f t="array" ref="N426">MAX(IF((ProjectInfoTable[ProjectName]=ContinuousStatsTable[[#This Row],[ProjectName]]),(ProjectInfoTable[ProjectName]=ContinuousStatsTable[[#This Row],[ProjectName]])*ProjectInfoTable[NumberOfReplications]))</f>
        <v>30</v>
      </c>
      <c r="O426" cm="1">
        <f t="array" ref="O426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426" cm="1">
        <f t="array" ref="P426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426" cm="1">
        <f t="array" ref="Q426">MAX(IF((ProjectInfoTable[ProjectName]=ContinuousStatsTable[[#This Row],[ProjectName]]),(ProjectInfoTable[ProjectName]=ContinuousStatsTable[[#This Row],[ProjectName]])*ProjectInfoTable[ConfidenceInterval]))</f>
        <v>0.95</v>
      </c>
      <c r="R4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426" cm="1">
        <f t="array" ref="S426">MIN(IF((ContinuousStatsTable[GroupByKey]=ContinuousStatsTable[[#This Row],[GroupByKey]]),(ContinuousStatsTable[GroupByKey]=ContinuousStatsTable[[#This Row],[GroupByKey]])*ContinuousStatsTable[Average]))</f>
        <v>8.9912280701754305E-2</v>
      </c>
      <c r="T426" cm="1">
        <f t="array" ref="T426">MAX(IF((ContinuousStatsTable[GroupByKey]=ContinuousStatsTable[[#This Row],[GroupByKey]]),(ContinuousStatsTable[GroupByKey]=ContinuousStatsTable[[#This Row],[GroupByKey]])*ContinuousStatsTable[Average]))</f>
        <v>0.110964912280702</v>
      </c>
      <c r="U426">
        <f>IF((ContinuousStatsTable[[#This Row],[RepsRequested]]&gt;1),ContinuousStatsTable[[#This Row],[HalfWidth]],ContinuousStatsTable[[#This Row],[BatchMeansHalfWidth]])</f>
        <v>2.0288972945916956E-3</v>
      </c>
    </row>
    <row r="427" spans="1:21" x14ac:dyDescent="0.2">
      <c r="A427" t="s">
        <v>67</v>
      </c>
      <c r="B427" t="s">
        <v>70</v>
      </c>
      <c r="C427">
        <v>18</v>
      </c>
      <c r="D427" t="s">
        <v>102</v>
      </c>
      <c r="E427" t="s">
        <v>97</v>
      </c>
      <c r="F427" t="s">
        <v>95</v>
      </c>
      <c r="G427">
        <v>20</v>
      </c>
      <c r="H427">
        <v>2E+20</v>
      </c>
      <c r="I427">
        <v>20</v>
      </c>
      <c r="J427">
        <v>20</v>
      </c>
      <c r="K427">
        <v>20</v>
      </c>
      <c r="L427">
        <v>0</v>
      </c>
      <c r="M427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427" cm="1">
        <f t="array" ref="N427">MAX(IF((ProjectInfoTable[ProjectName]=ContinuousStatsTable[[#This Row],[ProjectName]]),(ProjectInfoTable[ProjectName]=ContinuousStatsTable[[#This Row],[ProjectName]])*ProjectInfoTable[NumberOfReplications]))</f>
        <v>30</v>
      </c>
      <c r="O427" cm="1">
        <f t="array" ref="O427">IFERROR(AVERAGE(IF((ContinuousStatsTable[GroupByKey]=ContinuousStatsTable[[#This Row],[GroupByKey]]),(ContinuousStatsTable[GroupByKey]=ContinuousStatsTable[[#This Row],[GroupByKey]])*ContinuousStatsTable[Average])),0)</f>
        <v>20</v>
      </c>
      <c r="P427" cm="1">
        <f t="array" ref="P427">IFERROR(_xlfn.STDEV.S(IF((ContinuousStatsTable[GroupByKey]=ContinuousStatsTable[[#This Row],[GroupByKey]]),(ContinuousStatsTable[GroupByKey]=ContinuousStatsTable[[#This Row],[GroupByKey]])*ContinuousStatsTable[Average])),0)</f>
        <v>0</v>
      </c>
      <c r="Q427" cm="1">
        <f t="array" ref="Q427">MAX(IF((ProjectInfoTable[ProjectName]=ContinuousStatsTable[[#This Row],[ProjectName]]),(ProjectInfoTable[ProjectName]=ContinuousStatsTable[[#This Row],[ProjectName]])*ProjectInfoTable[ConfidenceInterval]))</f>
        <v>0.95</v>
      </c>
      <c r="R4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7" cm="1">
        <f t="array" ref="S427">MIN(IF((ContinuousStatsTable[GroupByKey]=ContinuousStatsTable[[#This Row],[GroupByKey]]),(ContinuousStatsTable[GroupByKey]=ContinuousStatsTable[[#This Row],[GroupByKey]])*ContinuousStatsTable[Average]))</f>
        <v>20</v>
      </c>
      <c r="T427" cm="1">
        <f t="array" ref="T427">MAX(IF((ContinuousStatsTable[GroupByKey]=ContinuousStatsTable[[#This Row],[GroupByKey]]),(ContinuousStatsTable[GroupByKey]=ContinuousStatsTable[[#This Row],[GroupByKey]])*ContinuousStatsTable[Average]))</f>
        <v>20</v>
      </c>
      <c r="U427">
        <f>IF((ContinuousStatsTable[[#This Row],[RepsRequested]]&gt;1),ContinuousStatsTable[[#This Row],[HalfWidth]],ContinuousStatsTable[[#This Row],[BatchMeansHalfWidth]])</f>
        <v>0</v>
      </c>
    </row>
    <row r="428" spans="1:21" x14ac:dyDescent="0.2">
      <c r="A428" t="s">
        <v>67</v>
      </c>
      <c r="B428" t="s">
        <v>70</v>
      </c>
      <c r="C428">
        <v>18</v>
      </c>
      <c r="D428" t="s">
        <v>90</v>
      </c>
      <c r="E428" t="s">
        <v>98</v>
      </c>
      <c r="F428" t="s">
        <v>73</v>
      </c>
      <c r="G428">
        <v>0</v>
      </c>
      <c r="H428">
        <v>2E+20</v>
      </c>
      <c r="I428">
        <v>0</v>
      </c>
      <c r="J428">
        <v>0</v>
      </c>
      <c r="K428">
        <v>0</v>
      </c>
      <c r="L428">
        <v>0</v>
      </c>
      <c r="M428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428" cm="1">
        <f t="array" ref="N428">MAX(IF((ProjectInfoTable[ProjectName]=ContinuousStatsTable[[#This Row],[ProjectName]]),(ProjectInfoTable[ProjectName]=ContinuousStatsTable[[#This Row],[ProjectName]])*ProjectInfoTable[NumberOfReplications]))</f>
        <v>30</v>
      </c>
      <c r="O428" cm="1">
        <f t="array" ref="O428">IFERROR(AVERAGE(IF((ContinuousStatsTable[GroupByKey]=ContinuousStatsTable[[#This Row],[GroupByKey]]),(ContinuousStatsTable[GroupByKey]=ContinuousStatsTable[[#This Row],[GroupByKey]])*ContinuousStatsTable[Average])),0)</f>
        <v>0</v>
      </c>
      <c r="P428" cm="1">
        <f t="array" ref="P428">IFERROR(_xlfn.STDEV.S(IF((ContinuousStatsTable[GroupByKey]=ContinuousStatsTable[[#This Row],[GroupByKey]]),(ContinuousStatsTable[GroupByKey]=ContinuousStatsTable[[#This Row],[GroupByKey]])*ContinuousStatsTable[Average])),0)</f>
        <v>0</v>
      </c>
      <c r="Q428" cm="1">
        <f t="array" ref="Q428">MAX(IF((ProjectInfoTable[ProjectName]=ContinuousStatsTable[[#This Row],[ProjectName]]),(ProjectInfoTable[ProjectName]=ContinuousStatsTable[[#This Row],[ProjectName]])*ProjectInfoTable[ConfidenceInterval]))</f>
        <v>0.95</v>
      </c>
      <c r="R4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8" cm="1">
        <f t="array" ref="S428">MIN(IF((ContinuousStatsTable[GroupByKey]=ContinuousStatsTable[[#This Row],[GroupByKey]]),(ContinuousStatsTable[GroupByKey]=ContinuousStatsTable[[#This Row],[GroupByKey]])*ContinuousStatsTable[Average]))</f>
        <v>0</v>
      </c>
      <c r="T428" cm="1">
        <f t="array" ref="T428">MAX(IF((ContinuousStatsTable[GroupByKey]=ContinuousStatsTable[[#This Row],[GroupByKey]]),(ContinuousStatsTable[GroupByKey]=ContinuousStatsTable[[#This Row],[GroupByKey]])*ContinuousStatsTable[Average]))</f>
        <v>0</v>
      </c>
      <c r="U428">
        <f>IF((ContinuousStatsTable[[#This Row],[RepsRequested]]&gt;1),ContinuousStatsTable[[#This Row],[HalfWidth]],ContinuousStatsTable[[#This Row],[BatchMeansHalfWidth]])</f>
        <v>0</v>
      </c>
    </row>
    <row r="429" spans="1:21" x14ac:dyDescent="0.2">
      <c r="A429" t="s">
        <v>67</v>
      </c>
      <c r="B429" t="s">
        <v>70</v>
      </c>
      <c r="C429">
        <v>18</v>
      </c>
      <c r="D429" t="s">
        <v>91</v>
      </c>
      <c r="E429" t="s">
        <v>98</v>
      </c>
      <c r="F429" t="s">
        <v>73</v>
      </c>
      <c r="G429">
        <v>0</v>
      </c>
      <c r="H429">
        <v>2E+20</v>
      </c>
      <c r="I429">
        <v>0</v>
      </c>
      <c r="J429">
        <v>0</v>
      </c>
      <c r="K429">
        <v>0</v>
      </c>
      <c r="L429">
        <v>0</v>
      </c>
      <c r="M429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429" cm="1">
        <f t="array" ref="N429">MAX(IF((ProjectInfoTable[ProjectName]=ContinuousStatsTable[[#This Row],[ProjectName]]),(ProjectInfoTable[ProjectName]=ContinuousStatsTable[[#This Row],[ProjectName]])*ProjectInfoTable[NumberOfReplications]))</f>
        <v>30</v>
      </c>
      <c r="O429" cm="1">
        <f t="array" ref="O429">IFERROR(AVERAGE(IF((ContinuousStatsTable[GroupByKey]=ContinuousStatsTable[[#This Row],[GroupByKey]]),(ContinuousStatsTable[GroupByKey]=ContinuousStatsTable[[#This Row],[GroupByKey]])*ContinuousStatsTable[Average])),0)</f>
        <v>0</v>
      </c>
      <c r="P429" cm="1">
        <f t="array" ref="P429">IFERROR(_xlfn.STDEV.S(IF((ContinuousStatsTable[GroupByKey]=ContinuousStatsTable[[#This Row],[GroupByKey]]),(ContinuousStatsTable[GroupByKey]=ContinuousStatsTable[[#This Row],[GroupByKey]])*ContinuousStatsTable[Average])),0)</f>
        <v>0</v>
      </c>
      <c r="Q429" cm="1">
        <f t="array" ref="Q429">MAX(IF((ProjectInfoTable[ProjectName]=ContinuousStatsTable[[#This Row],[ProjectName]]),(ProjectInfoTable[ProjectName]=ContinuousStatsTable[[#This Row],[ProjectName]])*ProjectInfoTable[ConfidenceInterval]))</f>
        <v>0.95</v>
      </c>
      <c r="R4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9" cm="1">
        <f t="array" ref="S429">MIN(IF((ContinuousStatsTable[GroupByKey]=ContinuousStatsTable[[#This Row],[GroupByKey]]),(ContinuousStatsTable[GroupByKey]=ContinuousStatsTable[[#This Row],[GroupByKey]])*ContinuousStatsTable[Average]))</f>
        <v>0</v>
      </c>
      <c r="T429" cm="1">
        <f t="array" ref="T429">MAX(IF((ContinuousStatsTable[GroupByKey]=ContinuousStatsTable[[#This Row],[GroupByKey]]),(ContinuousStatsTable[GroupByKey]=ContinuousStatsTable[[#This Row],[GroupByKey]])*ContinuousStatsTable[Average]))</f>
        <v>0</v>
      </c>
      <c r="U429">
        <f>IF((ContinuousStatsTable[[#This Row],[RepsRequested]]&gt;1),ContinuousStatsTable[[#This Row],[HalfWidth]],ContinuousStatsTable[[#This Row],[BatchMeansHalfWidth]])</f>
        <v>0</v>
      </c>
    </row>
    <row r="430" spans="1:21" x14ac:dyDescent="0.2">
      <c r="A430" t="s">
        <v>67</v>
      </c>
      <c r="B430" t="s">
        <v>70</v>
      </c>
      <c r="C430">
        <v>18</v>
      </c>
      <c r="D430" t="s">
        <v>92</v>
      </c>
      <c r="E430" t="s">
        <v>98</v>
      </c>
      <c r="F430" t="s">
        <v>73</v>
      </c>
      <c r="G430">
        <v>0</v>
      </c>
      <c r="H430">
        <v>2E+20</v>
      </c>
      <c r="I430">
        <v>0</v>
      </c>
      <c r="J430">
        <v>0</v>
      </c>
      <c r="K430">
        <v>0</v>
      </c>
      <c r="L430">
        <v>0</v>
      </c>
      <c r="M430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430" cm="1">
        <f t="array" ref="N430">MAX(IF((ProjectInfoTable[ProjectName]=ContinuousStatsTable[[#This Row],[ProjectName]]),(ProjectInfoTable[ProjectName]=ContinuousStatsTable[[#This Row],[ProjectName]])*ProjectInfoTable[NumberOfReplications]))</f>
        <v>30</v>
      </c>
      <c r="O430" cm="1">
        <f t="array" ref="O430">IFERROR(AVERAGE(IF((ContinuousStatsTable[GroupByKey]=ContinuousStatsTable[[#This Row],[GroupByKey]]),(ContinuousStatsTable[GroupByKey]=ContinuousStatsTable[[#This Row],[GroupByKey]])*ContinuousStatsTable[Average])),0)</f>
        <v>0</v>
      </c>
      <c r="P430" cm="1">
        <f t="array" ref="P430">IFERROR(_xlfn.STDEV.S(IF((ContinuousStatsTable[GroupByKey]=ContinuousStatsTable[[#This Row],[GroupByKey]]),(ContinuousStatsTable[GroupByKey]=ContinuousStatsTable[[#This Row],[GroupByKey]])*ContinuousStatsTable[Average])),0)</f>
        <v>0</v>
      </c>
      <c r="Q430" cm="1">
        <f t="array" ref="Q430">MAX(IF((ProjectInfoTable[ProjectName]=ContinuousStatsTable[[#This Row],[ProjectName]]),(ProjectInfoTable[ProjectName]=ContinuousStatsTable[[#This Row],[ProjectName]])*ProjectInfoTable[ConfidenceInterval]))</f>
        <v>0.95</v>
      </c>
      <c r="R4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0" cm="1">
        <f t="array" ref="S430">MIN(IF((ContinuousStatsTable[GroupByKey]=ContinuousStatsTable[[#This Row],[GroupByKey]]),(ContinuousStatsTable[GroupByKey]=ContinuousStatsTable[[#This Row],[GroupByKey]])*ContinuousStatsTable[Average]))</f>
        <v>0</v>
      </c>
      <c r="T430" cm="1">
        <f t="array" ref="T430">MAX(IF((ContinuousStatsTable[GroupByKey]=ContinuousStatsTable[[#This Row],[GroupByKey]]),(ContinuousStatsTable[GroupByKey]=ContinuousStatsTable[[#This Row],[GroupByKey]])*ContinuousStatsTable[Average]))</f>
        <v>0</v>
      </c>
      <c r="U430">
        <f>IF((ContinuousStatsTable[[#This Row],[RepsRequested]]&gt;1),ContinuousStatsTable[[#This Row],[HalfWidth]],ContinuousStatsTable[[#This Row],[BatchMeansHalfWidth]])</f>
        <v>0</v>
      </c>
    </row>
    <row r="431" spans="1:21" x14ac:dyDescent="0.2">
      <c r="A431" t="s">
        <v>67</v>
      </c>
      <c r="B431" t="s">
        <v>70</v>
      </c>
      <c r="C431">
        <v>18</v>
      </c>
      <c r="D431" t="s">
        <v>103</v>
      </c>
      <c r="E431" t="s">
        <v>94</v>
      </c>
      <c r="F431" t="s">
        <v>95</v>
      </c>
      <c r="G431">
        <v>8.47420677001407E-2</v>
      </c>
      <c r="H431">
        <v>2E+20</v>
      </c>
      <c r="I431">
        <v>0</v>
      </c>
      <c r="J431">
        <v>0.66666666666666696</v>
      </c>
      <c r="K431">
        <v>0</v>
      </c>
      <c r="L431">
        <v>0</v>
      </c>
      <c r="M431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431" cm="1">
        <f t="array" ref="N431">MAX(IF((ProjectInfoTable[ProjectName]=ContinuousStatsTable[[#This Row],[ProjectName]]),(ProjectInfoTable[ProjectName]=ContinuousStatsTable[[#This Row],[ProjectName]])*ProjectInfoTable[NumberOfReplications]))</f>
        <v>30</v>
      </c>
      <c r="O431" cm="1">
        <f t="array" ref="O431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431" cm="1">
        <f t="array" ref="P431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431" cm="1">
        <f t="array" ref="Q431">MAX(IF((ProjectInfoTable[ProjectName]=ContinuousStatsTable[[#This Row],[ProjectName]]),(ProjectInfoTable[ProjectName]=ContinuousStatsTable[[#This Row],[ProjectName]])*ProjectInfoTable[ConfidenceInterval]))</f>
        <v>0.95</v>
      </c>
      <c r="R4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431" cm="1">
        <f t="array" ref="S431">MIN(IF((ContinuousStatsTable[GroupByKey]=ContinuousStatsTable[[#This Row],[GroupByKey]]),(ContinuousStatsTable[GroupByKey]=ContinuousStatsTable[[#This Row],[GroupByKey]])*ContinuousStatsTable[Average]))</f>
        <v>7.7176470357846902E-2</v>
      </c>
      <c r="T431" cm="1">
        <f t="array" ref="T431">MAX(IF((ContinuousStatsTable[GroupByKey]=ContinuousStatsTable[[#This Row],[GroupByKey]]),(ContinuousStatsTable[GroupByKey]=ContinuousStatsTable[[#This Row],[GroupByKey]])*ContinuousStatsTable[Average]))</f>
        <v>9.2534326714405896E-2</v>
      </c>
      <c r="U431">
        <f>IF((ContinuousStatsTable[[#This Row],[RepsRequested]]&gt;1),ContinuousStatsTable[[#This Row],[HalfWidth]],ContinuousStatsTable[[#This Row],[BatchMeansHalfWidth]])</f>
        <v>1.3238327186697659E-3</v>
      </c>
    </row>
    <row r="432" spans="1:21" x14ac:dyDescent="0.2">
      <c r="A432" t="s">
        <v>67</v>
      </c>
      <c r="B432" t="s">
        <v>70</v>
      </c>
      <c r="C432">
        <v>18</v>
      </c>
      <c r="D432" t="s">
        <v>103</v>
      </c>
      <c r="E432" t="s">
        <v>96</v>
      </c>
      <c r="F432" t="s">
        <v>95</v>
      </c>
      <c r="G432">
        <v>0.25422620310042199</v>
      </c>
      <c r="H432">
        <v>2E+20</v>
      </c>
      <c r="I432">
        <v>0</v>
      </c>
      <c r="J432">
        <v>2</v>
      </c>
      <c r="K432">
        <v>0</v>
      </c>
      <c r="L432">
        <v>0</v>
      </c>
      <c r="M432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432" cm="1">
        <f t="array" ref="N432">MAX(IF((ProjectInfoTable[ProjectName]=ContinuousStatsTable[[#This Row],[ProjectName]]),(ProjectInfoTable[ProjectName]=ContinuousStatsTable[[#This Row],[ProjectName]])*ProjectInfoTable[NumberOfReplications]))</f>
        <v>30</v>
      </c>
      <c r="O432" cm="1">
        <f t="array" ref="O432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432" cm="1">
        <f t="array" ref="P432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432" cm="1">
        <f t="array" ref="Q432">MAX(IF((ProjectInfoTable[ProjectName]=ContinuousStatsTable[[#This Row],[ProjectName]]),(ProjectInfoTable[ProjectName]=ContinuousStatsTable[[#This Row],[ProjectName]])*ProjectInfoTable[ConfidenceInterval]))</f>
        <v>0.95</v>
      </c>
      <c r="R4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432" cm="1">
        <f t="array" ref="S432">MIN(IF((ContinuousStatsTable[GroupByKey]=ContinuousStatsTable[[#This Row],[GroupByKey]]),(ContinuousStatsTable[GroupByKey]=ContinuousStatsTable[[#This Row],[GroupByKey]])*ContinuousStatsTable[Average]))</f>
        <v>0.231529411073541</v>
      </c>
      <c r="T432" cm="1">
        <f t="array" ref="T432">MAX(IF((ContinuousStatsTable[GroupByKey]=ContinuousStatsTable[[#This Row],[GroupByKey]]),(ContinuousStatsTable[GroupByKey]=ContinuousStatsTable[[#This Row],[GroupByKey]])*ContinuousStatsTable[Average]))</f>
        <v>0.27760298014321699</v>
      </c>
      <c r="U432">
        <f>IF((ContinuousStatsTable[[#This Row],[RepsRequested]]&gt;1),ContinuousStatsTable[[#This Row],[HalfWidth]],ContinuousStatsTable[[#This Row],[BatchMeansHalfWidth]])</f>
        <v>3.9714981560092996E-3</v>
      </c>
    </row>
    <row r="433" spans="1:21" x14ac:dyDescent="0.2">
      <c r="A433" t="s">
        <v>67</v>
      </c>
      <c r="B433" t="s">
        <v>70</v>
      </c>
      <c r="C433">
        <v>18</v>
      </c>
      <c r="D433" t="s">
        <v>103</v>
      </c>
      <c r="E433" t="s">
        <v>97</v>
      </c>
      <c r="F433" t="s">
        <v>95</v>
      </c>
      <c r="G433">
        <v>3</v>
      </c>
      <c r="H433">
        <v>2E+20</v>
      </c>
      <c r="I433">
        <v>3</v>
      </c>
      <c r="J433">
        <v>3</v>
      </c>
      <c r="K433">
        <v>3</v>
      </c>
      <c r="L433">
        <v>0</v>
      </c>
      <c r="M433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433" cm="1">
        <f t="array" ref="N433">MAX(IF((ProjectInfoTable[ProjectName]=ContinuousStatsTable[[#This Row],[ProjectName]]),(ProjectInfoTable[ProjectName]=ContinuousStatsTable[[#This Row],[ProjectName]])*ProjectInfoTable[NumberOfReplications]))</f>
        <v>30</v>
      </c>
      <c r="O433" cm="1">
        <f t="array" ref="O433">IFERROR(AVERAGE(IF((ContinuousStatsTable[GroupByKey]=ContinuousStatsTable[[#This Row],[GroupByKey]]),(ContinuousStatsTable[GroupByKey]=ContinuousStatsTable[[#This Row],[GroupByKey]])*ContinuousStatsTable[Average])),0)</f>
        <v>3</v>
      </c>
      <c r="P433" cm="1">
        <f t="array" ref="P433">IFERROR(_xlfn.STDEV.S(IF((ContinuousStatsTable[GroupByKey]=ContinuousStatsTable[[#This Row],[GroupByKey]]),(ContinuousStatsTable[GroupByKey]=ContinuousStatsTable[[#This Row],[GroupByKey]])*ContinuousStatsTable[Average])),0)</f>
        <v>0</v>
      </c>
      <c r="Q433" cm="1">
        <f t="array" ref="Q433">MAX(IF((ProjectInfoTable[ProjectName]=ContinuousStatsTable[[#This Row],[ProjectName]]),(ProjectInfoTable[ProjectName]=ContinuousStatsTable[[#This Row],[ProjectName]])*ProjectInfoTable[ConfidenceInterval]))</f>
        <v>0.95</v>
      </c>
      <c r="R4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3" cm="1">
        <f t="array" ref="S433">MIN(IF((ContinuousStatsTable[GroupByKey]=ContinuousStatsTable[[#This Row],[GroupByKey]]),(ContinuousStatsTable[GroupByKey]=ContinuousStatsTable[[#This Row],[GroupByKey]])*ContinuousStatsTable[Average]))</f>
        <v>3</v>
      </c>
      <c r="T433" cm="1">
        <f t="array" ref="T433">MAX(IF((ContinuousStatsTable[GroupByKey]=ContinuousStatsTable[[#This Row],[GroupByKey]]),(ContinuousStatsTable[GroupByKey]=ContinuousStatsTable[[#This Row],[GroupByKey]])*ContinuousStatsTable[Average]))</f>
        <v>3</v>
      </c>
      <c r="U433">
        <f>IF((ContinuousStatsTable[[#This Row],[RepsRequested]]&gt;1),ContinuousStatsTable[[#This Row],[HalfWidth]],ContinuousStatsTable[[#This Row],[BatchMeansHalfWidth]])</f>
        <v>0</v>
      </c>
    </row>
    <row r="434" spans="1:21" x14ac:dyDescent="0.2">
      <c r="A434" t="s">
        <v>67</v>
      </c>
      <c r="B434" t="s">
        <v>70</v>
      </c>
      <c r="C434">
        <v>19</v>
      </c>
      <c r="D434" t="s">
        <v>93</v>
      </c>
      <c r="E434" t="s">
        <v>94</v>
      </c>
      <c r="F434" t="s">
        <v>95</v>
      </c>
      <c r="G434">
        <v>0.25402141444504001</v>
      </c>
      <c r="H434">
        <v>1.9102684583891201E-2</v>
      </c>
      <c r="I434">
        <v>0</v>
      </c>
      <c r="J434">
        <v>1</v>
      </c>
      <c r="K434">
        <v>1</v>
      </c>
      <c r="L434">
        <v>0</v>
      </c>
      <c r="M434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434" cm="1">
        <f t="array" ref="N434">MAX(IF((ProjectInfoTable[ProjectName]=ContinuousStatsTable[[#This Row],[ProjectName]]),(ProjectInfoTable[ProjectName]=ContinuousStatsTable[[#This Row],[ProjectName]])*ProjectInfoTable[NumberOfReplications]))</f>
        <v>30</v>
      </c>
      <c r="O434" cm="1">
        <f t="array" ref="O434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434" cm="1">
        <f t="array" ref="P434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434" cm="1">
        <f t="array" ref="Q434">MAX(IF((ProjectInfoTable[ProjectName]=ContinuousStatsTable[[#This Row],[ProjectName]]),(ProjectInfoTable[ProjectName]=ContinuousStatsTable[[#This Row],[ProjectName]])*ProjectInfoTable[ConfidenceInterval]))</f>
        <v>0.95</v>
      </c>
      <c r="R4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434" cm="1">
        <f t="array" ref="S434">MIN(IF((ContinuousStatsTable[GroupByKey]=ContinuousStatsTable[[#This Row],[GroupByKey]]),(ContinuousStatsTable[GroupByKey]=ContinuousStatsTable[[#This Row],[GroupByKey]])*ContinuousStatsTable[Average]))</f>
        <v>0.233333333333333</v>
      </c>
      <c r="T434" cm="1">
        <f t="array" ref="T434">MAX(IF((ContinuousStatsTable[GroupByKey]=ContinuousStatsTable[[#This Row],[GroupByKey]]),(ContinuousStatsTable[GroupByKey]=ContinuousStatsTable[[#This Row],[GroupByKey]])*ContinuousStatsTable[Average]))</f>
        <v>0.27905535859326402</v>
      </c>
      <c r="U434">
        <f>IF((ContinuousStatsTable[[#This Row],[RepsRequested]]&gt;1),ContinuousStatsTable[[#This Row],[HalfWidth]],ContinuousStatsTable[[#This Row],[BatchMeansHalfWidth]])</f>
        <v>4.2029769261323026E-3</v>
      </c>
    </row>
    <row r="435" spans="1:21" x14ac:dyDescent="0.2">
      <c r="A435" t="s">
        <v>67</v>
      </c>
      <c r="B435" t="s">
        <v>70</v>
      </c>
      <c r="C435">
        <v>19</v>
      </c>
      <c r="D435" t="s">
        <v>93</v>
      </c>
      <c r="E435" t="s">
        <v>96</v>
      </c>
      <c r="F435" t="s">
        <v>95</v>
      </c>
      <c r="G435">
        <v>0.25402141444504001</v>
      </c>
      <c r="H435">
        <v>1.9102684583891201E-2</v>
      </c>
      <c r="I435">
        <v>0</v>
      </c>
      <c r="J435">
        <v>1</v>
      </c>
      <c r="K435">
        <v>1</v>
      </c>
      <c r="L435">
        <v>0</v>
      </c>
      <c r="M43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435" cm="1">
        <f t="array" ref="N435">MAX(IF((ProjectInfoTable[ProjectName]=ContinuousStatsTable[[#This Row],[ProjectName]]),(ProjectInfoTable[ProjectName]=ContinuousStatsTable[[#This Row],[ProjectName]])*ProjectInfoTable[NumberOfReplications]))</f>
        <v>30</v>
      </c>
      <c r="O435" cm="1">
        <f t="array" ref="O435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435" cm="1">
        <f t="array" ref="P435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435" cm="1">
        <f t="array" ref="Q435">MAX(IF((ProjectInfoTable[ProjectName]=ContinuousStatsTable[[#This Row],[ProjectName]]),(ProjectInfoTable[ProjectName]=ContinuousStatsTable[[#This Row],[ProjectName]])*ProjectInfoTable[ConfidenceInterval]))</f>
        <v>0.95</v>
      </c>
      <c r="R4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435" cm="1">
        <f t="array" ref="S435">MIN(IF((ContinuousStatsTable[GroupByKey]=ContinuousStatsTable[[#This Row],[GroupByKey]]),(ContinuousStatsTable[GroupByKey]=ContinuousStatsTable[[#This Row],[GroupByKey]])*ContinuousStatsTable[Average]))</f>
        <v>0.233333333333333</v>
      </c>
      <c r="T435" cm="1">
        <f t="array" ref="T435">MAX(IF((ContinuousStatsTable[GroupByKey]=ContinuousStatsTable[[#This Row],[GroupByKey]]),(ContinuousStatsTable[GroupByKey]=ContinuousStatsTable[[#This Row],[GroupByKey]])*ContinuousStatsTable[Average]))</f>
        <v>0.27905535859326402</v>
      </c>
      <c r="U435">
        <f>IF((ContinuousStatsTable[[#This Row],[RepsRequested]]&gt;1),ContinuousStatsTable[[#This Row],[HalfWidth]],ContinuousStatsTable[[#This Row],[BatchMeansHalfWidth]])</f>
        <v>4.2029769261323026E-3</v>
      </c>
    </row>
    <row r="436" spans="1:21" x14ac:dyDescent="0.2">
      <c r="A436" t="s">
        <v>67</v>
      </c>
      <c r="B436" t="s">
        <v>70</v>
      </c>
      <c r="C436">
        <v>19</v>
      </c>
      <c r="D436" t="s">
        <v>93</v>
      </c>
      <c r="E436" t="s">
        <v>97</v>
      </c>
      <c r="F436" t="s">
        <v>95</v>
      </c>
      <c r="G436">
        <v>1</v>
      </c>
      <c r="H436">
        <v>2E+20</v>
      </c>
      <c r="I436">
        <v>1</v>
      </c>
      <c r="J436">
        <v>1</v>
      </c>
      <c r="K436">
        <v>1</v>
      </c>
      <c r="L436">
        <v>0</v>
      </c>
      <c r="M436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436" cm="1">
        <f t="array" ref="N436">MAX(IF((ProjectInfoTable[ProjectName]=ContinuousStatsTable[[#This Row],[ProjectName]]),(ProjectInfoTable[ProjectName]=ContinuousStatsTable[[#This Row],[ProjectName]])*ProjectInfoTable[NumberOfReplications]))</f>
        <v>30</v>
      </c>
      <c r="O436" cm="1">
        <f t="array" ref="O436">IFERROR(AVERAGE(IF((ContinuousStatsTable[GroupByKey]=ContinuousStatsTable[[#This Row],[GroupByKey]]),(ContinuousStatsTable[GroupByKey]=ContinuousStatsTable[[#This Row],[GroupByKey]])*ContinuousStatsTable[Average])),0)</f>
        <v>1</v>
      </c>
      <c r="P436" cm="1">
        <f t="array" ref="P436">IFERROR(_xlfn.STDEV.S(IF((ContinuousStatsTable[GroupByKey]=ContinuousStatsTable[[#This Row],[GroupByKey]]),(ContinuousStatsTable[GroupByKey]=ContinuousStatsTable[[#This Row],[GroupByKey]])*ContinuousStatsTable[Average])),0)</f>
        <v>0</v>
      </c>
      <c r="Q436" cm="1">
        <f t="array" ref="Q436">MAX(IF((ProjectInfoTable[ProjectName]=ContinuousStatsTable[[#This Row],[ProjectName]]),(ProjectInfoTable[ProjectName]=ContinuousStatsTable[[#This Row],[ProjectName]])*ProjectInfoTable[ConfidenceInterval]))</f>
        <v>0.95</v>
      </c>
      <c r="R4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36" cm="1">
        <f t="array" ref="S436">MIN(IF((ContinuousStatsTable[GroupByKey]=ContinuousStatsTable[[#This Row],[GroupByKey]]),(ContinuousStatsTable[GroupByKey]=ContinuousStatsTable[[#This Row],[GroupByKey]])*ContinuousStatsTable[Average]))</f>
        <v>1</v>
      </c>
      <c r="T436" cm="1">
        <f t="array" ref="T436">MAX(IF((ContinuousStatsTable[GroupByKey]=ContinuousStatsTable[[#This Row],[GroupByKey]]),(ContinuousStatsTable[GroupByKey]=ContinuousStatsTable[[#This Row],[GroupByKey]])*ContinuousStatsTable[Average]))</f>
        <v>1</v>
      </c>
      <c r="U436">
        <f>IF((ContinuousStatsTable[[#This Row],[RepsRequested]]&gt;1),ContinuousStatsTable[[#This Row],[HalfWidth]],ContinuousStatsTable[[#This Row],[BatchMeansHalfWidth]])</f>
        <v>0</v>
      </c>
    </row>
    <row r="437" spans="1:21" x14ac:dyDescent="0.2">
      <c r="A437" t="s">
        <v>67</v>
      </c>
      <c r="B437" t="s">
        <v>70</v>
      </c>
      <c r="C437">
        <v>19</v>
      </c>
      <c r="D437" t="s">
        <v>71</v>
      </c>
      <c r="E437" t="s">
        <v>98</v>
      </c>
      <c r="F437" t="s">
        <v>73</v>
      </c>
      <c r="G437">
        <v>2.7510302922142699E-2</v>
      </c>
      <c r="H437">
        <v>2E+20</v>
      </c>
      <c r="I437">
        <v>0</v>
      </c>
      <c r="J437">
        <v>2</v>
      </c>
      <c r="K437">
        <v>0</v>
      </c>
      <c r="L437">
        <v>0</v>
      </c>
      <c r="M437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437" cm="1">
        <f t="array" ref="N437">MAX(IF((ProjectInfoTable[ProjectName]=ContinuousStatsTable[[#This Row],[ProjectName]]),(ProjectInfoTable[ProjectName]=ContinuousStatsTable[[#This Row],[ProjectName]])*ProjectInfoTable[NumberOfReplications]))</f>
        <v>30</v>
      </c>
      <c r="O437" cm="1">
        <f t="array" ref="O437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437" cm="1">
        <f t="array" ref="P437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437" cm="1">
        <f t="array" ref="Q437">MAX(IF((ProjectInfoTable[ProjectName]=ContinuousStatsTable[[#This Row],[ProjectName]]),(ProjectInfoTable[ProjectName]=ContinuousStatsTable[[#This Row],[ProjectName]])*ProjectInfoTable[ConfidenceInterval]))</f>
        <v>0.95</v>
      </c>
      <c r="R4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437" cm="1">
        <f t="array" ref="S437">MIN(IF((ContinuousStatsTable[GroupByKey]=ContinuousStatsTable[[#This Row],[GroupByKey]]),(ContinuousStatsTable[GroupByKey]=ContinuousStatsTable[[#This Row],[GroupByKey]])*ContinuousStatsTable[Average]))</f>
        <v>1.9664517785186901E-2</v>
      </c>
      <c r="T437" cm="1">
        <f t="array" ref="T437">MAX(IF((ContinuousStatsTable[GroupByKey]=ContinuousStatsTable[[#This Row],[GroupByKey]]),(ContinuousStatsTable[GroupByKey]=ContinuousStatsTable[[#This Row],[GroupByKey]])*ContinuousStatsTable[Average]))</f>
        <v>3.9738966906982302E-2</v>
      </c>
      <c r="U437">
        <f>IF((ContinuousStatsTable[[#This Row],[RepsRequested]]&gt;1),ContinuousStatsTable[[#This Row],[HalfWidth]],ContinuousStatsTable[[#This Row],[BatchMeansHalfWidth]])</f>
        <v>1.6627262085570247E-3</v>
      </c>
    </row>
    <row r="438" spans="1:21" x14ac:dyDescent="0.2">
      <c r="A438" t="s">
        <v>67</v>
      </c>
      <c r="B438" t="s">
        <v>70</v>
      </c>
      <c r="C438">
        <v>19</v>
      </c>
      <c r="D438" t="s">
        <v>99</v>
      </c>
      <c r="E438" t="s">
        <v>94</v>
      </c>
      <c r="F438" t="s">
        <v>95</v>
      </c>
      <c r="G438">
        <v>0.645018420018168</v>
      </c>
      <c r="H438">
        <v>2E+20</v>
      </c>
      <c r="I438">
        <v>0</v>
      </c>
      <c r="J438">
        <v>1</v>
      </c>
      <c r="K438">
        <v>1</v>
      </c>
      <c r="L438">
        <v>0</v>
      </c>
      <c r="M438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438" cm="1">
        <f t="array" ref="N438">MAX(IF((ProjectInfoTable[ProjectName]=ContinuousStatsTable[[#This Row],[ProjectName]]),(ProjectInfoTable[ProjectName]=ContinuousStatsTable[[#This Row],[ProjectName]])*ProjectInfoTable[NumberOfReplications]))</f>
        <v>30</v>
      </c>
      <c r="O438" cm="1">
        <f t="array" ref="O438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438" cm="1">
        <f t="array" ref="P438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438" cm="1">
        <f t="array" ref="Q438">MAX(IF((ProjectInfoTable[ProjectName]=ContinuousStatsTable[[#This Row],[ProjectName]]),(ProjectInfoTable[ProjectName]=ContinuousStatsTable[[#This Row],[ProjectName]])*ProjectInfoTable[ConfidenceInterval]))</f>
        <v>0.95</v>
      </c>
      <c r="R4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438" cm="1">
        <f t="array" ref="S438">MIN(IF((ContinuousStatsTable[GroupByKey]=ContinuousStatsTable[[#This Row],[GroupByKey]]),(ContinuousStatsTable[GroupByKey]=ContinuousStatsTable[[#This Row],[GroupByKey]])*ContinuousStatsTable[Average]))</f>
        <v>0.58256422876290004</v>
      </c>
      <c r="T438" cm="1">
        <f t="array" ref="T438">MAX(IF((ContinuousStatsTable[GroupByKey]=ContinuousStatsTable[[#This Row],[GroupByKey]]),(ContinuousStatsTable[GroupByKey]=ContinuousStatsTable[[#This Row],[GroupByKey]])*ContinuousStatsTable[Average]))</f>
        <v>0.68643238055161704</v>
      </c>
      <c r="U438">
        <f>IF((ContinuousStatsTable[[#This Row],[RepsRequested]]&gt;1),ContinuousStatsTable[[#This Row],[HalfWidth]],ContinuousStatsTable[[#This Row],[BatchMeansHalfWidth]])</f>
        <v>9.8490003000806757E-3</v>
      </c>
    </row>
    <row r="439" spans="1:21" x14ac:dyDescent="0.2">
      <c r="A439" t="s">
        <v>67</v>
      </c>
      <c r="B439" t="s">
        <v>70</v>
      </c>
      <c r="C439">
        <v>19</v>
      </c>
      <c r="D439" t="s">
        <v>99</v>
      </c>
      <c r="E439" t="s">
        <v>96</v>
      </c>
      <c r="F439" t="s">
        <v>95</v>
      </c>
      <c r="G439">
        <v>1.29003684003634</v>
      </c>
      <c r="H439">
        <v>2E+20</v>
      </c>
      <c r="I439">
        <v>0</v>
      </c>
      <c r="J439">
        <v>2</v>
      </c>
      <c r="K439">
        <v>2</v>
      </c>
      <c r="L439">
        <v>0</v>
      </c>
      <c r="M439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439" cm="1">
        <f t="array" ref="N439">MAX(IF((ProjectInfoTable[ProjectName]=ContinuousStatsTable[[#This Row],[ProjectName]]),(ProjectInfoTable[ProjectName]=ContinuousStatsTable[[#This Row],[ProjectName]])*ProjectInfoTable[NumberOfReplications]))</f>
        <v>30</v>
      </c>
      <c r="O439" cm="1">
        <f t="array" ref="O439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439" cm="1">
        <f t="array" ref="P439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439" cm="1">
        <f t="array" ref="Q439">MAX(IF((ProjectInfoTable[ProjectName]=ContinuousStatsTable[[#This Row],[ProjectName]]),(ProjectInfoTable[ProjectName]=ContinuousStatsTable[[#This Row],[ProjectName]])*ProjectInfoTable[ConfidenceInterval]))</f>
        <v>0.95</v>
      </c>
      <c r="R4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439" cm="1">
        <f t="array" ref="S439">MIN(IF((ContinuousStatsTable[GroupByKey]=ContinuousStatsTable[[#This Row],[GroupByKey]]),(ContinuousStatsTable[GroupByKey]=ContinuousStatsTable[[#This Row],[GroupByKey]])*ContinuousStatsTable[Average]))</f>
        <v>1.1651284575258001</v>
      </c>
      <c r="T439" cm="1">
        <f t="array" ref="T439">MAX(IF((ContinuousStatsTable[GroupByKey]=ContinuousStatsTable[[#This Row],[GroupByKey]]),(ContinuousStatsTable[GroupByKey]=ContinuousStatsTable[[#This Row],[GroupByKey]])*ContinuousStatsTable[Average]))</f>
        <v>1.3728647611032301</v>
      </c>
      <c r="U439">
        <f>IF((ContinuousStatsTable[[#This Row],[RepsRequested]]&gt;1),ContinuousStatsTable[[#This Row],[HalfWidth]],ContinuousStatsTable[[#This Row],[BatchMeansHalfWidth]])</f>
        <v>1.9698000600160998E-2</v>
      </c>
    </row>
    <row r="440" spans="1:21" x14ac:dyDescent="0.2">
      <c r="A440" t="s">
        <v>67</v>
      </c>
      <c r="B440" t="s">
        <v>70</v>
      </c>
      <c r="C440">
        <v>19</v>
      </c>
      <c r="D440" t="s">
        <v>99</v>
      </c>
      <c r="E440" t="s">
        <v>97</v>
      </c>
      <c r="F440" t="s">
        <v>95</v>
      </c>
      <c r="G440">
        <v>2</v>
      </c>
      <c r="H440">
        <v>2E+20</v>
      </c>
      <c r="I440">
        <v>2</v>
      </c>
      <c r="J440">
        <v>2</v>
      </c>
      <c r="K440">
        <v>2</v>
      </c>
      <c r="L440">
        <v>0</v>
      </c>
      <c r="M440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440" cm="1">
        <f t="array" ref="N440">MAX(IF((ProjectInfoTable[ProjectName]=ContinuousStatsTable[[#This Row],[ProjectName]]),(ProjectInfoTable[ProjectName]=ContinuousStatsTable[[#This Row],[ProjectName]])*ProjectInfoTable[NumberOfReplications]))</f>
        <v>30</v>
      </c>
      <c r="O440" cm="1">
        <f t="array" ref="O440">IFERROR(AVERAGE(IF((ContinuousStatsTable[GroupByKey]=ContinuousStatsTable[[#This Row],[GroupByKey]]),(ContinuousStatsTable[GroupByKey]=ContinuousStatsTable[[#This Row],[GroupByKey]])*ContinuousStatsTable[Average])),0)</f>
        <v>2</v>
      </c>
      <c r="P440" cm="1">
        <f t="array" ref="P440">IFERROR(_xlfn.STDEV.S(IF((ContinuousStatsTable[GroupByKey]=ContinuousStatsTable[[#This Row],[GroupByKey]]),(ContinuousStatsTable[GroupByKey]=ContinuousStatsTable[[#This Row],[GroupByKey]])*ContinuousStatsTable[Average])),0)</f>
        <v>0</v>
      </c>
      <c r="Q440" cm="1">
        <f t="array" ref="Q440">MAX(IF((ProjectInfoTable[ProjectName]=ContinuousStatsTable[[#This Row],[ProjectName]]),(ProjectInfoTable[ProjectName]=ContinuousStatsTable[[#This Row],[ProjectName]])*ProjectInfoTable[ConfidenceInterval]))</f>
        <v>0.95</v>
      </c>
      <c r="R4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0" cm="1">
        <f t="array" ref="S440">MIN(IF((ContinuousStatsTable[GroupByKey]=ContinuousStatsTable[[#This Row],[GroupByKey]]),(ContinuousStatsTable[GroupByKey]=ContinuousStatsTable[[#This Row],[GroupByKey]])*ContinuousStatsTable[Average]))</f>
        <v>2</v>
      </c>
      <c r="T440" cm="1">
        <f t="array" ref="T440">MAX(IF((ContinuousStatsTable[GroupByKey]=ContinuousStatsTable[[#This Row],[GroupByKey]]),(ContinuousStatsTable[GroupByKey]=ContinuousStatsTable[[#This Row],[GroupByKey]])*ContinuousStatsTable[Average]))</f>
        <v>2</v>
      </c>
      <c r="U440">
        <f>IF((ContinuousStatsTable[[#This Row],[RepsRequested]]&gt;1),ContinuousStatsTable[[#This Row],[HalfWidth]],ContinuousStatsTable[[#This Row],[BatchMeansHalfWidth]])</f>
        <v>0</v>
      </c>
    </row>
    <row r="441" spans="1:21" x14ac:dyDescent="0.2">
      <c r="A441" t="s">
        <v>67</v>
      </c>
      <c r="B441" t="s">
        <v>70</v>
      </c>
      <c r="C441">
        <v>19</v>
      </c>
      <c r="D441" t="s">
        <v>74</v>
      </c>
      <c r="E441" t="s">
        <v>100</v>
      </c>
      <c r="F441" t="s">
        <v>76</v>
      </c>
      <c r="G441">
        <v>15.8800046675589</v>
      </c>
      <c r="H441">
        <v>1.3229269759665401</v>
      </c>
      <c r="I441">
        <v>2</v>
      </c>
      <c r="J441">
        <v>32</v>
      </c>
      <c r="K441">
        <v>24</v>
      </c>
      <c r="L441">
        <v>0</v>
      </c>
      <c r="M441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41" cm="1">
        <f t="array" ref="N441">MAX(IF((ProjectInfoTable[ProjectName]=ContinuousStatsTable[[#This Row],[ProjectName]]),(ProjectInfoTable[ProjectName]=ContinuousStatsTable[[#This Row],[ProjectName]])*ProjectInfoTable[NumberOfReplications]))</f>
        <v>30</v>
      </c>
      <c r="O441" cm="1">
        <f t="array" ref="O441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441" cm="1">
        <f t="array" ref="P441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441" cm="1">
        <f t="array" ref="Q441">MAX(IF((ProjectInfoTable[ProjectName]=ContinuousStatsTable[[#This Row],[ProjectName]]),(ProjectInfoTable[ProjectName]=ContinuousStatsTable[[#This Row],[ProjectName]])*ProjectInfoTable[ConfidenceInterval]))</f>
        <v>0.95</v>
      </c>
      <c r="R4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441" cm="1">
        <f t="array" ref="S441">MIN(IF((ContinuousStatsTable[GroupByKey]=ContinuousStatsTable[[#This Row],[GroupByKey]]),(ContinuousStatsTable[GroupByKey]=ContinuousStatsTable[[#This Row],[GroupByKey]])*ContinuousStatsTable[Average]))</f>
        <v>14.4112589759764</v>
      </c>
      <c r="T441" cm="1">
        <f t="array" ref="T441">MAX(IF((ContinuousStatsTable[GroupByKey]=ContinuousStatsTable[[#This Row],[GroupByKey]]),(ContinuousStatsTable[GroupByKey]=ContinuousStatsTable[[#This Row],[GroupByKey]])*ContinuousStatsTable[Average]))</f>
        <v>16.972707717517899</v>
      </c>
      <c r="U441">
        <f>IF((ContinuousStatsTable[[#This Row],[RepsRequested]]&gt;1),ContinuousStatsTable[[#This Row],[HalfWidth]],ContinuousStatsTable[[#This Row],[BatchMeansHalfWidth]])</f>
        <v>0.25870181881670146</v>
      </c>
    </row>
    <row r="442" spans="1:21" x14ac:dyDescent="0.2">
      <c r="A442" t="s">
        <v>67</v>
      </c>
      <c r="B442" t="s">
        <v>70</v>
      </c>
      <c r="C442">
        <v>19</v>
      </c>
      <c r="D442" t="s">
        <v>82</v>
      </c>
      <c r="E442" t="s">
        <v>98</v>
      </c>
      <c r="F442" t="s">
        <v>73</v>
      </c>
      <c r="G442">
        <v>0.169543958388709</v>
      </c>
      <c r="H442">
        <v>2E+20</v>
      </c>
      <c r="I442">
        <v>0</v>
      </c>
      <c r="J442">
        <v>4</v>
      </c>
      <c r="K442">
        <v>0</v>
      </c>
      <c r="L442">
        <v>0</v>
      </c>
      <c r="M442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442" cm="1">
        <f t="array" ref="N442">MAX(IF((ProjectInfoTable[ProjectName]=ContinuousStatsTable[[#This Row],[ProjectName]]),(ProjectInfoTable[ProjectName]=ContinuousStatsTable[[#This Row],[ProjectName]])*ProjectInfoTable[NumberOfReplications]))</f>
        <v>30</v>
      </c>
      <c r="O442" cm="1">
        <f t="array" ref="O442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442" cm="1">
        <f t="array" ref="P442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442" cm="1">
        <f t="array" ref="Q442">MAX(IF((ProjectInfoTable[ProjectName]=ContinuousStatsTable[[#This Row],[ProjectName]]),(ProjectInfoTable[ProjectName]=ContinuousStatsTable[[#This Row],[ProjectName]])*ProjectInfoTable[ConfidenceInterval]))</f>
        <v>0.95</v>
      </c>
      <c r="R4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442" cm="1">
        <f t="array" ref="S442">MIN(IF((ContinuousStatsTable[GroupByKey]=ContinuousStatsTable[[#This Row],[GroupByKey]]),(ContinuousStatsTable[GroupByKey]=ContinuousStatsTable[[#This Row],[GroupByKey]])*ContinuousStatsTable[Average]))</f>
        <v>7.4406608295854798E-2</v>
      </c>
      <c r="T442" cm="1">
        <f t="array" ref="T442">MAX(IF((ContinuousStatsTable[GroupByKey]=ContinuousStatsTable[[#This Row],[GroupByKey]]),(ContinuousStatsTable[GroupByKey]=ContinuousStatsTable[[#This Row],[GroupByKey]])*ContinuousStatsTable[Average]))</f>
        <v>0.29874320707386398</v>
      </c>
      <c r="U442">
        <f>IF((ContinuousStatsTable[[#This Row],[RepsRequested]]&gt;1),ContinuousStatsTable[[#This Row],[HalfWidth]],ContinuousStatsTable[[#This Row],[BatchMeansHalfWidth]])</f>
        <v>2.0058204231149332E-2</v>
      </c>
    </row>
    <row r="443" spans="1:21" x14ac:dyDescent="0.2">
      <c r="A443" t="s">
        <v>67</v>
      </c>
      <c r="B443" t="s">
        <v>70</v>
      </c>
      <c r="C443">
        <v>19</v>
      </c>
      <c r="D443" t="s">
        <v>101</v>
      </c>
      <c r="E443" t="s">
        <v>94</v>
      </c>
      <c r="F443" t="s">
        <v>95</v>
      </c>
      <c r="G443">
        <v>2.0120614035087701E-3</v>
      </c>
      <c r="H443">
        <v>2.14002219613267E-4</v>
      </c>
      <c r="I443">
        <v>0</v>
      </c>
      <c r="J443">
        <v>3.7499999999999999E-2</v>
      </c>
      <c r="K443">
        <v>0</v>
      </c>
      <c r="L443">
        <v>0</v>
      </c>
      <c r="M443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443" cm="1">
        <f t="array" ref="N443">MAX(IF((ProjectInfoTable[ProjectName]=ContinuousStatsTable[[#This Row],[ProjectName]]),(ProjectInfoTable[ProjectName]=ContinuousStatsTable[[#This Row],[ProjectName]])*ProjectInfoTable[NumberOfReplications]))</f>
        <v>30</v>
      </c>
      <c r="O443" cm="1">
        <f t="array" ref="O443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443" cm="1">
        <f t="array" ref="P443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443" cm="1">
        <f t="array" ref="Q443">MAX(IF((ProjectInfoTable[ProjectName]=ContinuousStatsTable[[#This Row],[ProjectName]]),(ProjectInfoTable[ProjectName]=ContinuousStatsTable[[#This Row],[ProjectName]])*ProjectInfoTable[ConfidenceInterval]))</f>
        <v>0.95</v>
      </c>
      <c r="R4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443" cm="1">
        <f t="array" ref="S443">MIN(IF((ContinuousStatsTable[GroupByKey]=ContinuousStatsTable[[#This Row],[GroupByKey]]),(ContinuousStatsTable[GroupByKey]=ContinuousStatsTable[[#This Row],[GroupByKey]])*ContinuousStatsTable[Average]))</f>
        <v>1.70504385964912E-3</v>
      </c>
      <c r="T443" cm="1">
        <f t="array" ref="T443">MAX(IF((ContinuousStatsTable[GroupByKey]=ContinuousStatsTable[[#This Row],[GroupByKey]]),(ContinuousStatsTable[GroupByKey]=ContinuousStatsTable[[#This Row],[GroupByKey]])*ContinuousStatsTable[Average]))</f>
        <v>2.17031677925951E-3</v>
      </c>
      <c r="U443">
        <f>IF((ContinuousStatsTable[[#This Row],[RepsRequested]]&gt;1),ContinuousStatsTable[[#This Row],[HalfWidth]],ContinuousStatsTable[[#This Row],[BatchMeansHalfWidth]])</f>
        <v>4.4865881583116605E-5</v>
      </c>
    </row>
    <row r="444" spans="1:21" x14ac:dyDescent="0.2">
      <c r="A444" t="s">
        <v>67</v>
      </c>
      <c r="B444" t="s">
        <v>70</v>
      </c>
      <c r="C444">
        <v>19</v>
      </c>
      <c r="D444" t="s">
        <v>101</v>
      </c>
      <c r="E444" t="s">
        <v>96</v>
      </c>
      <c r="F444" t="s">
        <v>95</v>
      </c>
      <c r="G444">
        <v>0.160964912280702</v>
      </c>
      <c r="H444">
        <v>1.7120177569061399E-2</v>
      </c>
      <c r="I444">
        <v>0</v>
      </c>
      <c r="J444">
        <v>3</v>
      </c>
      <c r="K444">
        <v>0</v>
      </c>
      <c r="L444">
        <v>0</v>
      </c>
      <c r="M444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444" cm="1">
        <f t="array" ref="N444">MAX(IF((ProjectInfoTable[ProjectName]=ContinuousStatsTable[[#This Row],[ProjectName]]),(ProjectInfoTable[ProjectName]=ContinuousStatsTable[[#This Row],[ProjectName]])*ProjectInfoTable[NumberOfReplications]))</f>
        <v>30</v>
      </c>
      <c r="O444" cm="1">
        <f t="array" ref="O444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444" cm="1">
        <f t="array" ref="P444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444" cm="1">
        <f t="array" ref="Q444">MAX(IF((ProjectInfoTable[ProjectName]=ContinuousStatsTable[[#This Row],[ProjectName]]),(ProjectInfoTable[ProjectName]=ContinuousStatsTable[[#This Row],[ProjectName]])*ProjectInfoTable[ConfidenceInterval]))</f>
        <v>0.95</v>
      </c>
      <c r="R4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444" cm="1">
        <f t="array" ref="S444">MIN(IF((ContinuousStatsTable[GroupByKey]=ContinuousStatsTable[[#This Row],[GroupByKey]]),(ContinuousStatsTable[GroupByKey]=ContinuousStatsTable[[#This Row],[GroupByKey]])*ContinuousStatsTable[Average]))</f>
        <v>0.13640350877193</v>
      </c>
      <c r="T444" cm="1">
        <f t="array" ref="T444">MAX(IF((ContinuousStatsTable[GroupByKey]=ContinuousStatsTable[[#This Row],[GroupByKey]]),(ContinuousStatsTable[GroupByKey]=ContinuousStatsTable[[#This Row],[GroupByKey]])*ContinuousStatsTable[Average]))</f>
        <v>0.17362534234076099</v>
      </c>
      <c r="U444">
        <f>IF((ContinuousStatsTable[[#This Row],[RepsRequested]]&gt;1),ContinuousStatsTable[[#This Row],[HalfWidth]],ContinuousStatsTable[[#This Row],[BatchMeansHalfWidth]])</f>
        <v>3.5892705266493139E-3</v>
      </c>
    </row>
    <row r="445" spans="1:21" x14ac:dyDescent="0.2">
      <c r="A445" t="s">
        <v>67</v>
      </c>
      <c r="B445" t="s">
        <v>70</v>
      </c>
      <c r="C445">
        <v>19</v>
      </c>
      <c r="D445" t="s">
        <v>101</v>
      </c>
      <c r="E445" t="s">
        <v>97</v>
      </c>
      <c r="F445" t="s">
        <v>95</v>
      </c>
      <c r="G445">
        <v>80</v>
      </c>
      <c r="H445">
        <v>2E+20</v>
      </c>
      <c r="I445">
        <v>80</v>
      </c>
      <c r="J445">
        <v>80</v>
      </c>
      <c r="K445">
        <v>80</v>
      </c>
      <c r="L445">
        <v>0</v>
      </c>
      <c r="M445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445" cm="1">
        <f t="array" ref="N445">MAX(IF((ProjectInfoTable[ProjectName]=ContinuousStatsTable[[#This Row],[ProjectName]]),(ProjectInfoTable[ProjectName]=ContinuousStatsTable[[#This Row],[ProjectName]])*ProjectInfoTable[NumberOfReplications]))</f>
        <v>30</v>
      </c>
      <c r="O445" cm="1">
        <f t="array" ref="O445">IFERROR(AVERAGE(IF((ContinuousStatsTable[GroupByKey]=ContinuousStatsTable[[#This Row],[GroupByKey]]),(ContinuousStatsTable[GroupByKey]=ContinuousStatsTable[[#This Row],[GroupByKey]])*ContinuousStatsTable[Average])),0)</f>
        <v>80</v>
      </c>
      <c r="P445" cm="1">
        <f t="array" ref="P445">IFERROR(_xlfn.STDEV.S(IF((ContinuousStatsTable[GroupByKey]=ContinuousStatsTable[[#This Row],[GroupByKey]]),(ContinuousStatsTable[GroupByKey]=ContinuousStatsTable[[#This Row],[GroupByKey]])*ContinuousStatsTable[Average])),0)</f>
        <v>0</v>
      </c>
      <c r="Q445" cm="1">
        <f t="array" ref="Q445">MAX(IF((ProjectInfoTable[ProjectName]=ContinuousStatsTable[[#This Row],[ProjectName]]),(ProjectInfoTable[ProjectName]=ContinuousStatsTable[[#This Row],[ProjectName]])*ProjectInfoTable[ConfidenceInterval]))</f>
        <v>0.95</v>
      </c>
      <c r="R4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5" cm="1">
        <f t="array" ref="S445">MIN(IF((ContinuousStatsTable[GroupByKey]=ContinuousStatsTable[[#This Row],[GroupByKey]]),(ContinuousStatsTable[GroupByKey]=ContinuousStatsTable[[#This Row],[GroupByKey]])*ContinuousStatsTable[Average]))</f>
        <v>80</v>
      </c>
      <c r="T445" cm="1">
        <f t="array" ref="T445">MAX(IF((ContinuousStatsTable[GroupByKey]=ContinuousStatsTable[[#This Row],[GroupByKey]]),(ContinuousStatsTable[GroupByKey]=ContinuousStatsTable[[#This Row],[GroupByKey]])*ContinuousStatsTable[Average]))</f>
        <v>80</v>
      </c>
      <c r="U445">
        <f>IF((ContinuousStatsTable[[#This Row],[RepsRequested]]&gt;1),ContinuousStatsTable[[#This Row],[HalfWidth]],ContinuousStatsTable[[#This Row],[BatchMeansHalfWidth]])</f>
        <v>0</v>
      </c>
    </row>
    <row r="446" spans="1:21" x14ac:dyDescent="0.2">
      <c r="A446" t="s">
        <v>67</v>
      </c>
      <c r="B446" t="s">
        <v>70</v>
      </c>
      <c r="C446">
        <v>19</v>
      </c>
      <c r="D446" t="s">
        <v>86</v>
      </c>
      <c r="E446" t="s">
        <v>98</v>
      </c>
      <c r="F446" t="s">
        <v>73</v>
      </c>
      <c r="G446">
        <v>0</v>
      </c>
      <c r="H446">
        <v>2E+20</v>
      </c>
      <c r="I446">
        <v>0</v>
      </c>
      <c r="J446">
        <v>0</v>
      </c>
      <c r="K446">
        <v>0</v>
      </c>
      <c r="L446">
        <v>0</v>
      </c>
      <c r="M446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446" cm="1">
        <f t="array" ref="N446">MAX(IF((ProjectInfoTable[ProjectName]=ContinuousStatsTable[[#This Row],[ProjectName]]),(ProjectInfoTable[ProjectName]=ContinuousStatsTable[[#This Row],[ProjectName]])*ProjectInfoTable[NumberOfReplications]))</f>
        <v>30</v>
      </c>
      <c r="O446" cm="1">
        <f t="array" ref="O446">IFERROR(AVERAGE(IF((ContinuousStatsTable[GroupByKey]=ContinuousStatsTable[[#This Row],[GroupByKey]]),(ContinuousStatsTable[GroupByKey]=ContinuousStatsTable[[#This Row],[GroupByKey]])*ContinuousStatsTable[Average])),0)</f>
        <v>0</v>
      </c>
      <c r="P446" cm="1">
        <f t="array" ref="P446">IFERROR(_xlfn.STDEV.S(IF((ContinuousStatsTable[GroupByKey]=ContinuousStatsTable[[#This Row],[GroupByKey]]),(ContinuousStatsTable[GroupByKey]=ContinuousStatsTable[[#This Row],[GroupByKey]])*ContinuousStatsTable[Average])),0)</f>
        <v>0</v>
      </c>
      <c r="Q446" cm="1">
        <f t="array" ref="Q446">MAX(IF((ProjectInfoTable[ProjectName]=ContinuousStatsTable[[#This Row],[ProjectName]]),(ProjectInfoTable[ProjectName]=ContinuousStatsTable[[#This Row],[ProjectName]])*ProjectInfoTable[ConfidenceInterval]))</f>
        <v>0.95</v>
      </c>
      <c r="R4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6" cm="1">
        <f t="array" ref="S446">MIN(IF((ContinuousStatsTable[GroupByKey]=ContinuousStatsTable[[#This Row],[GroupByKey]]),(ContinuousStatsTable[GroupByKey]=ContinuousStatsTable[[#This Row],[GroupByKey]])*ContinuousStatsTable[Average]))</f>
        <v>0</v>
      </c>
      <c r="T446" cm="1">
        <f t="array" ref="T446">MAX(IF((ContinuousStatsTable[GroupByKey]=ContinuousStatsTable[[#This Row],[GroupByKey]]),(ContinuousStatsTable[GroupByKey]=ContinuousStatsTable[[#This Row],[GroupByKey]])*ContinuousStatsTable[Average]))</f>
        <v>0</v>
      </c>
      <c r="U446">
        <f>IF((ContinuousStatsTable[[#This Row],[RepsRequested]]&gt;1),ContinuousStatsTable[[#This Row],[HalfWidth]],ContinuousStatsTable[[#This Row],[BatchMeansHalfWidth]])</f>
        <v>0</v>
      </c>
    </row>
    <row r="447" spans="1:21" x14ac:dyDescent="0.2">
      <c r="A447" t="s">
        <v>67</v>
      </c>
      <c r="B447" t="s">
        <v>70</v>
      </c>
      <c r="C447">
        <v>19</v>
      </c>
      <c r="D447" t="s">
        <v>87</v>
      </c>
      <c r="E447" t="s">
        <v>98</v>
      </c>
      <c r="F447" t="s">
        <v>73</v>
      </c>
      <c r="G447">
        <v>0</v>
      </c>
      <c r="H447">
        <v>2E+20</v>
      </c>
      <c r="I447">
        <v>0</v>
      </c>
      <c r="J447">
        <v>0</v>
      </c>
      <c r="K447">
        <v>0</v>
      </c>
      <c r="L447">
        <v>0</v>
      </c>
      <c r="M447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447" cm="1">
        <f t="array" ref="N447">MAX(IF((ProjectInfoTable[ProjectName]=ContinuousStatsTable[[#This Row],[ProjectName]]),(ProjectInfoTable[ProjectName]=ContinuousStatsTable[[#This Row],[ProjectName]])*ProjectInfoTable[NumberOfReplications]))</f>
        <v>30</v>
      </c>
      <c r="O447" cm="1">
        <f t="array" ref="O447">IFERROR(AVERAGE(IF((ContinuousStatsTable[GroupByKey]=ContinuousStatsTable[[#This Row],[GroupByKey]]),(ContinuousStatsTable[GroupByKey]=ContinuousStatsTable[[#This Row],[GroupByKey]])*ContinuousStatsTable[Average])),0)</f>
        <v>0</v>
      </c>
      <c r="P447" cm="1">
        <f t="array" ref="P447">IFERROR(_xlfn.STDEV.S(IF((ContinuousStatsTable[GroupByKey]=ContinuousStatsTable[[#This Row],[GroupByKey]]),(ContinuousStatsTable[GroupByKey]=ContinuousStatsTable[[#This Row],[GroupByKey]])*ContinuousStatsTable[Average])),0)</f>
        <v>0</v>
      </c>
      <c r="Q447" cm="1">
        <f t="array" ref="Q447">MAX(IF((ProjectInfoTable[ProjectName]=ContinuousStatsTable[[#This Row],[ProjectName]]),(ProjectInfoTable[ProjectName]=ContinuousStatsTable[[#This Row],[ProjectName]])*ProjectInfoTable[ConfidenceInterval]))</f>
        <v>0.95</v>
      </c>
      <c r="R4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47" cm="1">
        <f t="array" ref="S447">MIN(IF((ContinuousStatsTable[GroupByKey]=ContinuousStatsTable[[#This Row],[GroupByKey]]),(ContinuousStatsTable[GroupByKey]=ContinuousStatsTable[[#This Row],[GroupByKey]])*ContinuousStatsTable[Average]))</f>
        <v>0</v>
      </c>
      <c r="T447" cm="1">
        <f t="array" ref="T447">MAX(IF((ContinuousStatsTable[GroupByKey]=ContinuousStatsTable[[#This Row],[GroupByKey]]),(ContinuousStatsTable[GroupByKey]=ContinuousStatsTable[[#This Row],[GroupByKey]])*ContinuousStatsTable[Average]))</f>
        <v>0</v>
      </c>
      <c r="U447">
        <f>IF((ContinuousStatsTable[[#This Row],[RepsRequested]]&gt;1),ContinuousStatsTable[[#This Row],[HalfWidth]],ContinuousStatsTable[[#This Row],[BatchMeansHalfWidth]])</f>
        <v>0</v>
      </c>
    </row>
    <row r="448" spans="1:21" x14ac:dyDescent="0.2">
      <c r="A448" t="s">
        <v>67</v>
      </c>
      <c r="B448" t="s">
        <v>70</v>
      </c>
      <c r="C448">
        <v>19</v>
      </c>
      <c r="D448" t="s">
        <v>88</v>
      </c>
      <c r="E448" t="s">
        <v>98</v>
      </c>
      <c r="F448" t="s">
        <v>73</v>
      </c>
      <c r="G448">
        <v>1.5030441936563399</v>
      </c>
      <c r="H448">
        <v>9.1541259164784006E-2</v>
      </c>
      <c r="I448">
        <v>0</v>
      </c>
      <c r="J448">
        <v>4</v>
      </c>
      <c r="K448">
        <v>2</v>
      </c>
      <c r="L448">
        <v>0</v>
      </c>
      <c r="M448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448" cm="1">
        <f t="array" ref="N448">MAX(IF((ProjectInfoTable[ProjectName]=ContinuousStatsTable[[#This Row],[ProjectName]]),(ProjectInfoTable[ProjectName]=ContinuousStatsTable[[#This Row],[ProjectName]])*ProjectInfoTable[NumberOfReplications]))</f>
        <v>30</v>
      </c>
      <c r="O448" cm="1">
        <f t="array" ref="O448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448" cm="1">
        <f t="array" ref="P448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448" cm="1">
        <f t="array" ref="Q448">MAX(IF((ProjectInfoTable[ProjectName]=ContinuousStatsTable[[#This Row],[ProjectName]]),(ProjectInfoTable[ProjectName]=ContinuousStatsTable[[#This Row],[ProjectName]])*ProjectInfoTable[ConfidenceInterval]))</f>
        <v>0.95</v>
      </c>
      <c r="R4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448" cm="1">
        <f t="array" ref="S448">MIN(IF((ContinuousStatsTable[GroupByKey]=ContinuousStatsTable[[#This Row],[GroupByKey]]),(ContinuousStatsTable[GroupByKey]=ContinuousStatsTable[[#This Row],[GroupByKey]])*ContinuousStatsTable[Average]))</f>
        <v>1.4062336911317099</v>
      </c>
      <c r="T448" cm="1">
        <f t="array" ref="T448">MAX(IF((ContinuousStatsTable[GroupByKey]=ContinuousStatsTable[[#This Row],[GroupByKey]]),(ContinuousStatsTable[GroupByKey]=ContinuousStatsTable[[#This Row],[GroupByKey]])*ContinuousStatsTable[Average]))</f>
        <v>1.5889769030929</v>
      </c>
      <c r="U448">
        <f>IF((ContinuousStatsTable[[#This Row],[RepsRequested]]&gt;1),ContinuousStatsTable[[#This Row],[HalfWidth]],ContinuousStatsTable[[#This Row],[BatchMeansHalfWidth]])</f>
        <v>1.602866983772662E-2</v>
      </c>
    </row>
    <row r="449" spans="1:21" x14ac:dyDescent="0.2">
      <c r="A449" t="s">
        <v>67</v>
      </c>
      <c r="B449" t="s">
        <v>70</v>
      </c>
      <c r="C449">
        <v>19</v>
      </c>
      <c r="D449" t="s">
        <v>102</v>
      </c>
      <c r="E449" t="s">
        <v>94</v>
      </c>
      <c r="F449" t="s">
        <v>95</v>
      </c>
      <c r="G449">
        <v>4.7183340482242504E-3</v>
      </c>
      <c r="H449">
        <v>7.6934798868823196E-4</v>
      </c>
      <c r="I449">
        <v>0</v>
      </c>
      <c r="J449">
        <v>0.15</v>
      </c>
      <c r="K449">
        <v>0</v>
      </c>
      <c r="L449">
        <v>0</v>
      </c>
      <c r="M449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449" cm="1">
        <f t="array" ref="N449">MAX(IF((ProjectInfoTable[ProjectName]=ContinuousStatsTable[[#This Row],[ProjectName]]),(ProjectInfoTable[ProjectName]=ContinuousStatsTable[[#This Row],[ProjectName]])*ProjectInfoTable[NumberOfReplications]))</f>
        <v>30</v>
      </c>
      <c r="O449" cm="1">
        <f t="array" ref="O449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449" cm="1">
        <f t="array" ref="P449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449" cm="1">
        <f t="array" ref="Q449">MAX(IF((ProjectInfoTable[ProjectName]=ContinuousStatsTable[[#This Row],[ProjectName]]),(ProjectInfoTable[ProjectName]=ContinuousStatsTable[[#This Row],[ProjectName]])*ProjectInfoTable[ConfidenceInterval]))</f>
        <v>0.95</v>
      </c>
      <c r="R4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449" cm="1">
        <f t="array" ref="S449">MIN(IF((ContinuousStatsTable[GroupByKey]=ContinuousStatsTable[[#This Row],[GroupByKey]]),(ContinuousStatsTable[GroupByKey]=ContinuousStatsTable[[#This Row],[GroupByKey]])*ContinuousStatsTable[Average]))</f>
        <v>4.4956140350877203E-3</v>
      </c>
      <c r="T449" cm="1">
        <f t="array" ref="T449">MAX(IF((ContinuousStatsTable[GroupByKey]=ContinuousStatsTable[[#This Row],[GroupByKey]]),(ContinuousStatsTable[GroupByKey]=ContinuousStatsTable[[#This Row],[GroupByKey]])*ContinuousStatsTable[Average]))</f>
        <v>5.5482456140350904E-3</v>
      </c>
      <c r="U449">
        <f>IF((ContinuousStatsTable[[#This Row],[RepsRequested]]&gt;1),ContinuousStatsTable[[#This Row],[HalfWidth]],ContinuousStatsTable[[#This Row],[BatchMeansHalfWidth]])</f>
        <v>1.0144486472958472E-4</v>
      </c>
    </row>
    <row r="450" spans="1:21" x14ac:dyDescent="0.2">
      <c r="A450" t="s">
        <v>67</v>
      </c>
      <c r="B450" t="s">
        <v>70</v>
      </c>
      <c r="C450">
        <v>19</v>
      </c>
      <c r="D450" t="s">
        <v>102</v>
      </c>
      <c r="E450" t="s">
        <v>96</v>
      </c>
      <c r="F450" t="s">
        <v>95</v>
      </c>
      <c r="G450">
        <v>9.4366680964485097E-2</v>
      </c>
      <c r="H450">
        <v>1.53869597737646E-2</v>
      </c>
      <c r="I450">
        <v>0</v>
      </c>
      <c r="J450">
        <v>3</v>
      </c>
      <c r="K450">
        <v>0</v>
      </c>
      <c r="L450">
        <v>0</v>
      </c>
      <c r="M450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450" cm="1">
        <f t="array" ref="N450">MAX(IF((ProjectInfoTable[ProjectName]=ContinuousStatsTable[[#This Row],[ProjectName]]),(ProjectInfoTable[ProjectName]=ContinuousStatsTable[[#This Row],[ProjectName]])*ProjectInfoTable[NumberOfReplications]))</f>
        <v>30</v>
      </c>
      <c r="O450" cm="1">
        <f t="array" ref="O450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450" cm="1">
        <f t="array" ref="P450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450" cm="1">
        <f t="array" ref="Q450">MAX(IF((ProjectInfoTable[ProjectName]=ContinuousStatsTable[[#This Row],[ProjectName]]),(ProjectInfoTable[ProjectName]=ContinuousStatsTable[[#This Row],[ProjectName]])*ProjectInfoTable[ConfidenceInterval]))</f>
        <v>0.95</v>
      </c>
      <c r="R4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450" cm="1">
        <f t="array" ref="S450">MIN(IF((ContinuousStatsTable[GroupByKey]=ContinuousStatsTable[[#This Row],[GroupByKey]]),(ContinuousStatsTable[GroupByKey]=ContinuousStatsTable[[#This Row],[GroupByKey]])*ContinuousStatsTable[Average]))</f>
        <v>8.9912280701754305E-2</v>
      </c>
      <c r="T450" cm="1">
        <f t="array" ref="T450">MAX(IF((ContinuousStatsTable[GroupByKey]=ContinuousStatsTable[[#This Row],[GroupByKey]]),(ContinuousStatsTable[GroupByKey]=ContinuousStatsTable[[#This Row],[GroupByKey]])*ContinuousStatsTable[Average]))</f>
        <v>0.110964912280702</v>
      </c>
      <c r="U450">
        <f>IF((ContinuousStatsTable[[#This Row],[RepsRequested]]&gt;1),ContinuousStatsTable[[#This Row],[HalfWidth]],ContinuousStatsTable[[#This Row],[BatchMeansHalfWidth]])</f>
        <v>2.0288972945916956E-3</v>
      </c>
    </row>
    <row r="451" spans="1:21" x14ac:dyDescent="0.2">
      <c r="A451" t="s">
        <v>67</v>
      </c>
      <c r="B451" t="s">
        <v>70</v>
      </c>
      <c r="C451">
        <v>19</v>
      </c>
      <c r="D451" t="s">
        <v>102</v>
      </c>
      <c r="E451" t="s">
        <v>97</v>
      </c>
      <c r="F451" t="s">
        <v>95</v>
      </c>
      <c r="G451">
        <v>20</v>
      </c>
      <c r="H451">
        <v>2E+20</v>
      </c>
      <c r="I451">
        <v>20</v>
      </c>
      <c r="J451">
        <v>20</v>
      </c>
      <c r="K451">
        <v>20</v>
      </c>
      <c r="L451">
        <v>0</v>
      </c>
      <c r="M451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451" cm="1">
        <f t="array" ref="N451">MAX(IF((ProjectInfoTable[ProjectName]=ContinuousStatsTable[[#This Row],[ProjectName]]),(ProjectInfoTable[ProjectName]=ContinuousStatsTable[[#This Row],[ProjectName]])*ProjectInfoTable[NumberOfReplications]))</f>
        <v>30</v>
      </c>
      <c r="O451" cm="1">
        <f t="array" ref="O451">IFERROR(AVERAGE(IF((ContinuousStatsTable[GroupByKey]=ContinuousStatsTable[[#This Row],[GroupByKey]]),(ContinuousStatsTable[GroupByKey]=ContinuousStatsTable[[#This Row],[GroupByKey]])*ContinuousStatsTable[Average])),0)</f>
        <v>20</v>
      </c>
      <c r="P451" cm="1">
        <f t="array" ref="P451">IFERROR(_xlfn.STDEV.S(IF((ContinuousStatsTable[GroupByKey]=ContinuousStatsTable[[#This Row],[GroupByKey]]),(ContinuousStatsTable[GroupByKey]=ContinuousStatsTable[[#This Row],[GroupByKey]])*ContinuousStatsTable[Average])),0)</f>
        <v>0</v>
      </c>
      <c r="Q451" cm="1">
        <f t="array" ref="Q451">MAX(IF((ProjectInfoTable[ProjectName]=ContinuousStatsTable[[#This Row],[ProjectName]]),(ProjectInfoTable[ProjectName]=ContinuousStatsTable[[#This Row],[ProjectName]])*ProjectInfoTable[ConfidenceInterval]))</f>
        <v>0.95</v>
      </c>
      <c r="R4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1" cm="1">
        <f t="array" ref="S451">MIN(IF((ContinuousStatsTable[GroupByKey]=ContinuousStatsTable[[#This Row],[GroupByKey]]),(ContinuousStatsTable[GroupByKey]=ContinuousStatsTable[[#This Row],[GroupByKey]])*ContinuousStatsTable[Average]))</f>
        <v>20</v>
      </c>
      <c r="T451" cm="1">
        <f t="array" ref="T451">MAX(IF((ContinuousStatsTable[GroupByKey]=ContinuousStatsTable[[#This Row],[GroupByKey]]),(ContinuousStatsTable[GroupByKey]=ContinuousStatsTable[[#This Row],[GroupByKey]])*ContinuousStatsTable[Average]))</f>
        <v>20</v>
      </c>
      <c r="U451">
        <f>IF((ContinuousStatsTable[[#This Row],[RepsRequested]]&gt;1),ContinuousStatsTable[[#This Row],[HalfWidth]],ContinuousStatsTable[[#This Row],[BatchMeansHalfWidth]])</f>
        <v>0</v>
      </c>
    </row>
    <row r="452" spans="1:21" x14ac:dyDescent="0.2">
      <c r="A452" t="s">
        <v>67</v>
      </c>
      <c r="B452" t="s">
        <v>70</v>
      </c>
      <c r="C452">
        <v>19</v>
      </c>
      <c r="D452" t="s">
        <v>90</v>
      </c>
      <c r="E452" t="s">
        <v>98</v>
      </c>
      <c r="F452" t="s">
        <v>73</v>
      </c>
      <c r="G452">
        <v>0</v>
      </c>
      <c r="H452">
        <v>2E+20</v>
      </c>
      <c r="I452">
        <v>0</v>
      </c>
      <c r="J452">
        <v>0</v>
      </c>
      <c r="K452">
        <v>0</v>
      </c>
      <c r="L452">
        <v>0</v>
      </c>
      <c r="M452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452" cm="1">
        <f t="array" ref="N452">MAX(IF((ProjectInfoTable[ProjectName]=ContinuousStatsTable[[#This Row],[ProjectName]]),(ProjectInfoTable[ProjectName]=ContinuousStatsTable[[#This Row],[ProjectName]])*ProjectInfoTable[NumberOfReplications]))</f>
        <v>30</v>
      </c>
      <c r="O452" cm="1">
        <f t="array" ref="O452">IFERROR(AVERAGE(IF((ContinuousStatsTable[GroupByKey]=ContinuousStatsTable[[#This Row],[GroupByKey]]),(ContinuousStatsTable[GroupByKey]=ContinuousStatsTable[[#This Row],[GroupByKey]])*ContinuousStatsTable[Average])),0)</f>
        <v>0</v>
      </c>
      <c r="P452" cm="1">
        <f t="array" ref="P452">IFERROR(_xlfn.STDEV.S(IF((ContinuousStatsTable[GroupByKey]=ContinuousStatsTable[[#This Row],[GroupByKey]]),(ContinuousStatsTable[GroupByKey]=ContinuousStatsTable[[#This Row],[GroupByKey]])*ContinuousStatsTable[Average])),0)</f>
        <v>0</v>
      </c>
      <c r="Q452" cm="1">
        <f t="array" ref="Q452">MAX(IF((ProjectInfoTable[ProjectName]=ContinuousStatsTable[[#This Row],[ProjectName]]),(ProjectInfoTable[ProjectName]=ContinuousStatsTable[[#This Row],[ProjectName]])*ProjectInfoTable[ConfidenceInterval]))</f>
        <v>0.95</v>
      </c>
      <c r="R4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2" cm="1">
        <f t="array" ref="S452">MIN(IF((ContinuousStatsTable[GroupByKey]=ContinuousStatsTable[[#This Row],[GroupByKey]]),(ContinuousStatsTable[GroupByKey]=ContinuousStatsTable[[#This Row],[GroupByKey]])*ContinuousStatsTable[Average]))</f>
        <v>0</v>
      </c>
      <c r="T452" cm="1">
        <f t="array" ref="T452">MAX(IF((ContinuousStatsTable[GroupByKey]=ContinuousStatsTable[[#This Row],[GroupByKey]]),(ContinuousStatsTable[GroupByKey]=ContinuousStatsTable[[#This Row],[GroupByKey]])*ContinuousStatsTable[Average]))</f>
        <v>0</v>
      </c>
      <c r="U452">
        <f>IF((ContinuousStatsTable[[#This Row],[RepsRequested]]&gt;1),ContinuousStatsTable[[#This Row],[HalfWidth]],ContinuousStatsTable[[#This Row],[BatchMeansHalfWidth]])</f>
        <v>0</v>
      </c>
    </row>
    <row r="453" spans="1:21" x14ac:dyDescent="0.2">
      <c r="A453" t="s">
        <v>67</v>
      </c>
      <c r="B453" t="s">
        <v>70</v>
      </c>
      <c r="C453">
        <v>19</v>
      </c>
      <c r="D453" t="s">
        <v>91</v>
      </c>
      <c r="E453" t="s">
        <v>98</v>
      </c>
      <c r="F453" t="s">
        <v>73</v>
      </c>
      <c r="G453">
        <v>0</v>
      </c>
      <c r="H453">
        <v>2E+20</v>
      </c>
      <c r="I453">
        <v>0</v>
      </c>
      <c r="J453">
        <v>0</v>
      </c>
      <c r="K453">
        <v>0</v>
      </c>
      <c r="L453">
        <v>0</v>
      </c>
      <c r="M453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453" cm="1">
        <f t="array" ref="N453">MAX(IF((ProjectInfoTable[ProjectName]=ContinuousStatsTable[[#This Row],[ProjectName]]),(ProjectInfoTable[ProjectName]=ContinuousStatsTable[[#This Row],[ProjectName]])*ProjectInfoTable[NumberOfReplications]))</f>
        <v>30</v>
      </c>
      <c r="O453" cm="1">
        <f t="array" ref="O453">IFERROR(AVERAGE(IF((ContinuousStatsTable[GroupByKey]=ContinuousStatsTable[[#This Row],[GroupByKey]]),(ContinuousStatsTable[GroupByKey]=ContinuousStatsTable[[#This Row],[GroupByKey]])*ContinuousStatsTable[Average])),0)</f>
        <v>0</v>
      </c>
      <c r="P453" cm="1">
        <f t="array" ref="P453">IFERROR(_xlfn.STDEV.S(IF((ContinuousStatsTable[GroupByKey]=ContinuousStatsTable[[#This Row],[GroupByKey]]),(ContinuousStatsTable[GroupByKey]=ContinuousStatsTable[[#This Row],[GroupByKey]])*ContinuousStatsTable[Average])),0)</f>
        <v>0</v>
      </c>
      <c r="Q453" cm="1">
        <f t="array" ref="Q453">MAX(IF((ProjectInfoTable[ProjectName]=ContinuousStatsTable[[#This Row],[ProjectName]]),(ProjectInfoTable[ProjectName]=ContinuousStatsTable[[#This Row],[ProjectName]])*ProjectInfoTable[ConfidenceInterval]))</f>
        <v>0.95</v>
      </c>
      <c r="R4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3" cm="1">
        <f t="array" ref="S453">MIN(IF((ContinuousStatsTable[GroupByKey]=ContinuousStatsTable[[#This Row],[GroupByKey]]),(ContinuousStatsTable[GroupByKey]=ContinuousStatsTable[[#This Row],[GroupByKey]])*ContinuousStatsTable[Average]))</f>
        <v>0</v>
      </c>
      <c r="T453" cm="1">
        <f t="array" ref="T453">MAX(IF((ContinuousStatsTable[GroupByKey]=ContinuousStatsTable[[#This Row],[GroupByKey]]),(ContinuousStatsTable[GroupByKey]=ContinuousStatsTable[[#This Row],[GroupByKey]])*ContinuousStatsTable[Average]))</f>
        <v>0</v>
      </c>
      <c r="U453">
        <f>IF((ContinuousStatsTable[[#This Row],[RepsRequested]]&gt;1),ContinuousStatsTable[[#This Row],[HalfWidth]],ContinuousStatsTable[[#This Row],[BatchMeansHalfWidth]])</f>
        <v>0</v>
      </c>
    </row>
    <row r="454" spans="1:21" x14ac:dyDescent="0.2">
      <c r="A454" t="s">
        <v>67</v>
      </c>
      <c r="B454" t="s">
        <v>70</v>
      </c>
      <c r="C454">
        <v>19</v>
      </c>
      <c r="D454" t="s">
        <v>92</v>
      </c>
      <c r="E454" t="s">
        <v>98</v>
      </c>
      <c r="F454" t="s">
        <v>73</v>
      </c>
      <c r="G454">
        <v>0</v>
      </c>
      <c r="H454">
        <v>2E+20</v>
      </c>
      <c r="I454">
        <v>0</v>
      </c>
      <c r="J454">
        <v>0</v>
      </c>
      <c r="K454">
        <v>0</v>
      </c>
      <c r="L454">
        <v>0</v>
      </c>
      <c r="M454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454" cm="1">
        <f t="array" ref="N454">MAX(IF((ProjectInfoTable[ProjectName]=ContinuousStatsTable[[#This Row],[ProjectName]]),(ProjectInfoTable[ProjectName]=ContinuousStatsTable[[#This Row],[ProjectName]])*ProjectInfoTable[NumberOfReplications]))</f>
        <v>30</v>
      </c>
      <c r="O454" cm="1">
        <f t="array" ref="O454">IFERROR(AVERAGE(IF((ContinuousStatsTable[GroupByKey]=ContinuousStatsTable[[#This Row],[GroupByKey]]),(ContinuousStatsTable[GroupByKey]=ContinuousStatsTable[[#This Row],[GroupByKey]])*ContinuousStatsTable[Average])),0)</f>
        <v>0</v>
      </c>
      <c r="P454" cm="1">
        <f t="array" ref="P454">IFERROR(_xlfn.STDEV.S(IF((ContinuousStatsTable[GroupByKey]=ContinuousStatsTable[[#This Row],[GroupByKey]]),(ContinuousStatsTable[GroupByKey]=ContinuousStatsTable[[#This Row],[GroupByKey]])*ContinuousStatsTable[Average])),0)</f>
        <v>0</v>
      </c>
      <c r="Q454" cm="1">
        <f t="array" ref="Q454">MAX(IF((ProjectInfoTable[ProjectName]=ContinuousStatsTable[[#This Row],[ProjectName]]),(ProjectInfoTable[ProjectName]=ContinuousStatsTable[[#This Row],[ProjectName]])*ProjectInfoTable[ConfidenceInterval]))</f>
        <v>0.95</v>
      </c>
      <c r="R4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4" cm="1">
        <f t="array" ref="S454">MIN(IF((ContinuousStatsTable[GroupByKey]=ContinuousStatsTable[[#This Row],[GroupByKey]]),(ContinuousStatsTable[GroupByKey]=ContinuousStatsTable[[#This Row],[GroupByKey]])*ContinuousStatsTable[Average]))</f>
        <v>0</v>
      </c>
      <c r="T454" cm="1">
        <f t="array" ref="T454">MAX(IF((ContinuousStatsTable[GroupByKey]=ContinuousStatsTable[[#This Row],[GroupByKey]]),(ContinuousStatsTable[GroupByKey]=ContinuousStatsTable[[#This Row],[GroupByKey]])*ContinuousStatsTable[Average]))</f>
        <v>0</v>
      </c>
      <c r="U454">
        <f>IF((ContinuousStatsTable[[#This Row],[RepsRequested]]&gt;1),ContinuousStatsTable[[#This Row],[HalfWidth]],ContinuousStatsTable[[#This Row],[BatchMeansHalfWidth]])</f>
        <v>0</v>
      </c>
    </row>
    <row r="455" spans="1:21" x14ac:dyDescent="0.2">
      <c r="A455" t="s">
        <v>67</v>
      </c>
      <c r="B455" t="s">
        <v>70</v>
      </c>
      <c r="C455">
        <v>19</v>
      </c>
      <c r="D455" t="s">
        <v>103</v>
      </c>
      <c r="E455" t="s">
        <v>94</v>
      </c>
      <c r="F455" t="s">
        <v>95</v>
      </c>
      <c r="G455">
        <v>8.62108351874524E-2</v>
      </c>
      <c r="H455">
        <v>2E+20</v>
      </c>
      <c r="I455">
        <v>0</v>
      </c>
      <c r="J455">
        <v>0.66666666666666696</v>
      </c>
      <c r="K455">
        <v>0</v>
      </c>
      <c r="L455">
        <v>0</v>
      </c>
      <c r="M455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455" cm="1">
        <f t="array" ref="N455">MAX(IF((ProjectInfoTable[ProjectName]=ContinuousStatsTable[[#This Row],[ProjectName]]),(ProjectInfoTable[ProjectName]=ContinuousStatsTable[[#This Row],[ProjectName]])*ProjectInfoTable[NumberOfReplications]))</f>
        <v>30</v>
      </c>
      <c r="O455" cm="1">
        <f t="array" ref="O455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455" cm="1">
        <f t="array" ref="P455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455" cm="1">
        <f t="array" ref="Q455">MAX(IF((ProjectInfoTable[ProjectName]=ContinuousStatsTable[[#This Row],[ProjectName]]),(ProjectInfoTable[ProjectName]=ContinuousStatsTable[[#This Row],[ProjectName]])*ProjectInfoTable[ConfidenceInterval]))</f>
        <v>0.95</v>
      </c>
      <c r="R4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455" cm="1">
        <f t="array" ref="S455">MIN(IF((ContinuousStatsTable[GroupByKey]=ContinuousStatsTable[[#This Row],[GroupByKey]]),(ContinuousStatsTable[GroupByKey]=ContinuousStatsTable[[#This Row],[GroupByKey]])*ContinuousStatsTable[Average]))</f>
        <v>7.7176470357846902E-2</v>
      </c>
      <c r="T455" cm="1">
        <f t="array" ref="T455">MAX(IF((ContinuousStatsTable[GroupByKey]=ContinuousStatsTable[[#This Row],[GroupByKey]]),(ContinuousStatsTable[GroupByKey]=ContinuousStatsTable[[#This Row],[GroupByKey]])*ContinuousStatsTable[Average]))</f>
        <v>9.2534326714405896E-2</v>
      </c>
      <c r="U455">
        <f>IF((ContinuousStatsTable[[#This Row],[RepsRequested]]&gt;1),ContinuousStatsTable[[#This Row],[HalfWidth]],ContinuousStatsTable[[#This Row],[BatchMeansHalfWidth]])</f>
        <v>1.3238327186697659E-3</v>
      </c>
    </row>
    <row r="456" spans="1:21" x14ac:dyDescent="0.2">
      <c r="A456" t="s">
        <v>67</v>
      </c>
      <c r="B456" t="s">
        <v>70</v>
      </c>
      <c r="C456">
        <v>19</v>
      </c>
      <c r="D456" t="s">
        <v>103</v>
      </c>
      <c r="E456" t="s">
        <v>96</v>
      </c>
      <c r="F456" t="s">
        <v>95</v>
      </c>
      <c r="G456">
        <v>0.25863250556235801</v>
      </c>
      <c r="H456">
        <v>2E+20</v>
      </c>
      <c r="I456">
        <v>0</v>
      </c>
      <c r="J456">
        <v>2</v>
      </c>
      <c r="K456">
        <v>0</v>
      </c>
      <c r="L456">
        <v>0</v>
      </c>
      <c r="M456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456" cm="1">
        <f t="array" ref="N456">MAX(IF((ProjectInfoTable[ProjectName]=ContinuousStatsTable[[#This Row],[ProjectName]]),(ProjectInfoTable[ProjectName]=ContinuousStatsTable[[#This Row],[ProjectName]])*ProjectInfoTable[NumberOfReplications]))</f>
        <v>30</v>
      </c>
      <c r="O456" cm="1">
        <f t="array" ref="O456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456" cm="1">
        <f t="array" ref="P456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456" cm="1">
        <f t="array" ref="Q456">MAX(IF((ProjectInfoTable[ProjectName]=ContinuousStatsTable[[#This Row],[ProjectName]]),(ProjectInfoTable[ProjectName]=ContinuousStatsTable[[#This Row],[ProjectName]])*ProjectInfoTable[ConfidenceInterval]))</f>
        <v>0.95</v>
      </c>
      <c r="R4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456" cm="1">
        <f t="array" ref="S456">MIN(IF((ContinuousStatsTable[GroupByKey]=ContinuousStatsTable[[#This Row],[GroupByKey]]),(ContinuousStatsTable[GroupByKey]=ContinuousStatsTable[[#This Row],[GroupByKey]])*ContinuousStatsTable[Average]))</f>
        <v>0.231529411073541</v>
      </c>
      <c r="T456" cm="1">
        <f t="array" ref="T456">MAX(IF((ContinuousStatsTable[GroupByKey]=ContinuousStatsTable[[#This Row],[GroupByKey]]),(ContinuousStatsTable[GroupByKey]=ContinuousStatsTable[[#This Row],[GroupByKey]])*ContinuousStatsTable[Average]))</f>
        <v>0.27760298014321699</v>
      </c>
      <c r="U456">
        <f>IF((ContinuousStatsTable[[#This Row],[RepsRequested]]&gt;1),ContinuousStatsTable[[#This Row],[HalfWidth]],ContinuousStatsTable[[#This Row],[BatchMeansHalfWidth]])</f>
        <v>3.9714981560092996E-3</v>
      </c>
    </row>
    <row r="457" spans="1:21" x14ac:dyDescent="0.2">
      <c r="A457" t="s">
        <v>67</v>
      </c>
      <c r="B457" t="s">
        <v>70</v>
      </c>
      <c r="C457">
        <v>19</v>
      </c>
      <c r="D457" t="s">
        <v>103</v>
      </c>
      <c r="E457" t="s">
        <v>97</v>
      </c>
      <c r="F457" t="s">
        <v>95</v>
      </c>
      <c r="G457">
        <v>3</v>
      </c>
      <c r="H457">
        <v>2E+20</v>
      </c>
      <c r="I457">
        <v>3</v>
      </c>
      <c r="J457">
        <v>3</v>
      </c>
      <c r="K457">
        <v>3</v>
      </c>
      <c r="L457">
        <v>0</v>
      </c>
      <c r="M457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457" cm="1">
        <f t="array" ref="N457">MAX(IF((ProjectInfoTable[ProjectName]=ContinuousStatsTable[[#This Row],[ProjectName]]),(ProjectInfoTable[ProjectName]=ContinuousStatsTable[[#This Row],[ProjectName]])*ProjectInfoTable[NumberOfReplications]))</f>
        <v>30</v>
      </c>
      <c r="O457" cm="1">
        <f t="array" ref="O457">IFERROR(AVERAGE(IF((ContinuousStatsTable[GroupByKey]=ContinuousStatsTable[[#This Row],[GroupByKey]]),(ContinuousStatsTable[GroupByKey]=ContinuousStatsTable[[#This Row],[GroupByKey]])*ContinuousStatsTable[Average])),0)</f>
        <v>3</v>
      </c>
      <c r="P457" cm="1">
        <f t="array" ref="P457">IFERROR(_xlfn.STDEV.S(IF((ContinuousStatsTable[GroupByKey]=ContinuousStatsTable[[#This Row],[GroupByKey]]),(ContinuousStatsTable[GroupByKey]=ContinuousStatsTable[[#This Row],[GroupByKey]])*ContinuousStatsTable[Average])),0)</f>
        <v>0</v>
      </c>
      <c r="Q457" cm="1">
        <f t="array" ref="Q457">MAX(IF((ProjectInfoTable[ProjectName]=ContinuousStatsTable[[#This Row],[ProjectName]]),(ProjectInfoTable[ProjectName]=ContinuousStatsTable[[#This Row],[ProjectName]])*ProjectInfoTable[ConfidenceInterval]))</f>
        <v>0.95</v>
      </c>
      <c r="R4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7" cm="1">
        <f t="array" ref="S457">MIN(IF((ContinuousStatsTable[GroupByKey]=ContinuousStatsTable[[#This Row],[GroupByKey]]),(ContinuousStatsTable[GroupByKey]=ContinuousStatsTable[[#This Row],[GroupByKey]])*ContinuousStatsTable[Average]))</f>
        <v>3</v>
      </c>
      <c r="T457" cm="1">
        <f t="array" ref="T457">MAX(IF((ContinuousStatsTable[GroupByKey]=ContinuousStatsTable[[#This Row],[GroupByKey]]),(ContinuousStatsTable[GroupByKey]=ContinuousStatsTable[[#This Row],[GroupByKey]])*ContinuousStatsTable[Average]))</f>
        <v>3</v>
      </c>
      <c r="U457">
        <f>IF((ContinuousStatsTable[[#This Row],[RepsRequested]]&gt;1),ContinuousStatsTable[[#This Row],[HalfWidth]],ContinuousStatsTable[[#This Row],[BatchMeansHalfWidth]])</f>
        <v>0</v>
      </c>
    </row>
    <row r="458" spans="1:21" x14ac:dyDescent="0.2">
      <c r="A458" t="s">
        <v>67</v>
      </c>
      <c r="B458" t="s">
        <v>70</v>
      </c>
      <c r="C458">
        <v>20</v>
      </c>
      <c r="D458" t="s">
        <v>93</v>
      </c>
      <c r="E458" t="s">
        <v>94</v>
      </c>
      <c r="F458" t="s">
        <v>95</v>
      </c>
      <c r="G458">
        <v>0.23947368421052601</v>
      </c>
      <c r="H458">
        <v>2.1072640087552701E-2</v>
      </c>
      <c r="I458">
        <v>0</v>
      </c>
      <c r="J458">
        <v>1</v>
      </c>
      <c r="K458">
        <v>0</v>
      </c>
      <c r="L458">
        <v>0</v>
      </c>
      <c r="M458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458" cm="1">
        <f t="array" ref="N458">MAX(IF((ProjectInfoTable[ProjectName]=ContinuousStatsTable[[#This Row],[ProjectName]]),(ProjectInfoTable[ProjectName]=ContinuousStatsTable[[#This Row],[ProjectName]])*ProjectInfoTable[NumberOfReplications]))</f>
        <v>30</v>
      </c>
      <c r="O458" cm="1">
        <f t="array" ref="O458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458" cm="1">
        <f t="array" ref="P458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458" cm="1">
        <f t="array" ref="Q458">MAX(IF((ProjectInfoTable[ProjectName]=ContinuousStatsTable[[#This Row],[ProjectName]]),(ProjectInfoTable[ProjectName]=ContinuousStatsTable[[#This Row],[ProjectName]])*ProjectInfoTable[ConfidenceInterval]))</f>
        <v>0.95</v>
      </c>
      <c r="R4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458" cm="1">
        <f t="array" ref="S458">MIN(IF((ContinuousStatsTable[GroupByKey]=ContinuousStatsTable[[#This Row],[GroupByKey]]),(ContinuousStatsTable[GroupByKey]=ContinuousStatsTable[[#This Row],[GroupByKey]])*ContinuousStatsTable[Average]))</f>
        <v>0.233333333333333</v>
      </c>
      <c r="T458" cm="1">
        <f t="array" ref="T458">MAX(IF((ContinuousStatsTable[GroupByKey]=ContinuousStatsTable[[#This Row],[GroupByKey]]),(ContinuousStatsTable[GroupByKey]=ContinuousStatsTable[[#This Row],[GroupByKey]])*ContinuousStatsTable[Average]))</f>
        <v>0.27905535859326402</v>
      </c>
      <c r="U458">
        <f>IF((ContinuousStatsTable[[#This Row],[RepsRequested]]&gt;1),ContinuousStatsTable[[#This Row],[HalfWidth]],ContinuousStatsTable[[#This Row],[BatchMeansHalfWidth]])</f>
        <v>4.2029769261323026E-3</v>
      </c>
    </row>
    <row r="459" spans="1:21" x14ac:dyDescent="0.2">
      <c r="A459" t="s">
        <v>67</v>
      </c>
      <c r="B459" t="s">
        <v>70</v>
      </c>
      <c r="C459">
        <v>20</v>
      </c>
      <c r="D459" t="s">
        <v>93</v>
      </c>
      <c r="E459" t="s">
        <v>96</v>
      </c>
      <c r="F459" t="s">
        <v>95</v>
      </c>
      <c r="G459">
        <v>0.23947368421052601</v>
      </c>
      <c r="H459">
        <v>2.1072640087552701E-2</v>
      </c>
      <c r="I459">
        <v>0</v>
      </c>
      <c r="J459">
        <v>1</v>
      </c>
      <c r="K459">
        <v>0</v>
      </c>
      <c r="L459">
        <v>0</v>
      </c>
      <c r="M459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459" cm="1">
        <f t="array" ref="N459">MAX(IF((ProjectInfoTable[ProjectName]=ContinuousStatsTable[[#This Row],[ProjectName]]),(ProjectInfoTable[ProjectName]=ContinuousStatsTable[[#This Row],[ProjectName]])*ProjectInfoTable[NumberOfReplications]))</f>
        <v>30</v>
      </c>
      <c r="O459" cm="1">
        <f t="array" ref="O459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459" cm="1">
        <f t="array" ref="P459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459" cm="1">
        <f t="array" ref="Q459">MAX(IF((ProjectInfoTable[ProjectName]=ContinuousStatsTable[[#This Row],[ProjectName]]),(ProjectInfoTable[ProjectName]=ContinuousStatsTable[[#This Row],[ProjectName]])*ProjectInfoTable[ConfidenceInterval]))</f>
        <v>0.95</v>
      </c>
      <c r="R4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459" cm="1">
        <f t="array" ref="S459">MIN(IF((ContinuousStatsTable[GroupByKey]=ContinuousStatsTable[[#This Row],[GroupByKey]]),(ContinuousStatsTable[GroupByKey]=ContinuousStatsTable[[#This Row],[GroupByKey]])*ContinuousStatsTable[Average]))</f>
        <v>0.233333333333333</v>
      </c>
      <c r="T459" cm="1">
        <f t="array" ref="T459">MAX(IF((ContinuousStatsTable[GroupByKey]=ContinuousStatsTable[[#This Row],[GroupByKey]]),(ContinuousStatsTable[GroupByKey]=ContinuousStatsTable[[#This Row],[GroupByKey]])*ContinuousStatsTable[Average]))</f>
        <v>0.27905535859326402</v>
      </c>
      <c r="U459">
        <f>IF((ContinuousStatsTable[[#This Row],[RepsRequested]]&gt;1),ContinuousStatsTable[[#This Row],[HalfWidth]],ContinuousStatsTable[[#This Row],[BatchMeansHalfWidth]])</f>
        <v>4.2029769261323026E-3</v>
      </c>
    </row>
    <row r="460" spans="1:21" x14ac:dyDescent="0.2">
      <c r="A460" t="s">
        <v>67</v>
      </c>
      <c r="B460" t="s">
        <v>70</v>
      </c>
      <c r="C460">
        <v>20</v>
      </c>
      <c r="D460" t="s">
        <v>93</v>
      </c>
      <c r="E460" t="s">
        <v>97</v>
      </c>
      <c r="F460" t="s">
        <v>95</v>
      </c>
      <c r="G460">
        <v>1</v>
      </c>
      <c r="H460">
        <v>2E+20</v>
      </c>
      <c r="I460">
        <v>1</v>
      </c>
      <c r="J460">
        <v>1</v>
      </c>
      <c r="K460">
        <v>1</v>
      </c>
      <c r="L460">
        <v>0</v>
      </c>
      <c r="M460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460" cm="1">
        <f t="array" ref="N460">MAX(IF((ProjectInfoTable[ProjectName]=ContinuousStatsTable[[#This Row],[ProjectName]]),(ProjectInfoTable[ProjectName]=ContinuousStatsTable[[#This Row],[ProjectName]])*ProjectInfoTable[NumberOfReplications]))</f>
        <v>30</v>
      </c>
      <c r="O460" cm="1">
        <f t="array" ref="O460">IFERROR(AVERAGE(IF((ContinuousStatsTable[GroupByKey]=ContinuousStatsTable[[#This Row],[GroupByKey]]),(ContinuousStatsTable[GroupByKey]=ContinuousStatsTable[[#This Row],[GroupByKey]])*ContinuousStatsTable[Average])),0)</f>
        <v>1</v>
      </c>
      <c r="P460" cm="1">
        <f t="array" ref="P460">IFERROR(_xlfn.STDEV.S(IF((ContinuousStatsTable[GroupByKey]=ContinuousStatsTable[[#This Row],[GroupByKey]]),(ContinuousStatsTable[GroupByKey]=ContinuousStatsTable[[#This Row],[GroupByKey]])*ContinuousStatsTable[Average])),0)</f>
        <v>0</v>
      </c>
      <c r="Q460" cm="1">
        <f t="array" ref="Q460">MAX(IF((ProjectInfoTable[ProjectName]=ContinuousStatsTable[[#This Row],[ProjectName]]),(ProjectInfoTable[ProjectName]=ContinuousStatsTable[[#This Row],[ProjectName]])*ProjectInfoTable[ConfidenceInterval]))</f>
        <v>0.95</v>
      </c>
      <c r="R4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0" cm="1">
        <f t="array" ref="S460">MIN(IF((ContinuousStatsTable[GroupByKey]=ContinuousStatsTable[[#This Row],[GroupByKey]]),(ContinuousStatsTable[GroupByKey]=ContinuousStatsTable[[#This Row],[GroupByKey]])*ContinuousStatsTable[Average]))</f>
        <v>1</v>
      </c>
      <c r="T460" cm="1">
        <f t="array" ref="T460">MAX(IF((ContinuousStatsTable[GroupByKey]=ContinuousStatsTable[[#This Row],[GroupByKey]]),(ContinuousStatsTable[GroupByKey]=ContinuousStatsTable[[#This Row],[GroupByKey]])*ContinuousStatsTable[Average]))</f>
        <v>1</v>
      </c>
      <c r="U460">
        <f>IF((ContinuousStatsTable[[#This Row],[RepsRequested]]&gt;1),ContinuousStatsTable[[#This Row],[HalfWidth]],ContinuousStatsTable[[#This Row],[BatchMeansHalfWidth]])</f>
        <v>0</v>
      </c>
    </row>
    <row r="461" spans="1:21" x14ac:dyDescent="0.2">
      <c r="A461" t="s">
        <v>67</v>
      </c>
      <c r="B461" t="s">
        <v>70</v>
      </c>
      <c r="C461">
        <v>20</v>
      </c>
      <c r="D461" t="s">
        <v>71</v>
      </c>
      <c r="E461" t="s">
        <v>98</v>
      </c>
      <c r="F461" t="s">
        <v>73</v>
      </c>
      <c r="G461">
        <v>2.8544240549392599E-2</v>
      </c>
      <c r="H461">
        <v>2E+20</v>
      </c>
      <c r="I461">
        <v>0</v>
      </c>
      <c r="J461">
        <v>2</v>
      </c>
      <c r="K461">
        <v>0</v>
      </c>
      <c r="L461">
        <v>0</v>
      </c>
      <c r="M461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461" cm="1">
        <f t="array" ref="N461">MAX(IF((ProjectInfoTable[ProjectName]=ContinuousStatsTable[[#This Row],[ProjectName]]),(ProjectInfoTable[ProjectName]=ContinuousStatsTable[[#This Row],[ProjectName]])*ProjectInfoTable[NumberOfReplications]))</f>
        <v>30</v>
      </c>
      <c r="O461" cm="1">
        <f t="array" ref="O461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461" cm="1">
        <f t="array" ref="P461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461" cm="1">
        <f t="array" ref="Q461">MAX(IF((ProjectInfoTable[ProjectName]=ContinuousStatsTable[[#This Row],[ProjectName]]),(ProjectInfoTable[ProjectName]=ContinuousStatsTable[[#This Row],[ProjectName]])*ProjectInfoTable[ConfidenceInterval]))</f>
        <v>0.95</v>
      </c>
      <c r="R4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461" cm="1">
        <f t="array" ref="S461">MIN(IF((ContinuousStatsTable[GroupByKey]=ContinuousStatsTable[[#This Row],[GroupByKey]]),(ContinuousStatsTable[GroupByKey]=ContinuousStatsTable[[#This Row],[GroupByKey]])*ContinuousStatsTable[Average]))</f>
        <v>1.9664517785186901E-2</v>
      </c>
      <c r="T461" cm="1">
        <f t="array" ref="T461">MAX(IF((ContinuousStatsTable[GroupByKey]=ContinuousStatsTable[[#This Row],[GroupByKey]]),(ContinuousStatsTable[GroupByKey]=ContinuousStatsTable[[#This Row],[GroupByKey]])*ContinuousStatsTable[Average]))</f>
        <v>3.9738966906982302E-2</v>
      </c>
      <c r="U461">
        <f>IF((ContinuousStatsTable[[#This Row],[RepsRequested]]&gt;1),ContinuousStatsTable[[#This Row],[HalfWidth]],ContinuousStatsTable[[#This Row],[BatchMeansHalfWidth]])</f>
        <v>1.6627262085570247E-3</v>
      </c>
    </row>
    <row r="462" spans="1:21" x14ac:dyDescent="0.2">
      <c r="A462" t="s">
        <v>67</v>
      </c>
      <c r="B462" t="s">
        <v>70</v>
      </c>
      <c r="C462">
        <v>20</v>
      </c>
      <c r="D462" t="s">
        <v>99</v>
      </c>
      <c r="E462" t="s">
        <v>94</v>
      </c>
      <c r="F462" t="s">
        <v>95</v>
      </c>
      <c r="G462">
        <v>0.599562468862744</v>
      </c>
      <c r="H462">
        <v>2E+20</v>
      </c>
      <c r="I462">
        <v>0</v>
      </c>
      <c r="J462">
        <v>1</v>
      </c>
      <c r="K462">
        <v>0</v>
      </c>
      <c r="L462">
        <v>0</v>
      </c>
      <c r="M462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462" cm="1">
        <f t="array" ref="N462">MAX(IF((ProjectInfoTable[ProjectName]=ContinuousStatsTable[[#This Row],[ProjectName]]),(ProjectInfoTable[ProjectName]=ContinuousStatsTable[[#This Row],[ProjectName]])*ProjectInfoTable[NumberOfReplications]))</f>
        <v>30</v>
      </c>
      <c r="O462" cm="1">
        <f t="array" ref="O462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462" cm="1">
        <f t="array" ref="P462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462" cm="1">
        <f t="array" ref="Q462">MAX(IF((ProjectInfoTable[ProjectName]=ContinuousStatsTable[[#This Row],[ProjectName]]),(ProjectInfoTable[ProjectName]=ContinuousStatsTable[[#This Row],[ProjectName]])*ProjectInfoTable[ConfidenceInterval]))</f>
        <v>0.95</v>
      </c>
      <c r="R4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462" cm="1">
        <f t="array" ref="S462">MIN(IF((ContinuousStatsTable[GroupByKey]=ContinuousStatsTable[[#This Row],[GroupByKey]]),(ContinuousStatsTable[GroupByKey]=ContinuousStatsTable[[#This Row],[GroupByKey]])*ContinuousStatsTable[Average]))</f>
        <v>0.58256422876290004</v>
      </c>
      <c r="T462" cm="1">
        <f t="array" ref="T462">MAX(IF((ContinuousStatsTable[GroupByKey]=ContinuousStatsTable[[#This Row],[GroupByKey]]),(ContinuousStatsTable[GroupByKey]=ContinuousStatsTable[[#This Row],[GroupByKey]])*ContinuousStatsTable[Average]))</f>
        <v>0.68643238055161704</v>
      </c>
      <c r="U462">
        <f>IF((ContinuousStatsTable[[#This Row],[RepsRequested]]&gt;1),ContinuousStatsTable[[#This Row],[HalfWidth]],ContinuousStatsTable[[#This Row],[BatchMeansHalfWidth]])</f>
        <v>9.8490003000806757E-3</v>
      </c>
    </row>
    <row r="463" spans="1:21" x14ac:dyDescent="0.2">
      <c r="A463" t="s">
        <v>67</v>
      </c>
      <c r="B463" t="s">
        <v>70</v>
      </c>
      <c r="C463">
        <v>20</v>
      </c>
      <c r="D463" t="s">
        <v>99</v>
      </c>
      <c r="E463" t="s">
        <v>96</v>
      </c>
      <c r="F463" t="s">
        <v>95</v>
      </c>
      <c r="G463">
        <v>1.19912493772549</v>
      </c>
      <c r="H463">
        <v>2E+20</v>
      </c>
      <c r="I463">
        <v>0</v>
      </c>
      <c r="J463">
        <v>2</v>
      </c>
      <c r="K463">
        <v>0</v>
      </c>
      <c r="L463">
        <v>0</v>
      </c>
      <c r="M463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463" cm="1">
        <f t="array" ref="N463">MAX(IF((ProjectInfoTable[ProjectName]=ContinuousStatsTable[[#This Row],[ProjectName]]),(ProjectInfoTable[ProjectName]=ContinuousStatsTable[[#This Row],[ProjectName]])*ProjectInfoTable[NumberOfReplications]))</f>
        <v>30</v>
      </c>
      <c r="O463" cm="1">
        <f t="array" ref="O463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463" cm="1">
        <f t="array" ref="P463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463" cm="1">
        <f t="array" ref="Q463">MAX(IF((ProjectInfoTable[ProjectName]=ContinuousStatsTable[[#This Row],[ProjectName]]),(ProjectInfoTable[ProjectName]=ContinuousStatsTable[[#This Row],[ProjectName]])*ProjectInfoTable[ConfidenceInterval]))</f>
        <v>0.95</v>
      </c>
      <c r="R4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463" cm="1">
        <f t="array" ref="S463">MIN(IF((ContinuousStatsTable[GroupByKey]=ContinuousStatsTable[[#This Row],[GroupByKey]]),(ContinuousStatsTable[GroupByKey]=ContinuousStatsTable[[#This Row],[GroupByKey]])*ContinuousStatsTable[Average]))</f>
        <v>1.1651284575258001</v>
      </c>
      <c r="T463" cm="1">
        <f t="array" ref="T463">MAX(IF((ContinuousStatsTable[GroupByKey]=ContinuousStatsTable[[#This Row],[GroupByKey]]),(ContinuousStatsTable[GroupByKey]=ContinuousStatsTable[[#This Row],[GroupByKey]])*ContinuousStatsTable[Average]))</f>
        <v>1.3728647611032301</v>
      </c>
      <c r="U463">
        <f>IF((ContinuousStatsTable[[#This Row],[RepsRequested]]&gt;1),ContinuousStatsTable[[#This Row],[HalfWidth]],ContinuousStatsTable[[#This Row],[BatchMeansHalfWidth]])</f>
        <v>1.9698000600160998E-2</v>
      </c>
    </row>
    <row r="464" spans="1:21" x14ac:dyDescent="0.2">
      <c r="A464" t="s">
        <v>67</v>
      </c>
      <c r="B464" t="s">
        <v>70</v>
      </c>
      <c r="C464">
        <v>20</v>
      </c>
      <c r="D464" t="s">
        <v>99</v>
      </c>
      <c r="E464" t="s">
        <v>97</v>
      </c>
      <c r="F464" t="s">
        <v>95</v>
      </c>
      <c r="G464">
        <v>2</v>
      </c>
      <c r="H464">
        <v>2E+20</v>
      </c>
      <c r="I464">
        <v>2</v>
      </c>
      <c r="J464">
        <v>2</v>
      </c>
      <c r="K464">
        <v>2</v>
      </c>
      <c r="L464">
        <v>0</v>
      </c>
      <c r="M464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464" cm="1">
        <f t="array" ref="N464">MAX(IF((ProjectInfoTable[ProjectName]=ContinuousStatsTable[[#This Row],[ProjectName]]),(ProjectInfoTable[ProjectName]=ContinuousStatsTable[[#This Row],[ProjectName]])*ProjectInfoTable[NumberOfReplications]))</f>
        <v>30</v>
      </c>
      <c r="O464" cm="1">
        <f t="array" ref="O464">IFERROR(AVERAGE(IF((ContinuousStatsTable[GroupByKey]=ContinuousStatsTable[[#This Row],[GroupByKey]]),(ContinuousStatsTable[GroupByKey]=ContinuousStatsTable[[#This Row],[GroupByKey]])*ContinuousStatsTable[Average])),0)</f>
        <v>2</v>
      </c>
      <c r="P464" cm="1">
        <f t="array" ref="P464">IFERROR(_xlfn.STDEV.S(IF((ContinuousStatsTable[GroupByKey]=ContinuousStatsTable[[#This Row],[GroupByKey]]),(ContinuousStatsTable[GroupByKey]=ContinuousStatsTable[[#This Row],[GroupByKey]])*ContinuousStatsTable[Average])),0)</f>
        <v>0</v>
      </c>
      <c r="Q464" cm="1">
        <f t="array" ref="Q464">MAX(IF((ProjectInfoTable[ProjectName]=ContinuousStatsTable[[#This Row],[ProjectName]]),(ProjectInfoTable[ProjectName]=ContinuousStatsTable[[#This Row],[ProjectName]])*ProjectInfoTable[ConfidenceInterval]))</f>
        <v>0.95</v>
      </c>
      <c r="R4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4" cm="1">
        <f t="array" ref="S464">MIN(IF((ContinuousStatsTable[GroupByKey]=ContinuousStatsTable[[#This Row],[GroupByKey]]),(ContinuousStatsTable[GroupByKey]=ContinuousStatsTable[[#This Row],[GroupByKey]])*ContinuousStatsTable[Average]))</f>
        <v>2</v>
      </c>
      <c r="T464" cm="1">
        <f t="array" ref="T464">MAX(IF((ContinuousStatsTable[GroupByKey]=ContinuousStatsTable[[#This Row],[GroupByKey]]),(ContinuousStatsTable[GroupByKey]=ContinuousStatsTable[[#This Row],[GroupByKey]])*ContinuousStatsTable[Average]))</f>
        <v>2</v>
      </c>
      <c r="U464">
        <f>IF((ContinuousStatsTable[[#This Row],[RepsRequested]]&gt;1),ContinuousStatsTable[[#This Row],[HalfWidth]],ContinuousStatsTable[[#This Row],[BatchMeansHalfWidth]])</f>
        <v>0</v>
      </c>
    </row>
    <row r="465" spans="1:21" x14ac:dyDescent="0.2">
      <c r="A465" t="s">
        <v>67</v>
      </c>
      <c r="B465" t="s">
        <v>70</v>
      </c>
      <c r="C465">
        <v>20</v>
      </c>
      <c r="D465" t="s">
        <v>74</v>
      </c>
      <c r="E465" t="s">
        <v>100</v>
      </c>
      <c r="F465" t="s">
        <v>76</v>
      </c>
      <c r="G465">
        <v>14.823773930822</v>
      </c>
      <c r="H465">
        <v>1.3048554427196499</v>
      </c>
      <c r="I465">
        <v>2</v>
      </c>
      <c r="J465">
        <v>34</v>
      </c>
      <c r="K465">
        <v>14</v>
      </c>
      <c r="L465">
        <v>0</v>
      </c>
      <c r="M46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65" cm="1">
        <f t="array" ref="N465">MAX(IF((ProjectInfoTable[ProjectName]=ContinuousStatsTable[[#This Row],[ProjectName]]),(ProjectInfoTable[ProjectName]=ContinuousStatsTable[[#This Row],[ProjectName]])*ProjectInfoTable[NumberOfReplications]))</f>
        <v>30</v>
      </c>
      <c r="O465" cm="1">
        <f t="array" ref="O465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465" cm="1">
        <f t="array" ref="P465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465" cm="1">
        <f t="array" ref="Q465">MAX(IF((ProjectInfoTable[ProjectName]=ContinuousStatsTable[[#This Row],[ProjectName]]),(ProjectInfoTable[ProjectName]=ContinuousStatsTable[[#This Row],[ProjectName]])*ProjectInfoTable[ConfidenceInterval]))</f>
        <v>0.95</v>
      </c>
      <c r="R4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465" cm="1">
        <f t="array" ref="S465">MIN(IF((ContinuousStatsTable[GroupByKey]=ContinuousStatsTable[[#This Row],[GroupByKey]]),(ContinuousStatsTable[GroupByKey]=ContinuousStatsTable[[#This Row],[GroupByKey]])*ContinuousStatsTable[Average]))</f>
        <v>14.4112589759764</v>
      </c>
      <c r="T465" cm="1">
        <f t="array" ref="T465">MAX(IF((ContinuousStatsTable[GroupByKey]=ContinuousStatsTable[[#This Row],[GroupByKey]]),(ContinuousStatsTable[GroupByKey]=ContinuousStatsTable[[#This Row],[GroupByKey]])*ContinuousStatsTable[Average]))</f>
        <v>16.972707717517899</v>
      </c>
      <c r="U465">
        <f>IF((ContinuousStatsTable[[#This Row],[RepsRequested]]&gt;1),ContinuousStatsTable[[#This Row],[HalfWidth]],ContinuousStatsTable[[#This Row],[BatchMeansHalfWidth]])</f>
        <v>0.25870181881670146</v>
      </c>
    </row>
    <row r="466" spans="1:21" x14ac:dyDescent="0.2">
      <c r="A466" t="s">
        <v>67</v>
      </c>
      <c r="B466" t="s">
        <v>70</v>
      </c>
      <c r="C466">
        <v>20</v>
      </c>
      <c r="D466" t="s">
        <v>82</v>
      </c>
      <c r="E466" t="s">
        <v>98</v>
      </c>
      <c r="F466" t="s">
        <v>73</v>
      </c>
      <c r="G466">
        <v>0.18306163410878301</v>
      </c>
      <c r="H466">
        <v>2E+20</v>
      </c>
      <c r="I466">
        <v>0</v>
      </c>
      <c r="J466">
        <v>4</v>
      </c>
      <c r="K466">
        <v>0</v>
      </c>
      <c r="L466">
        <v>0</v>
      </c>
      <c r="M466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466" cm="1">
        <f t="array" ref="N466">MAX(IF((ProjectInfoTable[ProjectName]=ContinuousStatsTable[[#This Row],[ProjectName]]),(ProjectInfoTable[ProjectName]=ContinuousStatsTable[[#This Row],[ProjectName]])*ProjectInfoTable[NumberOfReplications]))</f>
        <v>30</v>
      </c>
      <c r="O466" cm="1">
        <f t="array" ref="O466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466" cm="1">
        <f t="array" ref="P466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466" cm="1">
        <f t="array" ref="Q466">MAX(IF((ProjectInfoTable[ProjectName]=ContinuousStatsTable[[#This Row],[ProjectName]]),(ProjectInfoTable[ProjectName]=ContinuousStatsTable[[#This Row],[ProjectName]])*ProjectInfoTable[ConfidenceInterval]))</f>
        <v>0.95</v>
      </c>
      <c r="R4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466" cm="1">
        <f t="array" ref="S466">MIN(IF((ContinuousStatsTable[GroupByKey]=ContinuousStatsTable[[#This Row],[GroupByKey]]),(ContinuousStatsTable[GroupByKey]=ContinuousStatsTable[[#This Row],[GroupByKey]])*ContinuousStatsTable[Average]))</f>
        <v>7.4406608295854798E-2</v>
      </c>
      <c r="T466" cm="1">
        <f t="array" ref="T466">MAX(IF((ContinuousStatsTable[GroupByKey]=ContinuousStatsTable[[#This Row],[GroupByKey]]),(ContinuousStatsTable[GroupByKey]=ContinuousStatsTable[[#This Row],[GroupByKey]])*ContinuousStatsTable[Average]))</f>
        <v>0.29874320707386398</v>
      </c>
      <c r="U466">
        <f>IF((ContinuousStatsTable[[#This Row],[RepsRequested]]&gt;1),ContinuousStatsTable[[#This Row],[HalfWidth]],ContinuousStatsTable[[#This Row],[BatchMeansHalfWidth]])</f>
        <v>2.0058204231149332E-2</v>
      </c>
    </row>
    <row r="467" spans="1:21" x14ac:dyDescent="0.2">
      <c r="A467" t="s">
        <v>67</v>
      </c>
      <c r="B467" t="s">
        <v>70</v>
      </c>
      <c r="C467">
        <v>20</v>
      </c>
      <c r="D467" t="s">
        <v>101</v>
      </c>
      <c r="E467" t="s">
        <v>94</v>
      </c>
      <c r="F467" t="s">
        <v>95</v>
      </c>
      <c r="G467">
        <v>1.77083333333333E-3</v>
      </c>
      <c r="H467">
        <v>1.95543152798983E-4</v>
      </c>
      <c r="I467">
        <v>0</v>
      </c>
      <c r="J467">
        <v>3.7499999999999999E-2</v>
      </c>
      <c r="K467">
        <v>0</v>
      </c>
      <c r="L467">
        <v>0</v>
      </c>
      <c r="M467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467" cm="1">
        <f t="array" ref="N467">MAX(IF((ProjectInfoTable[ProjectName]=ContinuousStatsTable[[#This Row],[ProjectName]]),(ProjectInfoTable[ProjectName]=ContinuousStatsTable[[#This Row],[ProjectName]])*ProjectInfoTable[NumberOfReplications]))</f>
        <v>30</v>
      </c>
      <c r="O467" cm="1">
        <f t="array" ref="O467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467" cm="1">
        <f t="array" ref="P467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467" cm="1">
        <f t="array" ref="Q467">MAX(IF((ProjectInfoTable[ProjectName]=ContinuousStatsTable[[#This Row],[ProjectName]]),(ProjectInfoTable[ProjectName]=ContinuousStatsTable[[#This Row],[ProjectName]])*ProjectInfoTable[ConfidenceInterval]))</f>
        <v>0.95</v>
      </c>
      <c r="R4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467" cm="1">
        <f t="array" ref="S467">MIN(IF((ContinuousStatsTable[GroupByKey]=ContinuousStatsTable[[#This Row],[GroupByKey]]),(ContinuousStatsTable[GroupByKey]=ContinuousStatsTable[[#This Row],[GroupByKey]])*ContinuousStatsTable[Average]))</f>
        <v>1.70504385964912E-3</v>
      </c>
      <c r="T467" cm="1">
        <f t="array" ref="T467">MAX(IF((ContinuousStatsTable[GroupByKey]=ContinuousStatsTable[[#This Row],[GroupByKey]]),(ContinuousStatsTable[GroupByKey]=ContinuousStatsTable[[#This Row],[GroupByKey]])*ContinuousStatsTable[Average]))</f>
        <v>2.17031677925951E-3</v>
      </c>
      <c r="U467">
        <f>IF((ContinuousStatsTable[[#This Row],[RepsRequested]]&gt;1),ContinuousStatsTable[[#This Row],[HalfWidth]],ContinuousStatsTable[[#This Row],[BatchMeansHalfWidth]])</f>
        <v>4.4865881583116605E-5</v>
      </c>
    </row>
    <row r="468" spans="1:21" x14ac:dyDescent="0.2">
      <c r="A468" t="s">
        <v>67</v>
      </c>
      <c r="B468" t="s">
        <v>70</v>
      </c>
      <c r="C468">
        <v>20</v>
      </c>
      <c r="D468" t="s">
        <v>101</v>
      </c>
      <c r="E468" t="s">
        <v>96</v>
      </c>
      <c r="F468" t="s">
        <v>95</v>
      </c>
      <c r="G468">
        <v>0.141666666666667</v>
      </c>
      <c r="H468">
        <v>1.5643452223918702E-2</v>
      </c>
      <c r="I468">
        <v>0</v>
      </c>
      <c r="J468">
        <v>3</v>
      </c>
      <c r="K468">
        <v>0</v>
      </c>
      <c r="L468">
        <v>0</v>
      </c>
      <c r="M468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468" cm="1">
        <f t="array" ref="N468">MAX(IF((ProjectInfoTable[ProjectName]=ContinuousStatsTable[[#This Row],[ProjectName]]),(ProjectInfoTable[ProjectName]=ContinuousStatsTable[[#This Row],[ProjectName]])*ProjectInfoTable[NumberOfReplications]))</f>
        <v>30</v>
      </c>
      <c r="O468" cm="1">
        <f t="array" ref="O468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468" cm="1">
        <f t="array" ref="P468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468" cm="1">
        <f t="array" ref="Q468">MAX(IF((ProjectInfoTable[ProjectName]=ContinuousStatsTable[[#This Row],[ProjectName]]),(ProjectInfoTable[ProjectName]=ContinuousStatsTable[[#This Row],[ProjectName]])*ProjectInfoTable[ConfidenceInterval]))</f>
        <v>0.95</v>
      </c>
      <c r="R4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468" cm="1">
        <f t="array" ref="S468">MIN(IF((ContinuousStatsTable[GroupByKey]=ContinuousStatsTable[[#This Row],[GroupByKey]]),(ContinuousStatsTable[GroupByKey]=ContinuousStatsTable[[#This Row],[GroupByKey]])*ContinuousStatsTable[Average]))</f>
        <v>0.13640350877193</v>
      </c>
      <c r="T468" cm="1">
        <f t="array" ref="T468">MAX(IF((ContinuousStatsTable[GroupByKey]=ContinuousStatsTable[[#This Row],[GroupByKey]]),(ContinuousStatsTable[GroupByKey]=ContinuousStatsTable[[#This Row],[GroupByKey]])*ContinuousStatsTable[Average]))</f>
        <v>0.17362534234076099</v>
      </c>
      <c r="U468">
        <f>IF((ContinuousStatsTable[[#This Row],[RepsRequested]]&gt;1),ContinuousStatsTable[[#This Row],[HalfWidth]],ContinuousStatsTable[[#This Row],[BatchMeansHalfWidth]])</f>
        <v>3.5892705266493139E-3</v>
      </c>
    </row>
    <row r="469" spans="1:21" x14ac:dyDescent="0.2">
      <c r="A469" t="s">
        <v>67</v>
      </c>
      <c r="B469" t="s">
        <v>70</v>
      </c>
      <c r="C469">
        <v>20</v>
      </c>
      <c r="D469" t="s">
        <v>101</v>
      </c>
      <c r="E469" t="s">
        <v>97</v>
      </c>
      <c r="F469" t="s">
        <v>95</v>
      </c>
      <c r="G469">
        <v>80</v>
      </c>
      <c r="H469">
        <v>2E+20</v>
      </c>
      <c r="I469">
        <v>80</v>
      </c>
      <c r="J469">
        <v>80</v>
      </c>
      <c r="K469">
        <v>80</v>
      </c>
      <c r="L469">
        <v>0</v>
      </c>
      <c r="M469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469" cm="1">
        <f t="array" ref="N469">MAX(IF((ProjectInfoTable[ProjectName]=ContinuousStatsTable[[#This Row],[ProjectName]]),(ProjectInfoTable[ProjectName]=ContinuousStatsTable[[#This Row],[ProjectName]])*ProjectInfoTable[NumberOfReplications]))</f>
        <v>30</v>
      </c>
      <c r="O469" cm="1">
        <f t="array" ref="O469">IFERROR(AVERAGE(IF((ContinuousStatsTable[GroupByKey]=ContinuousStatsTable[[#This Row],[GroupByKey]]),(ContinuousStatsTable[GroupByKey]=ContinuousStatsTable[[#This Row],[GroupByKey]])*ContinuousStatsTable[Average])),0)</f>
        <v>80</v>
      </c>
      <c r="P469" cm="1">
        <f t="array" ref="P469">IFERROR(_xlfn.STDEV.S(IF((ContinuousStatsTable[GroupByKey]=ContinuousStatsTable[[#This Row],[GroupByKey]]),(ContinuousStatsTable[GroupByKey]=ContinuousStatsTable[[#This Row],[GroupByKey]])*ContinuousStatsTable[Average])),0)</f>
        <v>0</v>
      </c>
      <c r="Q469" cm="1">
        <f t="array" ref="Q469">MAX(IF((ProjectInfoTable[ProjectName]=ContinuousStatsTable[[#This Row],[ProjectName]]),(ProjectInfoTable[ProjectName]=ContinuousStatsTable[[#This Row],[ProjectName]])*ProjectInfoTable[ConfidenceInterval]))</f>
        <v>0.95</v>
      </c>
      <c r="R4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9" cm="1">
        <f t="array" ref="S469">MIN(IF((ContinuousStatsTable[GroupByKey]=ContinuousStatsTable[[#This Row],[GroupByKey]]),(ContinuousStatsTable[GroupByKey]=ContinuousStatsTable[[#This Row],[GroupByKey]])*ContinuousStatsTable[Average]))</f>
        <v>80</v>
      </c>
      <c r="T469" cm="1">
        <f t="array" ref="T469">MAX(IF((ContinuousStatsTable[GroupByKey]=ContinuousStatsTable[[#This Row],[GroupByKey]]),(ContinuousStatsTable[GroupByKey]=ContinuousStatsTable[[#This Row],[GroupByKey]])*ContinuousStatsTable[Average]))</f>
        <v>80</v>
      </c>
      <c r="U469">
        <f>IF((ContinuousStatsTable[[#This Row],[RepsRequested]]&gt;1),ContinuousStatsTable[[#This Row],[HalfWidth]],ContinuousStatsTable[[#This Row],[BatchMeansHalfWidth]])</f>
        <v>0</v>
      </c>
    </row>
    <row r="470" spans="1:21" x14ac:dyDescent="0.2">
      <c r="A470" t="s">
        <v>67</v>
      </c>
      <c r="B470" t="s">
        <v>70</v>
      </c>
      <c r="C470">
        <v>20</v>
      </c>
      <c r="D470" t="s">
        <v>86</v>
      </c>
      <c r="E470" t="s">
        <v>98</v>
      </c>
      <c r="F470" t="s">
        <v>73</v>
      </c>
      <c r="G470">
        <v>0</v>
      </c>
      <c r="H470">
        <v>2E+20</v>
      </c>
      <c r="I470">
        <v>0</v>
      </c>
      <c r="J470">
        <v>0</v>
      </c>
      <c r="K470">
        <v>0</v>
      </c>
      <c r="L470">
        <v>0</v>
      </c>
      <c r="M470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470" cm="1">
        <f t="array" ref="N470">MAX(IF((ProjectInfoTable[ProjectName]=ContinuousStatsTable[[#This Row],[ProjectName]]),(ProjectInfoTable[ProjectName]=ContinuousStatsTable[[#This Row],[ProjectName]])*ProjectInfoTable[NumberOfReplications]))</f>
        <v>30</v>
      </c>
      <c r="O470" cm="1">
        <f t="array" ref="O470">IFERROR(AVERAGE(IF((ContinuousStatsTable[GroupByKey]=ContinuousStatsTable[[#This Row],[GroupByKey]]),(ContinuousStatsTable[GroupByKey]=ContinuousStatsTable[[#This Row],[GroupByKey]])*ContinuousStatsTable[Average])),0)</f>
        <v>0</v>
      </c>
      <c r="P470" cm="1">
        <f t="array" ref="P470">IFERROR(_xlfn.STDEV.S(IF((ContinuousStatsTable[GroupByKey]=ContinuousStatsTable[[#This Row],[GroupByKey]]),(ContinuousStatsTable[GroupByKey]=ContinuousStatsTable[[#This Row],[GroupByKey]])*ContinuousStatsTable[Average])),0)</f>
        <v>0</v>
      </c>
      <c r="Q470" cm="1">
        <f t="array" ref="Q470">MAX(IF((ProjectInfoTable[ProjectName]=ContinuousStatsTable[[#This Row],[ProjectName]]),(ProjectInfoTable[ProjectName]=ContinuousStatsTable[[#This Row],[ProjectName]])*ProjectInfoTable[ConfidenceInterval]))</f>
        <v>0.95</v>
      </c>
      <c r="R4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0" cm="1">
        <f t="array" ref="S470">MIN(IF((ContinuousStatsTable[GroupByKey]=ContinuousStatsTable[[#This Row],[GroupByKey]]),(ContinuousStatsTable[GroupByKey]=ContinuousStatsTable[[#This Row],[GroupByKey]])*ContinuousStatsTable[Average]))</f>
        <v>0</v>
      </c>
      <c r="T470" cm="1">
        <f t="array" ref="T470">MAX(IF((ContinuousStatsTable[GroupByKey]=ContinuousStatsTable[[#This Row],[GroupByKey]]),(ContinuousStatsTable[GroupByKey]=ContinuousStatsTable[[#This Row],[GroupByKey]])*ContinuousStatsTable[Average]))</f>
        <v>0</v>
      </c>
      <c r="U470">
        <f>IF((ContinuousStatsTable[[#This Row],[RepsRequested]]&gt;1),ContinuousStatsTable[[#This Row],[HalfWidth]],ContinuousStatsTable[[#This Row],[BatchMeansHalfWidth]])</f>
        <v>0</v>
      </c>
    </row>
    <row r="471" spans="1:21" x14ac:dyDescent="0.2">
      <c r="A471" t="s">
        <v>67</v>
      </c>
      <c r="B471" t="s">
        <v>70</v>
      </c>
      <c r="C471">
        <v>20</v>
      </c>
      <c r="D471" t="s">
        <v>87</v>
      </c>
      <c r="E471" t="s">
        <v>98</v>
      </c>
      <c r="F471" t="s">
        <v>73</v>
      </c>
      <c r="G471">
        <v>0</v>
      </c>
      <c r="H471">
        <v>2E+20</v>
      </c>
      <c r="I471">
        <v>0</v>
      </c>
      <c r="J471">
        <v>0</v>
      </c>
      <c r="K471">
        <v>0</v>
      </c>
      <c r="L471">
        <v>0</v>
      </c>
      <c r="M471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471" cm="1">
        <f t="array" ref="N471">MAX(IF((ProjectInfoTable[ProjectName]=ContinuousStatsTable[[#This Row],[ProjectName]]),(ProjectInfoTable[ProjectName]=ContinuousStatsTable[[#This Row],[ProjectName]])*ProjectInfoTable[NumberOfReplications]))</f>
        <v>30</v>
      </c>
      <c r="O471" cm="1">
        <f t="array" ref="O471">IFERROR(AVERAGE(IF((ContinuousStatsTable[GroupByKey]=ContinuousStatsTable[[#This Row],[GroupByKey]]),(ContinuousStatsTable[GroupByKey]=ContinuousStatsTable[[#This Row],[GroupByKey]])*ContinuousStatsTable[Average])),0)</f>
        <v>0</v>
      </c>
      <c r="P471" cm="1">
        <f t="array" ref="P471">IFERROR(_xlfn.STDEV.S(IF((ContinuousStatsTable[GroupByKey]=ContinuousStatsTable[[#This Row],[GroupByKey]]),(ContinuousStatsTable[GroupByKey]=ContinuousStatsTable[[#This Row],[GroupByKey]])*ContinuousStatsTable[Average])),0)</f>
        <v>0</v>
      </c>
      <c r="Q471" cm="1">
        <f t="array" ref="Q471">MAX(IF((ProjectInfoTable[ProjectName]=ContinuousStatsTable[[#This Row],[ProjectName]]),(ProjectInfoTable[ProjectName]=ContinuousStatsTable[[#This Row],[ProjectName]])*ProjectInfoTable[ConfidenceInterval]))</f>
        <v>0.95</v>
      </c>
      <c r="R4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1" cm="1">
        <f t="array" ref="S471">MIN(IF((ContinuousStatsTable[GroupByKey]=ContinuousStatsTable[[#This Row],[GroupByKey]]),(ContinuousStatsTable[GroupByKey]=ContinuousStatsTable[[#This Row],[GroupByKey]])*ContinuousStatsTable[Average]))</f>
        <v>0</v>
      </c>
      <c r="T471" cm="1">
        <f t="array" ref="T471">MAX(IF((ContinuousStatsTable[GroupByKey]=ContinuousStatsTable[[#This Row],[GroupByKey]]),(ContinuousStatsTable[GroupByKey]=ContinuousStatsTable[[#This Row],[GroupByKey]])*ContinuousStatsTable[Average]))</f>
        <v>0</v>
      </c>
      <c r="U471">
        <f>IF((ContinuousStatsTable[[#This Row],[RepsRequested]]&gt;1),ContinuousStatsTable[[#This Row],[HalfWidth]],ContinuousStatsTable[[#This Row],[BatchMeansHalfWidth]])</f>
        <v>0</v>
      </c>
    </row>
    <row r="472" spans="1:21" x14ac:dyDescent="0.2">
      <c r="A472" t="s">
        <v>67</v>
      </c>
      <c r="B472" t="s">
        <v>70</v>
      </c>
      <c r="C472">
        <v>20</v>
      </c>
      <c r="D472" t="s">
        <v>88</v>
      </c>
      <c r="E472" t="s">
        <v>98</v>
      </c>
      <c r="F472" t="s">
        <v>73</v>
      </c>
      <c r="G472">
        <v>1.4814449228392399</v>
      </c>
      <c r="H472">
        <v>0.10101674677613</v>
      </c>
      <c r="I472">
        <v>0</v>
      </c>
      <c r="J472">
        <v>4</v>
      </c>
      <c r="K472">
        <v>3</v>
      </c>
      <c r="L472">
        <v>0</v>
      </c>
      <c r="M472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472" cm="1">
        <f t="array" ref="N472">MAX(IF((ProjectInfoTable[ProjectName]=ContinuousStatsTable[[#This Row],[ProjectName]]),(ProjectInfoTable[ProjectName]=ContinuousStatsTable[[#This Row],[ProjectName]])*ProjectInfoTable[NumberOfReplications]))</f>
        <v>30</v>
      </c>
      <c r="O472" cm="1">
        <f t="array" ref="O472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472" cm="1">
        <f t="array" ref="P472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472" cm="1">
        <f t="array" ref="Q472">MAX(IF((ProjectInfoTable[ProjectName]=ContinuousStatsTable[[#This Row],[ProjectName]]),(ProjectInfoTable[ProjectName]=ContinuousStatsTable[[#This Row],[ProjectName]])*ProjectInfoTable[ConfidenceInterval]))</f>
        <v>0.95</v>
      </c>
      <c r="R4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472" cm="1">
        <f t="array" ref="S472">MIN(IF((ContinuousStatsTable[GroupByKey]=ContinuousStatsTable[[#This Row],[GroupByKey]]),(ContinuousStatsTable[GroupByKey]=ContinuousStatsTable[[#This Row],[GroupByKey]])*ContinuousStatsTable[Average]))</f>
        <v>1.4062336911317099</v>
      </c>
      <c r="T472" cm="1">
        <f t="array" ref="T472">MAX(IF((ContinuousStatsTable[GroupByKey]=ContinuousStatsTable[[#This Row],[GroupByKey]]),(ContinuousStatsTable[GroupByKey]=ContinuousStatsTable[[#This Row],[GroupByKey]])*ContinuousStatsTable[Average]))</f>
        <v>1.5889769030929</v>
      </c>
      <c r="U472">
        <f>IF((ContinuousStatsTable[[#This Row],[RepsRequested]]&gt;1),ContinuousStatsTable[[#This Row],[HalfWidth]],ContinuousStatsTable[[#This Row],[BatchMeansHalfWidth]])</f>
        <v>1.602866983772662E-2</v>
      </c>
    </row>
    <row r="473" spans="1:21" x14ac:dyDescent="0.2">
      <c r="A473" t="s">
        <v>67</v>
      </c>
      <c r="B473" t="s">
        <v>70</v>
      </c>
      <c r="C473">
        <v>20</v>
      </c>
      <c r="D473" t="s">
        <v>102</v>
      </c>
      <c r="E473" t="s">
        <v>94</v>
      </c>
      <c r="F473" t="s">
        <v>95</v>
      </c>
      <c r="G473">
        <v>4.9122807017543896E-3</v>
      </c>
      <c r="H473">
        <v>6.17999528107184E-4</v>
      </c>
      <c r="I473">
        <v>0</v>
      </c>
      <c r="J473">
        <v>0.1</v>
      </c>
      <c r="K473">
        <v>0</v>
      </c>
      <c r="L473">
        <v>0</v>
      </c>
      <c r="M473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473" cm="1">
        <f t="array" ref="N473">MAX(IF((ProjectInfoTable[ProjectName]=ContinuousStatsTable[[#This Row],[ProjectName]]),(ProjectInfoTable[ProjectName]=ContinuousStatsTable[[#This Row],[ProjectName]])*ProjectInfoTable[NumberOfReplications]))</f>
        <v>30</v>
      </c>
      <c r="O473" cm="1">
        <f t="array" ref="O473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473" cm="1">
        <f t="array" ref="P473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473" cm="1">
        <f t="array" ref="Q473">MAX(IF((ProjectInfoTable[ProjectName]=ContinuousStatsTable[[#This Row],[ProjectName]]),(ProjectInfoTable[ProjectName]=ContinuousStatsTable[[#This Row],[ProjectName]])*ProjectInfoTable[ConfidenceInterval]))</f>
        <v>0.95</v>
      </c>
      <c r="R4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473" cm="1">
        <f t="array" ref="S473">MIN(IF((ContinuousStatsTable[GroupByKey]=ContinuousStatsTable[[#This Row],[GroupByKey]]),(ContinuousStatsTable[GroupByKey]=ContinuousStatsTable[[#This Row],[GroupByKey]])*ContinuousStatsTable[Average]))</f>
        <v>4.4956140350877203E-3</v>
      </c>
      <c r="T473" cm="1">
        <f t="array" ref="T473">MAX(IF((ContinuousStatsTable[GroupByKey]=ContinuousStatsTable[[#This Row],[GroupByKey]]),(ContinuousStatsTable[GroupByKey]=ContinuousStatsTable[[#This Row],[GroupByKey]])*ContinuousStatsTable[Average]))</f>
        <v>5.5482456140350904E-3</v>
      </c>
      <c r="U473">
        <f>IF((ContinuousStatsTable[[#This Row],[RepsRequested]]&gt;1),ContinuousStatsTable[[#This Row],[HalfWidth]],ContinuousStatsTable[[#This Row],[BatchMeansHalfWidth]])</f>
        <v>1.0144486472958472E-4</v>
      </c>
    </row>
    <row r="474" spans="1:21" x14ac:dyDescent="0.2">
      <c r="A474" t="s">
        <v>67</v>
      </c>
      <c r="B474" t="s">
        <v>70</v>
      </c>
      <c r="C474">
        <v>20</v>
      </c>
      <c r="D474" t="s">
        <v>102</v>
      </c>
      <c r="E474" t="s">
        <v>96</v>
      </c>
      <c r="F474" t="s">
        <v>95</v>
      </c>
      <c r="G474">
        <v>9.8245614035087706E-2</v>
      </c>
      <c r="H474">
        <v>1.2359990562143699E-2</v>
      </c>
      <c r="I474">
        <v>0</v>
      </c>
      <c r="J474">
        <v>2</v>
      </c>
      <c r="K474">
        <v>0</v>
      </c>
      <c r="L474">
        <v>0</v>
      </c>
      <c r="M474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474" cm="1">
        <f t="array" ref="N474">MAX(IF((ProjectInfoTable[ProjectName]=ContinuousStatsTable[[#This Row],[ProjectName]]),(ProjectInfoTable[ProjectName]=ContinuousStatsTable[[#This Row],[ProjectName]])*ProjectInfoTable[NumberOfReplications]))</f>
        <v>30</v>
      </c>
      <c r="O474" cm="1">
        <f t="array" ref="O474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474" cm="1">
        <f t="array" ref="P474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474" cm="1">
        <f t="array" ref="Q474">MAX(IF((ProjectInfoTable[ProjectName]=ContinuousStatsTable[[#This Row],[ProjectName]]),(ProjectInfoTable[ProjectName]=ContinuousStatsTable[[#This Row],[ProjectName]])*ProjectInfoTable[ConfidenceInterval]))</f>
        <v>0.95</v>
      </c>
      <c r="R4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474" cm="1">
        <f t="array" ref="S474">MIN(IF((ContinuousStatsTable[GroupByKey]=ContinuousStatsTable[[#This Row],[GroupByKey]]),(ContinuousStatsTable[GroupByKey]=ContinuousStatsTable[[#This Row],[GroupByKey]])*ContinuousStatsTable[Average]))</f>
        <v>8.9912280701754305E-2</v>
      </c>
      <c r="T474" cm="1">
        <f t="array" ref="T474">MAX(IF((ContinuousStatsTable[GroupByKey]=ContinuousStatsTable[[#This Row],[GroupByKey]]),(ContinuousStatsTable[GroupByKey]=ContinuousStatsTable[[#This Row],[GroupByKey]])*ContinuousStatsTable[Average]))</f>
        <v>0.110964912280702</v>
      </c>
      <c r="U474">
        <f>IF((ContinuousStatsTable[[#This Row],[RepsRequested]]&gt;1),ContinuousStatsTable[[#This Row],[HalfWidth]],ContinuousStatsTable[[#This Row],[BatchMeansHalfWidth]])</f>
        <v>2.0288972945916956E-3</v>
      </c>
    </row>
    <row r="475" spans="1:21" x14ac:dyDescent="0.2">
      <c r="A475" t="s">
        <v>67</v>
      </c>
      <c r="B475" t="s">
        <v>70</v>
      </c>
      <c r="C475">
        <v>20</v>
      </c>
      <c r="D475" t="s">
        <v>102</v>
      </c>
      <c r="E475" t="s">
        <v>97</v>
      </c>
      <c r="F475" t="s">
        <v>95</v>
      </c>
      <c r="G475">
        <v>20</v>
      </c>
      <c r="H475">
        <v>2E+20</v>
      </c>
      <c r="I475">
        <v>20</v>
      </c>
      <c r="J475">
        <v>20</v>
      </c>
      <c r="K475">
        <v>20</v>
      </c>
      <c r="L475">
        <v>0</v>
      </c>
      <c r="M475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475" cm="1">
        <f t="array" ref="N475">MAX(IF((ProjectInfoTable[ProjectName]=ContinuousStatsTable[[#This Row],[ProjectName]]),(ProjectInfoTable[ProjectName]=ContinuousStatsTable[[#This Row],[ProjectName]])*ProjectInfoTable[NumberOfReplications]))</f>
        <v>30</v>
      </c>
      <c r="O475" cm="1">
        <f t="array" ref="O475">IFERROR(AVERAGE(IF((ContinuousStatsTable[GroupByKey]=ContinuousStatsTable[[#This Row],[GroupByKey]]),(ContinuousStatsTable[GroupByKey]=ContinuousStatsTable[[#This Row],[GroupByKey]])*ContinuousStatsTable[Average])),0)</f>
        <v>20</v>
      </c>
      <c r="P475" cm="1">
        <f t="array" ref="P475">IFERROR(_xlfn.STDEV.S(IF((ContinuousStatsTable[GroupByKey]=ContinuousStatsTable[[#This Row],[GroupByKey]]),(ContinuousStatsTable[GroupByKey]=ContinuousStatsTable[[#This Row],[GroupByKey]])*ContinuousStatsTable[Average])),0)</f>
        <v>0</v>
      </c>
      <c r="Q475" cm="1">
        <f t="array" ref="Q475">MAX(IF((ProjectInfoTable[ProjectName]=ContinuousStatsTable[[#This Row],[ProjectName]]),(ProjectInfoTable[ProjectName]=ContinuousStatsTable[[#This Row],[ProjectName]])*ProjectInfoTable[ConfidenceInterval]))</f>
        <v>0.95</v>
      </c>
      <c r="R4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5" cm="1">
        <f t="array" ref="S475">MIN(IF((ContinuousStatsTable[GroupByKey]=ContinuousStatsTable[[#This Row],[GroupByKey]]),(ContinuousStatsTable[GroupByKey]=ContinuousStatsTable[[#This Row],[GroupByKey]])*ContinuousStatsTable[Average]))</f>
        <v>20</v>
      </c>
      <c r="T475" cm="1">
        <f t="array" ref="T475">MAX(IF((ContinuousStatsTable[GroupByKey]=ContinuousStatsTable[[#This Row],[GroupByKey]]),(ContinuousStatsTable[GroupByKey]=ContinuousStatsTable[[#This Row],[GroupByKey]])*ContinuousStatsTable[Average]))</f>
        <v>20</v>
      </c>
      <c r="U475">
        <f>IF((ContinuousStatsTable[[#This Row],[RepsRequested]]&gt;1),ContinuousStatsTable[[#This Row],[HalfWidth]],ContinuousStatsTable[[#This Row],[BatchMeansHalfWidth]])</f>
        <v>0</v>
      </c>
    </row>
    <row r="476" spans="1:21" x14ac:dyDescent="0.2">
      <c r="A476" t="s">
        <v>67</v>
      </c>
      <c r="B476" t="s">
        <v>70</v>
      </c>
      <c r="C476">
        <v>20</v>
      </c>
      <c r="D476" t="s">
        <v>90</v>
      </c>
      <c r="E476" t="s">
        <v>98</v>
      </c>
      <c r="F476" t="s">
        <v>73</v>
      </c>
      <c r="G476">
        <v>0</v>
      </c>
      <c r="H476">
        <v>2E+20</v>
      </c>
      <c r="I476">
        <v>0</v>
      </c>
      <c r="J476">
        <v>0</v>
      </c>
      <c r="K476">
        <v>0</v>
      </c>
      <c r="L476">
        <v>0</v>
      </c>
      <c r="M476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476" cm="1">
        <f t="array" ref="N476">MAX(IF((ProjectInfoTable[ProjectName]=ContinuousStatsTable[[#This Row],[ProjectName]]),(ProjectInfoTable[ProjectName]=ContinuousStatsTable[[#This Row],[ProjectName]])*ProjectInfoTable[NumberOfReplications]))</f>
        <v>30</v>
      </c>
      <c r="O476" cm="1">
        <f t="array" ref="O476">IFERROR(AVERAGE(IF((ContinuousStatsTable[GroupByKey]=ContinuousStatsTable[[#This Row],[GroupByKey]]),(ContinuousStatsTable[GroupByKey]=ContinuousStatsTable[[#This Row],[GroupByKey]])*ContinuousStatsTable[Average])),0)</f>
        <v>0</v>
      </c>
      <c r="P476" cm="1">
        <f t="array" ref="P476">IFERROR(_xlfn.STDEV.S(IF((ContinuousStatsTable[GroupByKey]=ContinuousStatsTable[[#This Row],[GroupByKey]]),(ContinuousStatsTable[GroupByKey]=ContinuousStatsTable[[#This Row],[GroupByKey]])*ContinuousStatsTable[Average])),0)</f>
        <v>0</v>
      </c>
      <c r="Q476" cm="1">
        <f t="array" ref="Q476">MAX(IF((ProjectInfoTable[ProjectName]=ContinuousStatsTable[[#This Row],[ProjectName]]),(ProjectInfoTable[ProjectName]=ContinuousStatsTable[[#This Row],[ProjectName]])*ProjectInfoTable[ConfidenceInterval]))</f>
        <v>0.95</v>
      </c>
      <c r="R4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6" cm="1">
        <f t="array" ref="S476">MIN(IF((ContinuousStatsTable[GroupByKey]=ContinuousStatsTable[[#This Row],[GroupByKey]]),(ContinuousStatsTable[GroupByKey]=ContinuousStatsTable[[#This Row],[GroupByKey]])*ContinuousStatsTable[Average]))</f>
        <v>0</v>
      </c>
      <c r="T476" cm="1">
        <f t="array" ref="T476">MAX(IF((ContinuousStatsTable[GroupByKey]=ContinuousStatsTable[[#This Row],[GroupByKey]]),(ContinuousStatsTable[GroupByKey]=ContinuousStatsTable[[#This Row],[GroupByKey]])*ContinuousStatsTable[Average]))</f>
        <v>0</v>
      </c>
      <c r="U476">
        <f>IF((ContinuousStatsTable[[#This Row],[RepsRequested]]&gt;1),ContinuousStatsTable[[#This Row],[HalfWidth]],ContinuousStatsTable[[#This Row],[BatchMeansHalfWidth]])</f>
        <v>0</v>
      </c>
    </row>
    <row r="477" spans="1:21" x14ac:dyDescent="0.2">
      <c r="A477" t="s">
        <v>67</v>
      </c>
      <c r="B477" t="s">
        <v>70</v>
      </c>
      <c r="C477">
        <v>20</v>
      </c>
      <c r="D477" t="s">
        <v>91</v>
      </c>
      <c r="E477" t="s">
        <v>98</v>
      </c>
      <c r="F477" t="s">
        <v>73</v>
      </c>
      <c r="G477">
        <v>0</v>
      </c>
      <c r="H477">
        <v>2E+20</v>
      </c>
      <c r="I477">
        <v>0</v>
      </c>
      <c r="J477">
        <v>0</v>
      </c>
      <c r="K477">
        <v>0</v>
      </c>
      <c r="L477">
        <v>0</v>
      </c>
      <c r="M477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477" cm="1">
        <f t="array" ref="N477">MAX(IF((ProjectInfoTable[ProjectName]=ContinuousStatsTable[[#This Row],[ProjectName]]),(ProjectInfoTable[ProjectName]=ContinuousStatsTable[[#This Row],[ProjectName]])*ProjectInfoTable[NumberOfReplications]))</f>
        <v>30</v>
      </c>
      <c r="O477" cm="1">
        <f t="array" ref="O477">IFERROR(AVERAGE(IF((ContinuousStatsTable[GroupByKey]=ContinuousStatsTable[[#This Row],[GroupByKey]]),(ContinuousStatsTable[GroupByKey]=ContinuousStatsTable[[#This Row],[GroupByKey]])*ContinuousStatsTable[Average])),0)</f>
        <v>0</v>
      </c>
      <c r="P477" cm="1">
        <f t="array" ref="P477">IFERROR(_xlfn.STDEV.S(IF((ContinuousStatsTable[GroupByKey]=ContinuousStatsTable[[#This Row],[GroupByKey]]),(ContinuousStatsTable[GroupByKey]=ContinuousStatsTable[[#This Row],[GroupByKey]])*ContinuousStatsTable[Average])),0)</f>
        <v>0</v>
      </c>
      <c r="Q477" cm="1">
        <f t="array" ref="Q477">MAX(IF((ProjectInfoTable[ProjectName]=ContinuousStatsTable[[#This Row],[ProjectName]]),(ProjectInfoTable[ProjectName]=ContinuousStatsTable[[#This Row],[ProjectName]])*ProjectInfoTable[ConfidenceInterval]))</f>
        <v>0.95</v>
      </c>
      <c r="R4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7" cm="1">
        <f t="array" ref="S477">MIN(IF((ContinuousStatsTable[GroupByKey]=ContinuousStatsTable[[#This Row],[GroupByKey]]),(ContinuousStatsTable[GroupByKey]=ContinuousStatsTable[[#This Row],[GroupByKey]])*ContinuousStatsTable[Average]))</f>
        <v>0</v>
      </c>
      <c r="T477" cm="1">
        <f t="array" ref="T477">MAX(IF((ContinuousStatsTable[GroupByKey]=ContinuousStatsTable[[#This Row],[GroupByKey]]),(ContinuousStatsTable[GroupByKey]=ContinuousStatsTable[[#This Row],[GroupByKey]])*ContinuousStatsTable[Average]))</f>
        <v>0</v>
      </c>
      <c r="U477">
        <f>IF((ContinuousStatsTable[[#This Row],[RepsRequested]]&gt;1),ContinuousStatsTable[[#This Row],[HalfWidth]],ContinuousStatsTable[[#This Row],[BatchMeansHalfWidth]])</f>
        <v>0</v>
      </c>
    </row>
    <row r="478" spans="1:21" x14ac:dyDescent="0.2">
      <c r="A478" t="s">
        <v>67</v>
      </c>
      <c r="B478" t="s">
        <v>70</v>
      </c>
      <c r="C478">
        <v>20</v>
      </c>
      <c r="D478" t="s">
        <v>92</v>
      </c>
      <c r="E478" t="s">
        <v>98</v>
      </c>
      <c r="F478" t="s">
        <v>73</v>
      </c>
      <c r="G478">
        <v>0</v>
      </c>
      <c r="H478">
        <v>2E+20</v>
      </c>
      <c r="I478">
        <v>0</v>
      </c>
      <c r="J478">
        <v>0</v>
      </c>
      <c r="K478">
        <v>0</v>
      </c>
      <c r="L478">
        <v>0</v>
      </c>
      <c r="M478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478" cm="1">
        <f t="array" ref="N478">MAX(IF((ProjectInfoTable[ProjectName]=ContinuousStatsTable[[#This Row],[ProjectName]]),(ProjectInfoTable[ProjectName]=ContinuousStatsTable[[#This Row],[ProjectName]])*ProjectInfoTable[NumberOfReplications]))</f>
        <v>30</v>
      </c>
      <c r="O478" cm="1">
        <f t="array" ref="O478">IFERROR(AVERAGE(IF((ContinuousStatsTable[GroupByKey]=ContinuousStatsTable[[#This Row],[GroupByKey]]),(ContinuousStatsTable[GroupByKey]=ContinuousStatsTable[[#This Row],[GroupByKey]])*ContinuousStatsTable[Average])),0)</f>
        <v>0</v>
      </c>
      <c r="P478" cm="1">
        <f t="array" ref="P478">IFERROR(_xlfn.STDEV.S(IF((ContinuousStatsTable[GroupByKey]=ContinuousStatsTable[[#This Row],[GroupByKey]]),(ContinuousStatsTable[GroupByKey]=ContinuousStatsTable[[#This Row],[GroupByKey]])*ContinuousStatsTable[Average])),0)</f>
        <v>0</v>
      </c>
      <c r="Q478" cm="1">
        <f t="array" ref="Q478">MAX(IF((ProjectInfoTable[ProjectName]=ContinuousStatsTable[[#This Row],[ProjectName]]),(ProjectInfoTable[ProjectName]=ContinuousStatsTable[[#This Row],[ProjectName]])*ProjectInfoTable[ConfidenceInterval]))</f>
        <v>0.95</v>
      </c>
      <c r="R4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78" cm="1">
        <f t="array" ref="S478">MIN(IF((ContinuousStatsTable[GroupByKey]=ContinuousStatsTable[[#This Row],[GroupByKey]]),(ContinuousStatsTable[GroupByKey]=ContinuousStatsTable[[#This Row],[GroupByKey]])*ContinuousStatsTable[Average]))</f>
        <v>0</v>
      </c>
      <c r="T478" cm="1">
        <f t="array" ref="T478">MAX(IF((ContinuousStatsTable[GroupByKey]=ContinuousStatsTable[[#This Row],[GroupByKey]]),(ContinuousStatsTable[GroupByKey]=ContinuousStatsTable[[#This Row],[GroupByKey]])*ContinuousStatsTable[Average]))</f>
        <v>0</v>
      </c>
      <c r="U478">
        <f>IF((ContinuousStatsTable[[#This Row],[RepsRequested]]&gt;1),ContinuousStatsTable[[#This Row],[HalfWidth]],ContinuousStatsTable[[#This Row],[BatchMeansHalfWidth]])</f>
        <v>0</v>
      </c>
    </row>
    <row r="479" spans="1:21" x14ac:dyDescent="0.2">
      <c r="A479" t="s">
        <v>67</v>
      </c>
      <c r="B479" t="s">
        <v>70</v>
      </c>
      <c r="C479">
        <v>20</v>
      </c>
      <c r="D479" t="s">
        <v>103</v>
      </c>
      <c r="E479" t="s">
        <v>94</v>
      </c>
      <c r="F479" t="s">
        <v>95</v>
      </c>
      <c r="G479">
        <v>7.9670120799933797E-2</v>
      </c>
      <c r="H479">
        <v>2E+20</v>
      </c>
      <c r="I479">
        <v>0</v>
      </c>
      <c r="J479">
        <v>0.66666666666666696</v>
      </c>
      <c r="K479">
        <v>0.33333333333333298</v>
      </c>
      <c r="L479">
        <v>0</v>
      </c>
      <c r="M479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479" cm="1">
        <f t="array" ref="N479">MAX(IF((ProjectInfoTable[ProjectName]=ContinuousStatsTable[[#This Row],[ProjectName]]),(ProjectInfoTable[ProjectName]=ContinuousStatsTable[[#This Row],[ProjectName]])*ProjectInfoTable[NumberOfReplications]))</f>
        <v>30</v>
      </c>
      <c r="O479" cm="1">
        <f t="array" ref="O479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479" cm="1">
        <f t="array" ref="P479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479" cm="1">
        <f t="array" ref="Q479">MAX(IF((ProjectInfoTable[ProjectName]=ContinuousStatsTable[[#This Row],[ProjectName]]),(ProjectInfoTable[ProjectName]=ContinuousStatsTable[[#This Row],[ProjectName]])*ProjectInfoTable[ConfidenceInterval]))</f>
        <v>0.95</v>
      </c>
      <c r="R4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479" cm="1">
        <f t="array" ref="S479">MIN(IF((ContinuousStatsTable[GroupByKey]=ContinuousStatsTable[[#This Row],[GroupByKey]]),(ContinuousStatsTable[GroupByKey]=ContinuousStatsTable[[#This Row],[GroupByKey]])*ContinuousStatsTable[Average]))</f>
        <v>7.7176470357846902E-2</v>
      </c>
      <c r="T479" cm="1">
        <f t="array" ref="T479">MAX(IF((ContinuousStatsTable[GroupByKey]=ContinuousStatsTable[[#This Row],[GroupByKey]]),(ContinuousStatsTable[GroupByKey]=ContinuousStatsTable[[#This Row],[GroupByKey]])*ContinuousStatsTable[Average]))</f>
        <v>9.2534326714405896E-2</v>
      </c>
      <c r="U479">
        <f>IF((ContinuousStatsTable[[#This Row],[RepsRequested]]&gt;1),ContinuousStatsTable[[#This Row],[HalfWidth]],ContinuousStatsTable[[#This Row],[BatchMeansHalfWidth]])</f>
        <v>1.3238327186697659E-3</v>
      </c>
    </row>
    <row r="480" spans="1:21" x14ac:dyDescent="0.2">
      <c r="A480" t="s">
        <v>67</v>
      </c>
      <c r="B480" t="s">
        <v>70</v>
      </c>
      <c r="C480">
        <v>20</v>
      </c>
      <c r="D480" t="s">
        <v>103</v>
      </c>
      <c r="E480" t="s">
        <v>96</v>
      </c>
      <c r="F480" t="s">
        <v>95</v>
      </c>
      <c r="G480">
        <v>0.239010362399801</v>
      </c>
      <c r="H480">
        <v>2E+20</v>
      </c>
      <c r="I480">
        <v>0</v>
      </c>
      <c r="J480">
        <v>2</v>
      </c>
      <c r="K480">
        <v>1</v>
      </c>
      <c r="L480">
        <v>0</v>
      </c>
      <c r="M480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480" cm="1">
        <f t="array" ref="N480">MAX(IF((ProjectInfoTable[ProjectName]=ContinuousStatsTable[[#This Row],[ProjectName]]),(ProjectInfoTable[ProjectName]=ContinuousStatsTable[[#This Row],[ProjectName]])*ProjectInfoTable[NumberOfReplications]))</f>
        <v>30</v>
      </c>
      <c r="O480" cm="1">
        <f t="array" ref="O480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480" cm="1">
        <f t="array" ref="P480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480" cm="1">
        <f t="array" ref="Q480">MAX(IF((ProjectInfoTable[ProjectName]=ContinuousStatsTable[[#This Row],[ProjectName]]),(ProjectInfoTable[ProjectName]=ContinuousStatsTable[[#This Row],[ProjectName]])*ProjectInfoTable[ConfidenceInterval]))</f>
        <v>0.95</v>
      </c>
      <c r="R4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480" cm="1">
        <f t="array" ref="S480">MIN(IF((ContinuousStatsTable[GroupByKey]=ContinuousStatsTable[[#This Row],[GroupByKey]]),(ContinuousStatsTable[GroupByKey]=ContinuousStatsTable[[#This Row],[GroupByKey]])*ContinuousStatsTable[Average]))</f>
        <v>0.231529411073541</v>
      </c>
      <c r="T480" cm="1">
        <f t="array" ref="T480">MAX(IF((ContinuousStatsTable[GroupByKey]=ContinuousStatsTable[[#This Row],[GroupByKey]]),(ContinuousStatsTable[GroupByKey]=ContinuousStatsTable[[#This Row],[GroupByKey]])*ContinuousStatsTable[Average]))</f>
        <v>0.27760298014321699</v>
      </c>
      <c r="U480">
        <f>IF((ContinuousStatsTable[[#This Row],[RepsRequested]]&gt;1),ContinuousStatsTable[[#This Row],[HalfWidth]],ContinuousStatsTable[[#This Row],[BatchMeansHalfWidth]])</f>
        <v>3.9714981560092996E-3</v>
      </c>
    </row>
    <row r="481" spans="1:21" x14ac:dyDescent="0.2">
      <c r="A481" t="s">
        <v>67</v>
      </c>
      <c r="B481" t="s">
        <v>70</v>
      </c>
      <c r="C481">
        <v>20</v>
      </c>
      <c r="D481" t="s">
        <v>103</v>
      </c>
      <c r="E481" t="s">
        <v>97</v>
      </c>
      <c r="F481" t="s">
        <v>95</v>
      </c>
      <c r="G481">
        <v>3</v>
      </c>
      <c r="H481">
        <v>2E+20</v>
      </c>
      <c r="I481">
        <v>3</v>
      </c>
      <c r="J481">
        <v>3</v>
      </c>
      <c r="K481">
        <v>3</v>
      </c>
      <c r="L481">
        <v>0</v>
      </c>
      <c r="M481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481" cm="1">
        <f t="array" ref="N481">MAX(IF((ProjectInfoTable[ProjectName]=ContinuousStatsTable[[#This Row],[ProjectName]]),(ProjectInfoTable[ProjectName]=ContinuousStatsTable[[#This Row],[ProjectName]])*ProjectInfoTable[NumberOfReplications]))</f>
        <v>30</v>
      </c>
      <c r="O481" cm="1">
        <f t="array" ref="O481">IFERROR(AVERAGE(IF((ContinuousStatsTable[GroupByKey]=ContinuousStatsTable[[#This Row],[GroupByKey]]),(ContinuousStatsTable[GroupByKey]=ContinuousStatsTable[[#This Row],[GroupByKey]])*ContinuousStatsTable[Average])),0)</f>
        <v>3</v>
      </c>
      <c r="P481" cm="1">
        <f t="array" ref="P481">IFERROR(_xlfn.STDEV.S(IF((ContinuousStatsTable[GroupByKey]=ContinuousStatsTable[[#This Row],[GroupByKey]]),(ContinuousStatsTable[GroupByKey]=ContinuousStatsTable[[#This Row],[GroupByKey]])*ContinuousStatsTable[Average])),0)</f>
        <v>0</v>
      </c>
      <c r="Q481" cm="1">
        <f t="array" ref="Q481">MAX(IF((ProjectInfoTable[ProjectName]=ContinuousStatsTable[[#This Row],[ProjectName]]),(ProjectInfoTable[ProjectName]=ContinuousStatsTable[[#This Row],[ProjectName]])*ProjectInfoTable[ConfidenceInterval]))</f>
        <v>0.95</v>
      </c>
      <c r="R4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1" cm="1">
        <f t="array" ref="S481">MIN(IF((ContinuousStatsTable[GroupByKey]=ContinuousStatsTable[[#This Row],[GroupByKey]]),(ContinuousStatsTable[GroupByKey]=ContinuousStatsTable[[#This Row],[GroupByKey]])*ContinuousStatsTable[Average]))</f>
        <v>3</v>
      </c>
      <c r="T481" cm="1">
        <f t="array" ref="T481">MAX(IF((ContinuousStatsTable[GroupByKey]=ContinuousStatsTable[[#This Row],[GroupByKey]]),(ContinuousStatsTable[GroupByKey]=ContinuousStatsTable[[#This Row],[GroupByKey]])*ContinuousStatsTable[Average]))</f>
        <v>3</v>
      </c>
      <c r="U481">
        <f>IF((ContinuousStatsTable[[#This Row],[RepsRequested]]&gt;1),ContinuousStatsTable[[#This Row],[HalfWidth]],ContinuousStatsTable[[#This Row],[BatchMeansHalfWidth]])</f>
        <v>0</v>
      </c>
    </row>
    <row r="482" spans="1:21" x14ac:dyDescent="0.2">
      <c r="A482" t="s">
        <v>67</v>
      </c>
      <c r="B482" t="s">
        <v>70</v>
      </c>
      <c r="C482">
        <v>21</v>
      </c>
      <c r="D482" t="s">
        <v>93</v>
      </c>
      <c r="E482" t="s">
        <v>94</v>
      </c>
      <c r="F482" t="s">
        <v>95</v>
      </c>
      <c r="G482">
        <v>0.249122807017544</v>
      </c>
      <c r="H482">
        <v>2.09662178853855E-2</v>
      </c>
      <c r="I482">
        <v>0</v>
      </c>
      <c r="J482">
        <v>1</v>
      </c>
      <c r="K482">
        <v>0</v>
      </c>
      <c r="L482">
        <v>0</v>
      </c>
      <c r="M482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482" cm="1">
        <f t="array" ref="N482">MAX(IF((ProjectInfoTable[ProjectName]=ContinuousStatsTable[[#This Row],[ProjectName]]),(ProjectInfoTable[ProjectName]=ContinuousStatsTable[[#This Row],[ProjectName]])*ProjectInfoTable[NumberOfReplications]))</f>
        <v>30</v>
      </c>
      <c r="O482" cm="1">
        <f t="array" ref="O482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482" cm="1">
        <f t="array" ref="P482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482" cm="1">
        <f t="array" ref="Q482">MAX(IF((ProjectInfoTable[ProjectName]=ContinuousStatsTable[[#This Row],[ProjectName]]),(ProjectInfoTable[ProjectName]=ContinuousStatsTable[[#This Row],[ProjectName]])*ProjectInfoTable[ConfidenceInterval]))</f>
        <v>0.95</v>
      </c>
      <c r="R4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482" cm="1">
        <f t="array" ref="S482">MIN(IF((ContinuousStatsTable[GroupByKey]=ContinuousStatsTable[[#This Row],[GroupByKey]]),(ContinuousStatsTable[GroupByKey]=ContinuousStatsTable[[#This Row],[GroupByKey]])*ContinuousStatsTable[Average]))</f>
        <v>0.233333333333333</v>
      </c>
      <c r="T482" cm="1">
        <f t="array" ref="T482">MAX(IF((ContinuousStatsTable[GroupByKey]=ContinuousStatsTable[[#This Row],[GroupByKey]]),(ContinuousStatsTable[GroupByKey]=ContinuousStatsTable[[#This Row],[GroupByKey]])*ContinuousStatsTable[Average]))</f>
        <v>0.27905535859326402</v>
      </c>
      <c r="U482">
        <f>IF((ContinuousStatsTable[[#This Row],[RepsRequested]]&gt;1),ContinuousStatsTable[[#This Row],[HalfWidth]],ContinuousStatsTable[[#This Row],[BatchMeansHalfWidth]])</f>
        <v>4.2029769261323026E-3</v>
      </c>
    </row>
    <row r="483" spans="1:21" x14ac:dyDescent="0.2">
      <c r="A483" t="s">
        <v>67</v>
      </c>
      <c r="B483" t="s">
        <v>70</v>
      </c>
      <c r="C483">
        <v>21</v>
      </c>
      <c r="D483" t="s">
        <v>93</v>
      </c>
      <c r="E483" t="s">
        <v>96</v>
      </c>
      <c r="F483" t="s">
        <v>95</v>
      </c>
      <c r="G483">
        <v>0.249122807017544</v>
      </c>
      <c r="H483">
        <v>2.09662178853855E-2</v>
      </c>
      <c r="I483">
        <v>0</v>
      </c>
      <c r="J483">
        <v>1</v>
      </c>
      <c r="K483">
        <v>0</v>
      </c>
      <c r="L483">
        <v>0</v>
      </c>
      <c r="M483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483" cm="1">
        <f t="array" ref="N483">MAX(IF((ProjectInfoTable[ProjectName]=ContinuousStatsTable[[#This Row],[ProjectName]]),(ProjectInfoTable[ProjectName]=ContinuousStatsTable[[#This Row],[ProjectName]])*ProjectInfoTable[NumberOfReplications]))</f>
        <v>30</v>
      </c>
      <c r="O483" cm="1">
        <f t="array" ref="O483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483" cm="1">
        <f t="array" ref="P483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483" cm="1">
        <f t="array" ref="Q483">MAX(IF((ProjectInfoTable[ProjectName]=ContinuousStatsTable[[#This Row],[ProjectName]]),(ProjectInfoTable[ProjectName]=ContinuousStatsTable[[#This Row],[ProjectName]])*ProjectInfoTable[ConfidenceInterval]))</f>
        <v>0.95</v>
      </c>
      <c r="R4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483" cm="1">
        <f t="array" ref="S483">MIN(IF((ContinuousStatsTable[GroupByKey]=ContinuousStatsTable[[#This Row],[GroupByKey]]),(ContinuousStatsTable[GroupByKey]=ContinuousStatsTable[[#This Row],[GroupByKey]])*ContinuousStatsTable[Average]))</f>
        <v>0.233333333333333</v>
      </c>
      <c r="T483" cm="1">
        <f t="array" ref="T483">MAX(IF((ContinuousStatsTable[GroupByKey]=ContinuousStatsTable[[#This Row],[GroupByKey]]),(ContinuousStatsTable[GroupByKey]=ContinuousStatsTable[[#This Row],[GroupByKey]])*ContinuousStatsTable[Average]))</f>
        <v>0.27905535859326402</v>
      </c>
      <c r="U483">
        <f>IF((ContinuousStatsTable[[#This Row],[RepsRequested]]&gt;1),ContinuousStatsTable[[#This Row],[HalfWidth]],ContinuousStatsTable[[#This Row],[BatchMeansHalfWidth]])</f>
        <v>4.2029769261323026E-3</v>
      </c>
    </row>
    <row r="484" spans="1:21" x14ac:dyDescent="0.2">
      <c r="A484" t="s">
        <v>67</v>
      </c>
      <c r="B484" t="s">
        <v>70</v>
      </c>
      <c r="C484">
        <v>21</v>
      </c>
      <c r="D484" t="s">
        <v>93</v>
      </c>
      <c r="E484" t="s">
        <v>97</v>
      </c>
      <c r="F484" t="s">
        <v>95</v>
      </c>
      <c r="G484">
        <v>1</v>
      </c>
      <c r="H484">
        <v>2E+20</v>
      </c>
      <c r="I484">
        <v>1</v>
      </c>
      <c r="J484">
        <v>1</v>
      </c>
      <c r="K484">
        <v>1</v>
      </c>
      <c r="L484">
        <v>0</v>
      </c>
      <c r="M484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484" cm="1">
        <f t="array" ref="N484">MAX(IF((ProjectInfoTable[ProjectName]=ContinuousStatsTable[[#This Row],[ProjectName]]),(ProjectInfoTable[ProjectName]=ContinuousStatsTable[[#This Row],[ProjectName]])*ProjectInfoTable[NumberOfReplications]))</f>
        <v>30</v>
      </c>
      <c r="O484" cm="1">
        <f t="array" ref="O484">IFERROR(AVERAGE(IF((ContinuousStatsTable[GroupByKey]=ContinuousStatsTable[[#This Row],[GroupByKey]]),(ContinuousStatsTable[GroupByKey]=ContinuousStatsTable[[#This Row],[GroupByKey]])*ContinuousStatsTable[Average])),0)</f>
        <v>1</v>
      </c>
      <c r="P484" cm="1">
        <f t="array" ref="P484">IFERROR(_xlfn.STDEV.S(IF((ContinuousStatsTable[GroupByKey]=ContinuousStatsTable[[#This Row],[GroupByKey]]),(ContinuousStatsTable[GroupByKey]=ContinuousStatsTable[[#This Row],[GroupByKey]])*ContinuousStatsTable[Average])),0)</f>
        <v>0</v>
      </c>
      <c r="Q484" cm="1">
        <f t="array" ref="Q484">MAX(IF((ProjectInfoTable[ProjectName]=ContinuousStatsTable[[#This Row],[ProjectName]]),(ProjectInfoTable[ProjectName]=ContinuousStatsTable[[#This Row],[ProjectName]])*ProjectInfoTable[ConfidenceInterval]))</f>
        <v>0.95</v>
      </c>
      <c r="R4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4" cm="1">
        <f t="array" ref="S484">MIN(IF((ContinuousStatsTable[GroupByKey]=ContinuousStatsTable[[#This Row],[GroupByKey]]),(ContinuousStatsTable[GroupByKey]=ContinuousStatsTable[[#This Row],[GroupByKey]])*ContinuousStatsTable[Average]))</f>
        <v>1</v>
      </c>
      <c r="T484" cm="1">
        <f t="array" ref="T484">MAX(IF((ContinuousStatsTable[GroupByKey]=ContinuousStatsTable[[#This Row],[GroupByKey]]),(ContinuousStatsTable[GroupByKey]=ContinuousStatsTable[[#This Row],[GroupByKey]])*ContinuousStatsTable[Average]))</f>
        <v>1</v>
      </c>
      <c r="U484">
        <f>IF((ContinuousStatsTable[[#This Row],[RepsRequested]]&gt;1),ContinuousStatsTable[[#This Row],[HalfWidth]],ContinuousStatsTable[[#This Row],[BatchMeansHalfWidth]])</f>
        <v>0</v>
      </c>
    </row>
    <row r="485" spans="1:21" x14ac:dyDescent="0.2">
      <c r="A485" t="s">
        <v>67</v>
      </c>
      <c r="B485" t="s">
        <v>70</v>
      </c>
      <c r="C485">
        <v>21</v>
      </c>
      <c r="D485" t="s">
        <v>71</v>
      </c>
      <c r="E485" t="s">
        <v>98</v>
      </c>
      <c r="F485" t="s">
        <v>73</v>
      </c>
      <c r="G485">
        <v>2.67612427676008E-2</v>
      </c>
      <c r="H485">
        <v>2E+20</v>
      </c>
      <c r="I485">
        <v>0</v>
      </c>
      <c r="J485">
        <v>2</v>
      </c>
      <c r="K485">
        <v>0</v>
      </c>
      <c r="L485">
        <v>0</v>
      </c>
      <c r="M485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485" cm="1">
        <f t="array" ref="N485">MAX(IF((ProjectInfoTable[ProjectName]=ContinuousStatsTable[[#This Row],[ProjectName]]),(ProjectInfoTable[ProjectName]=ContinuousStatsTable[[#This Row],[ProjectName]])*ProjectInfoTable[NumberOfReplications]))</f>
        <v>30</v>
      </c>
      <c r="O485" cm="1">
        <f t="array" ref="O485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485" cm="1">
        <f t="array" ref="P485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485" cm="1">
        <f t="array" ref="Q485">MAX(IF((ProjectInfoTable[ProjectName]=ContinuousStatsTable[[#This Row],[ProjectName]]),(ProjectInfoTable[ProjectName]=ContinuousStatsTable[[#This Row],[ProjectName]])*ProjectInfoTable[ConfidenceInterval]))</f>
        <v>0.95</v>
      </c>
      <c r="R4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485" cm="1">
        <f t="array" ref="S485">MIN(IF((ContinuousStatsTable[GroupByKey]=ContinuousStatsTable[[#This Row],[GroupByKey]]),(ContinuousStatsTable[GroupByKey]=ContinuousStatsTable[[#This Row],[GroupByKey]])*ContinuousStatsTable[Average]))</f>
        <v>1.9664517785186901E-2</v>
      </c>
      <c r="T485" cm="1">
        <f t="array" ref="T485">MAX(IF((ContinuousStatsTable[GroupByKey]=ContinuousStatsTable[[#This Row],[GroupByKey]]),(ContinuousStatsTable[GroupByKey]=ContinuousStatsTable[[#This Row],[GroupByKey]])*ContinuousStatsTable[Average]))</f>
        <v>3.9738966906982302E-2</v>
      </c>
      <c r="U485">
        <f>IF((ContinuousStatsTable[[#This Row],[RepsRequested]]&gt;1),ContinuousStatsTable[[#This Row],[HalfWidth]],ContinuousStatsTable[[#This Row],[BatchMeansHalfWidth]])</f>
        <v>1.6627262085570247E-3</v>
      </c>
    </row>
    <row r="486" spans="1:21" x14ac:dyDescent="0.2">
      <c r="A486" t="s">
        <v>67</v>
      </c>
      <c r="B486" t="s">
        <v>70</v>
      </c>
      <c r="C486">
        <v>21</v>
      </c>
      <c r="D486" t="s">
        <v>99</v>
      </c>
      <c r="E486" t="s">
        <v>94</v>
      </c>
      <c r="F486" t="s">
        <v>95</v>
      </c>
      <c r="G486">
        <v>0.62292363405547502</v>
      </c>
      <c r="H486">
        <v>2E+20</v>
      </c>
      <c r="I486">
        <v>0</v>
      </c>
      <c r="J486">
        <v>1</v>
      </c>
      <c r="K486">
        <v>1</v>
      </c>
      <c r="L486">
        <v>0</v>
      </c>
      <c r="M486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486" cm="1">
        <f t="array" ref="N486">MAX(IF((ProjectInfoTable[ProjectName]=ContinuousStatsTable[[#This Row],[ProjectName]]),(ProjectInfoTable[ProjectName]=ContinuousStatsTable[[#This Row],[ProjectName]])*ProjectInfoTable[NumberOfReplications]))</f>
        <v>30</v>
      </c>
      <c r="O486" cm="1">
        <f t="array" ref="O486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486" cm="1">
        <f t="array" ref="P486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486" cm="1">
        <f t="array" ref="Q486">MAX(IF((ProjectInfoTable[ProjectName]=ContinuousStatsTable[[#This Row],[ProjectName]]),(ProjectInfoTable[ProjectName]=ContinuousStatsTable[[#This Row],[ProjectName]])*ProjectInfoTable[ConfidenceInterval]))</f>
        <v>0.95</v>
      </c>
      <c r="R4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486" cm="1">
        <f t="array" ref="S486">MIN(IF((ContinuousStatsTable[GroupByKey]=ContinuousStatsTable[[#This Row],[GroupByKey]]),(ContinuousStatsTable[GroupByKey]=ContinuousStatsTable[[#This Row],[GroupByKey]])*ContinuousStatsTable[Average]))</f>
        <v>0.58256422876290004</v>
      </c>
      <c r="T486" cm="1">
        <f t="array" ref="T486">MAX(IF((ContinuousStatsTable[GroupByKey]=ContinuousStatsTable[[#This Row],[GroupByKey]]),(ContinuousStatsTable[GroupByKey]=ContinuousStatsTable[[#This Row],[GroupByKey]])*ContinuousStatsTable[Average]))</f>
        <v>0.68643238055161704</v>
      </c>
      <c r="U486">
        <f>IF((ContinuousStatsTable[[#This Row],[RepsRequested]]&gt;1),ContinuousStatsTable[[#This Row],[HalfWidth]],ContinuousStatsTable[[#This Row],[BatchMeansHalfWidth]])</f>
        <v>9.8490003000806757E-3</v>
      </c>
    </row>
    <row r="487" spans="1:21" x14ac:dyDescent="0.2">
      <c r="A487" t="s">
        <v>67</v>
      </c>
      <c r="B487" t="s">
        <v>70</v>
      </c>
      <c r="C487">
        <v>21</v>
      </c>
      <c r="D487" t="s">
        <v>99</v>
      </c>
      <c r="E487" t="s">
        <v>96</v>
      </c>
      <c r="F487" t="s">
        <v>95</v>
      </c>
      <c r="G487">
        <v>1.24584726811095</v>
      </c>
      <c r="H487">
        <v>2E+20</v>
      </c>
      <c r="I487">
        <v>0</v>
      </c>
      <c r="J487">
        <v>2</v>
      </c>
      <c r="K487">
        <v>2</v>
      </c>
      <c r="L487">
        <v>0</v>
      </c>
      <c r="M487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487" cm="1">
        <f t="array" ref="N487">MAX(IF((ProjectInfoTable[ProjectName]=ContinuousStatsTable[[#This Row],[ProjectName]]),(ProjectInfoTable[ProjectName]=ContinuousStatsTable[[#This Row],[ProjectName]])*ProjectInfoTable[NumberOfReplications]))</f>
        <v>30</v>
      </c>
      <c r="O487" cm="1">
        <f t="array" ref="O487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487" cm="1">
        <f t="array" ref="P487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487" cm="1">
        <f t="array" ref="Q487">MAX(IF((ProjectInfoTable[ProjectName]=ContinuousStatsTable[[#This Row],[ProjectName]]),(ProjectInfoTable[ProjectName]=ContinuousStatsTable[[#This Row],[ProjectName]])*ProjectInfoTable[ConfidenceInterval]))</f>
        <v>0.95</v>
      </c>
      <c r="R4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487" cm="1">
        <f t="array" ref="S487">MIN(IF((ContinuousStatsTable[GroupByKey]=ContinuousStatsTable[[#This Row],[GroupByKey]]),(ContinuousStatsTable[GroupByKey]=ContinuousStatsTable[[#This Row],[GroupByKey]])*ContinuousStatsTable[Average]))</f>
        <v>1.1651284575258001</v>
      </c>
      <c r="T487" cm="1">
        <f t="array" ref="T487">MAX(IF((ContinuousStatsTable[GroupByKey]=ContinuousStatsTable[[#This Row],[GroupByKey]]),(ContinuousStatsTable[GroupByKey]=ContinuousStatsTable[[#This Row],[GroupByKey]])*ContinuousStatsTable[Average]))</f>
        <v>1.3728647611032301</v>
      </c>
      <c r="U487">
        <f>IF((ContinuousStatsTable[[#This Row],[RepsRequested]]&gt;1),ContinuousStatsTable[[#This Row],[HalfWidth]],ContinuousStatsTable[[#This Row],[BatchMeansHalfWidth]])</f>
        <v>1.9698000600160998E-2</v>
      </c>
    </row>
    <row r="488" spans="1:21" x14ac:dyDescent="0.2">
      <c r="A488" t="s">
        <v>67</v>
      </c>
      <c r="B488" t="s">
        <v>70</v>
      </c>
      <c r="C488">
        <v>21</v>
      </c>
      <c r="D488" t="s">
        <v>99</v>
      </c>
      <c r="E488" t="s">
        <v>97</v>
      </c>
      <c r="F488" t="s">
        <v>95</v>
      </c>
      <c r="G488">
        <v>2</v>
      </c>
      <c r="H488">
        <v>2E+20</v>
      </c>
      <c r="I488">
        <v>2</v>
      </c>
      <c r="J488">
        <v>2</v>
      </c>
      <c r="K488">
        <v>2</v>
      </c>
      <c r="L488">
        <v>0</v>
      </c>
      <c r="M488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488" cm="1">
        <f t="array" ref="N488">MAX(IF((ProjectInfoTable[ProjectName]=ContinuousStatsTable[[#This Row],[ProjectName]]),(ProjectInfoTable[ProjectName]=ContinuousStatsTable[[#This Row],[ProjectName]])*ProjectInfoTable[NumberOfReplications]))</f>
        <v>30</v>
      </c>
      <c r="O488" cm="1">
        <f t="array" ref="O488">IFERROR(AVERAGE(IF((ContinuousStatsTable[GroupByKey]=ContinuousStatsTable[[#This Row],[GroupByKey]]),(ContinuousStatsTable[GroupByKey]=ContinuousStatsTable[[#This Row],[GroupByKey]])*ContinuousStatsTable[Average])),0)</f>
        <v>2</v>
      </c>
      <c r="P488" cm="1">
        <f t="array" ref="P488">IFERROR(_xlfn.STDEV.S(IF((ContinuousStatsTable[GroupByKey]=ContinuousStatsTable[[#This Row],[GroupByKey]]),(ContinuousStatsTable[GroupByKey]=ContinuousStatsTable[[#This Row],[GroupByKey]])*ContinuousStatsTable[Average])),0)</f>
        <v>0</v>
      </c>
      <c r="Q488" cm="1">
        <f t="array" ref="Q488">MAX(IF((ProjectInfoTable[ProjectName]=ContinuousStatsTable[[#This Row],[ProjectName]]),(ProjectInfoTable[ProjectName]=ContinuousStatsTable[[#This Row],[ProjectName]])*ProjectInfoTable[ConfidenceInterval]))</f>
        <v>0.95</v>
      </c>
      <c r="R4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88" cm="1">
        <f t="array" ref="S488">MIN(IF((ContinuousStatsTable[GroupByKey]=ContinuousStatsTable[[#This Row],[GroupByKey]]),(ContinuousStatsTable[GroupByKey]=ContinuousStatsTable[[#This Row],[GroupByKey]])*ContinuousStatsTable[Average]))</f>
        <v>2</v>
      </c>
      <c r="T488" cm="1">
        <f t="array" ref="T488">MAX(IF((ContinuousStatsTable[GroupByKey]=ContinuousStatsTable[[#This Row],[GroupByKey]]),(ContinuousStatsTable[GroupByKey]=ContinuousStatsTable[[#This Row],[GroupByKey]])*ContinuousStatsTable[Average]))</f>
        <v>2</v>
      </c>
      <c r="U488">
        <f>IF((ContinuousStatsTable[[#This Row],[RepsRequested]]&gt;1),ContinuousStatsTable[[#This Row],[HalfWidth]],ContinuousStatsTable[[#This Row],[BatchMeansHalfWidth]])</f>
        <v>0</v>
      </c>
    </row>
    <row r="489" spans="1:21" x14ac:dyDescent="0.2">
      <c r="A489" t="s">
        <v>67</v>
      </c>
      <c r="B489" t="s">
        <v>70</v>
      </c>
      <c r="C489">
        <v>21</v>
      </c>
      <c r="D489" t="s">
        <v>74</v>
      </c>
      <c r="E489" t="s">
        <v>100</v>
      </c>
      <c r="F489" t="s">
        <v>76</v>
      </c>
      <c r="G489">
        <v>15.5450520353827</v>
      </c>
      <c r="H489">
        <v>1.3371569867672399</v>
      </c>
      <c r="I489">
        <v>3</v>
      </c>
      <c r="J489">
        <v>30</v>
      </c>
      <c r="K489">
        <v>13</v>
      </c>
      <c r="L489">
        <v>0</v>
      </c>
      <c r="M489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89" cm="1">
        <f t="array" ref="N489">MAX(IF((ProjectInfoTable[ProjectName]=ContinuousStatsTable[[#This Row],[ProjectName]]),(ProjectInfoTable[ProjectName]=ContinuousStatsTable[[#This Row],[ProjectName]])*ProjectInfoTable[NumberOfReplications]))</f>
        <v>30</v>
      </c>
      <c r="O489" cm="1">
        <f t="array" ref="O489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489" cm="1">
        <f t="array" ref="P489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489" cm="1">
        <f t="array" ref="Q489">MAX(IF((ProjectInfoTable[ProjectName]=ContinuousStatsTable[[#This Row],[ProjectName]]),(ProjectInfoTable[ProjectName]=ContinuousStatsTable[[#This Row],[ProjectName]])*ProjectInfoTable[ConfidenceInterval]))</f>
        <v>0.95</v>
      </c>
      <c r="R4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489" cm="1">
        <f t="array" ref="S489">MIN(IF((ContinuousStatsTable[GroupByKey]=ContinuousStatsTable[[#This Row],[GroupByKey]]),(ContinuousStatsTable[GroupByKey]=ContinuousStatsTable[[#This Row],[GroupByKey]])*ContinuousStatsTable[Average]))</f>
        <v>14.4112589759764</v>
      </c>
      <c r="T489" cm="1">
        <f t="array" ref="T489">MAX(IF((ContinuousStatsTable[GroupByKey]=ContinuousStatsTable[[#This Row],[GroupByKey]]),(ContinuousStatsTable[GroupByKey]=ContinuousStatsTable[[#This Row],[GroupByKey]])*ContinuousStatsTable[Average]))</f>
        <v>16.972707717517899</v>
      </c>
      <c r="U489">
        <f>IF((ContinuousStatsTable[[#This Row],[RepsRequested]]&gt;1),ContinuousStatsTable[[#This Row],[HalfWidth]],ContinuousStatsTable[[#This Row],[BatchMeansHalfWidth]])</f>
        <v>0.25870181881670146</v>
      </c>
    </row>
    <row r="490" spans="1:21" x14ac:dyDescent="0.2">
      <c r="A490" t="s">
        <v>67</v>
      </c>
      <c r="B490" t="s">
        <v>70</v>
      </c>
      <c r="C490">
        <v>21</v>
      </c>
      <c r="D490" t="s">
        <v>82</v>
      </c>
      <c r="E490" t="s">
        <v>98</v>
      </c>
      <c r="F490" t="s">
        <v>73</v>
      </c>
      <c r="G490">
        <v>0.19975744367364401</v>
      </c>
      <c r="H490">
        <v>2E+20</v>
      </c>
      <c r="I490">
        <v>0</v>
      </c>
      <c r="J490">
        <v>4</v>
      </c>
      <c r="K490">
        <v>0</v>
      </c>
      <c r="L490">
        <v>0</v>
      </c>
      <c r="M490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490" cm="1">
        <f t="array" ref="N490">MAX(IF((ProjectInfoTable[ProjectName]=ContinuousStatsTable[[#This Row],[ProjectName]]),(ProjectInfoTable[ProjectName]=ContinuousStatsTable[[#This Row],[ProjectName]])*ProjectInfoTable[NumberOfReplications]))</f>
        <v>30</v>
      </c>
      <c r="O490" cm="1">
        <f t="array" ref="O490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490" cm="1">
        <f t="array" ref="P490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490" cm="1">
        <f t="array" ref="Q490">MAX(IF((ProjectInfoTable[ProjectName]=ContinuousStatsTable[[#This Row],[ProjectName]]),(ProjectInfoTable[ProjectName]=ContinuousStatsTable[[#This Row],[ProjectName]])*ProjectInfoTable[ConfidenceInterval]))</f>
        <v>0.95</v>
      </c>
      <c r="R4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490" cm="1">
        <f t="array" ref="S490">MIN(IF((ContinuousStatsTable[GroupByKey]=ContinuousStatsTable[[#This Row],[GroupByKey]]),(ContinuousStatsTable[GroupByKey]=ContinuousStatsTable[[#This Row],[GroupByKey]])*ContinuousStatsTable[Average]))</f>
        <v>7.4406608295854798E-2</v>
      </c>
      <c r="T490" cm="1">
        <f t="array" ref="T490">MAX(IF((ContinuousStatsTable[GroupByKey]=ContinuousStatsTable[[#This Row],[GroupByKey]]),(ContinuousStatsTable[GroupByKey]=ContinuousStatsTable[[#This Row],[GroupByKey]])*ContinuousStatsTable[Average]))</f>
        <v>0.29874320707386398</v>
      </c>
      <c r="U490">
        <f>IF((ContinuousStatsTable[[#This Row],[RepsRequested]]&gt;1),ContinuousStatsTable[[#This Row],[HalfWidth]],ContinuousStatsTable[[#This Row],[BatchMeansHalfWidth]])</f>
        <v>2.0058204231149332E-2</v>
      </c>
    </row>
    <row r="491" spans="1:21" x14ac:dyDescent="0.2">
      <c r="A491" t="s">
        <v>67</v>
      </c>
      <c r="B491" t="s">
        <v>70</v>
      </c>
      <c r="C491">
        <v>21</v>
      </c>
      <c r="D491" t="s">
        <v>101</v>
      </c>
      <c r="E491" t="s">
        <v>94</v>
      </c>
      <c r="F491" t="s">
        <v>95</v>
      </c>
      <c r="G491">
        <v>1.8530701754385999E-3</v>
      </c>
      <c r="H491">
        <v>2.2241142488380901E-4</v>
      </c>
      <c r="I491">
        <v>0</v>
      </c>
      <c r="J491">
        <v>0.05</v>
      </c>
      <c r="K491">
        <v>0</v>
      </c>
      <c r="L491">
        <v>0</v>
      </c>
      <c r="M491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491" cm="1">
        <f t="array" ref="N491">MAX(IF((ProjectInfoTable[ProjectName]=ContinuousStatsTable[[#This Row],[ProjectName]]),(ProjectInfoTable[ProjectName]=ContinuousStatsTable[[#This Row],[ProjectName]])*ProjectInfoTable[NumberOfReplications]))</f>
        <v>30</v>
      </c>
      <c r="O491" cm="1">
        <f t="array" ref="O491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491" cm="1">
        <f t="array" ref="P491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491" cm="1">
        <f t="array" ref="Q491">MAX(IF((ProjectInfoTable[ProjectName]=ContinuousStatsTable[[#This Row],[ProjectName]]),(ProjectInfoTable[ProjectName]=ContinuousStatsTable[[#This Row],[ProjectName]])*ProjectInfoTable[ConfidenceInterval]))</f>
        <v>0.95</v>
      </c>
      <c r="R4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491" cm="1">
        <f t="array" ref="S491">MIN(IF((ContinuousStatsTable[GroupByKey]=ContinuousStatsTable[[#This Row],[GroupByKey]]),(ContinuousStatsTable[GroupByKey]=ContinuousStatsTable[[#This Row],[GroupByKey]])*ContinuousStatsTable[Average]))</f>
        <v>1.70504385964912E-3</v>
      </c>
      <c r="T491" cm="1">
        <f t="array" ref="T491">MAX(IF((ContinuousStatsTable[GroupByKey]=ContinuousStatsTable[[#This Row],[GroupByKey]]),(ContinuousStatsTable[GroupByKey]=ContinuousStatsTable[[#This Row],[GroupByKey]])*ContinuousStatsTable[Average]))</f>
        <v>2.17031677925951E-3</v>
      </c>
      <c r="U491">
        <f>IF((ContinuousStatsTable[[#This Row],[RepsRequested]]&gt;1),ContinuousStatsTable[[#This Row],[HalfWidth]],ContinuousStatsTable[[#This Row],[BatchMeansHalfWidth]])</f>
        <v>4.4865881583116605E-5</v>
      </c>
    </row>
    <row r="492" spans="1:21" x14ac:dyDescent="0.2">
      <c r="A492" t="s">
        <v>67</v>
      </c>
      <c r="B492" t="s">
        <v>70</v>
      </c>
      <c r="C492">
        <v>21</v>
      </c>
      <c r="D492" t="s">
        <v>101</v>
      </c>
      <c r="E492" t="s">
        <v>96</v>
      </c>
      <c r="F492" t="s">
        <v>95</v>
      </c>
      <c r="G492">
        <v>0.14824561403508801</v>
      </c>
      <c r="H492">
        <v>1.7792913990704699E-2</v>
      </c>
      <c r="I492">
        <v>0</v>
      </c>
      <c r="J492">
        <v>4</v>
      </c>
      <c r="K492">
        <v>0</v>
      </c>
      <c r="L492">
        <v>0</v>
      </c>
      <c r="M492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492" cm="1">
        <f t="array" ref="N492">MAX(IF((ProjectInfoTable[ProjectName]=ContinuousStatsTable[[#This Row],[ProjectName]]),(ProjectInfoTable[ProjectName]=ContinuousStatsTable[[#This Row],[ProjectName]])*ProjectInfoTable[NumberOfReplications]))</f>
        <v>30</v>
      </c>
      <c r="O492" cm="1">
        <f t="array" ref="O492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492" cm="1">
        <f t="array" ref="P492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492" cm="1">
        <f t="array" ref="Q492">MAX(IF((ProjectInfoTable[ProjectName]=ContinuousStatsTable[[#This Row],[ProjectName]]),(ProjectInfoTable[ProjectName]=ContinuousStatsTable[[#This Row],[ProjectName]])*ProjectInfoTable[ConfidenceInterval]))</f>
        <v>0.95</v>
      </c>
      <c r="R4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492" cm="1">
        <f t="array" ref="S492">MIN(IF((ContinuousStatsTable[GroupByKey]=ContinuousStatsTable[[#This Row],[GroupByKey]]),(ContinuousStatsTable[GroupByKey]=ContinuousStatsTable[[#This Row],[GroupByKey]])*ContinuousStatsTable[Average]))</f>
        <v>0.13640350877193</v>
      </c>
      <c r="T492" cm="1">
        <f t="array" ref="T492">MAX(IF((ContinuousStatsTable[GroupByKey]=ContinuousStatsTable[[#This Row],[GroupByKey]]),(ContinuousStatsTable[GroupByKey]=ContinuousStatsTable[[#This Row],[GroupByKey]])*ContinuousStatsTable[Average]))</f>
        <v>0.17362534234076099</v>
      </c>
      <c r="U492">
        <f>IF((ContinuousStatsTable[[#This Row],[RepsRequested]]&gt;1),ContinuousStatsTable[[#This Row],[HalfWidth]],ContinuousStatsTable[[#This Row],[BatchMeansHalfWidth]])</f>
        <v>3.5892705266493139E-3</v>
      </c>
    </row>
    <row r="493" spans="1:21" x14ac:dyDescent="0.2">
      <c r="A493" t="s">
        <v>67</v>
      </c>
      <c r="B493" t="s">
        <v>70</v>
      </c>
      <c r="C493">
        <v>21</v>
      </c>
      <c r="D493" t="s">
        <v>101</v>
      </c>
      <c r="E493" t="s">
        <v>97</v>
      </c>
      <c r="F493" t="s">
        <v>95</v>
      </c>
      <c r="G493">
        <v>80</v>
      </c>
      <c r="H493">
        <v>2E+20</v>
      </c>
      <c r="I493">
        <v>80</v>
      </c>
      <c r="J493">
        <v>80</v>
      </c>
      <c r="K493">
        <v>80</v>
      </c>
      <c r="L493">
        <v>0</v>
      </c>
      <c r="M493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493" cm="1">
        <f t="array" ref="N493">MAX(IF((ProjectInfoTable[ProjectName]=ContinuousStatsTable[[#This Row],[ProjectName]]),(ProjectInfoTable[ProjectName]=ContinuousStatsTable[[#This Row],[ProjectName]])*ProjectInfoTable[NumberOfReplications]))</f>
        <v>30</v>
      </c>
      <c r="O493" cm="1">
        <f t="array" ref="O493">IFERROR(AVERAGE(IF((ContinuousStatsTable[GroupByKey]=ContinuousStatsTable[[#This Row],[GroupByKey]]),(ContinuousStatsTable[GroupByKey]=ContinuousStatsTable[[#This Row],[GroupByKey]])*ContinuousStatsTable[Average])),0)</f>
        <v>80</v>
      </c>
      <c r="P493" cm="1">
        <f t="array" ref="P493">IFERROR(_xlfn.STDEV.S(IF((ContinuousStatsTable[GroupByKey]=ContinuousStatsTable[[#This Row],[GroupByKey]]),(ContinuousStatsTable[GroupByKey]=ContinuousStatsTable[[#This Row],[GroupByKey]])*ContinuousStatsTable[Average])),0)</f>
        <v>0</v>
      </c>
      <c r="Q493" cm="1">
        <f t="array" ref="Q493">MAX(IF((ProjectInfoTable[ProjectName]=ContinuousStatsTable[[#This Row],[ProjectName]]),(ProjectInfoTable[ProjectName]=ContinuousStatsTable[[#This Row],[ProjectName]])*ProjectInfoTable[ConfidenceInterval]))</f>
        <v>0.95</v>
      </c>
      <c r="R4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3" cm="1">
        <f t="array" ref="S493">MIN(IF((ContinuousStatsTable[GroupByKey]=ContinuousStatsTable[[#This Row],[GroupByKey]]),(ContinuousStatsTable[GroupByKey]=ContinuousStatsTable[[#This Row],[GroupByKey]])*ContinuousStatsTable[Average]))</f>
        <v>80</v>
      </c>
      <c r="T493" cm="1">
        <f t="array" ref="T493">MAX(IF((ContinuousStatsTable[GroupByKey]=ContinuousStatsTable[[#This Row],[GroupByKey]]),(ContinuousStatsTable[GroupByKey]=ContinuousStatsTable[[#This Row],[GroupByKey]])*ContinuousStatsTable[Average]))</f>
        <v>80</v>
      </c>
      <c r="U493">
        <f>IF((ContinuousStatsTable[[#This Row],[RepsRequested]]&gt;1),ContinuousStatsTable[[#This Row],[HalfWidth]],ContinuousStatsTable[[#This Row],[BatchMeansHalfWidth]])</f>
        <v>0</v>
      </c>
    </row>
    <row r="494" spans="1:21" x14ac:dyDescent="0.2">
      <c r="A494" t="s">
        <v>67</v>
      </c>
      <c r="B494" t="s">
        <v>70</v>
      </c>
      <c r="C494">
        <v>21</v>
      </c>
      <c r="D494" t="s">
        <v>86</v>
      </c>
      <c r="E494" t="s">
        <v>98</v>
      </c>
      <c r="F494" t="s">
        <v>73</v>
      </c>
      <c r="G494">
        <v>0</v>
      </c>
      <c r="H494">
        <v>2E+20</v>
      </c>
      <c r="I494">
        <v>0</v>
      </c>
      <c r="J494">
        <v>0</v>
      </c>
      <c r="K494">
        <v>0</v>
      </c>
      <c r="L494">
        <v>0</v>
      </c>
      <c r="M494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494" cm="1">
        <f t="array" ref="N494">MAX(IF((ProjectInfoTable[ProjectName]=ContinuousStatsTable[[#This Row],[ProjectName]]),(ProjectInfoTable[ProjectName]=ContinuousStatsTable[[#This Row],[ProjectName]])*ProjectInfoTable[NumberOfReplications]))</f>
        <v>30</v>
      </c>
      <c r="O494" cm="1">
        <f t="array" ref="O494">IFERROR(AVERAGE(IF((ContinuousStatsTable[GroupByKey]=ContinuousStatsTable[[#This Row],[GroupByKey]]),(ContinuousStatsTable[GroupByKey]=ContinuousStatsTable[[#This Row],[GroupByKey]])*ContinuousStatsTable[Average])),0)</f>
        <v>0</v>
      </c>
      <c r="P494" cm="1">
        <f t="array" ref="P494">IFERROR(_xlfn.STDEV.S(IF((ContinuousStatsTable[GroupByKey]=ContinuousStatsTable[[#This Row],[GroupByKey]]),(ContinuousStatsTable[GroupByKey]=ContinuousStatsTable[[#This Row],[GroupByKey]])*ContinuousStatsTable[Average])),0)</f>
        <v>0</v>
      </c>
      <c r="Q494" cm="1">
        <f t="array" ref="Q494">MAX(IF((ProjectInfoTable[ProjectName]=ContinuousStatsTable[[#This Row],[ProjectName]]),(ProjectInfoTable[ProjectName]=ContinuousStatsTable[[#This Row],[ProjectName]])*ProjectInfoTable[ConfidenceInterval]))</f>
        <v>0.95</v>
      </c>
      <c r="R4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4" cm="1">
        <f t="array" ref="S494">MIN(IF((ContinuousStatsTable[GroupByKey]=ContinuousStatsTable[[#This Row],[GroupByKey]]),(ContinuousStatsTable[GroupByKey]=ContinuousStatsTable[[#This Row],[GroupByKey]])*ContinuousStatsTable[Average]))</f>
        <v>0</v>
      </c>
      <c r="T494" cm="1">
        <f t="array" ref="T494">MAX(IF((ContinuousStatsTable[GroupByKey]=ContinuousStatsTable[[#This Row],[GroupByKey]]),(ContinuousStatsTable[GroupByKey]=ContinuousStatsTable[[#This Row],[GroupByKey]])*ContinuousStatsTable[Average]))</f>
        <v>0</v>
      </c>
      <c r="U494">
        <f>IF((ContinuousStatsTable[[#This Row],[RepsRequested]]&gt;1),ContinuousStatsTable[[#This Row],[HalfWidth]],ContinuousStatsTable[[#This Row],[BatchMeansHalfWidth]])</f>
        <v>0</v>
      </c>
    </row>
    <row r="495" spans="1:21" x14ac:dyDescent="0.2">
      <c r="A495" t="s">
        <v>67</v>
      </c>
      <c r="B495" t="s">
        <v>70</v>
      </c>
      <c r="C495">
        <v>21</v>
      </c>
      <c r="D495" t="s">
        <v>87</v>
      </c>
      <c r="E495" t="s">
        <v>98</v>
      </c>
      <c r="F495" t="s">
        <v>73</v>
      </c>
      <c r="G495">
        <v>0</v>
      </c>
      <c r="H495">
        <v>2E+20</v>
      </c>
      <c r="I495">
        <v>0</v>
      </c>
      <c r="J495">
        <v>0</v>
      </c>
      <c r="K495">
        <v>0</v>
      </c>
      <c r="L495">
        <v>0</v>
      </c>
      <c r="M495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495" cm="1">
        <f t="array" ref="N495">MAX(IF((ProjectInfoTable[ProjectName]=ContinuousStatsTable[[#This Row],[ProjectName]]),(ProjectInfoTable[ProjectName]=ContinuousStatsTable[[#This Row],[ProjectName]])*ProjectInfoTable[NumberOfReplications]))</f>
        <v>30</v>
      </c>
      <c r="O495" cm="1">
        <f t="array" ref="O495">IFERROR(AVERAGE(IF((ContinuousStatsTable[GroupByKey]=ContinuousStatsTable[[#This Row],[GroupByKey]]),(ContinuousStatsTable[GroupByKey]=ContinuousStatsTable[[#This Row],[GroupByKey]])*ContinuousStatsTable[Average])),0)</f>
        <v>0</v>
      </c>
      <c r="P495" cm="1">
        <f t="array" ref="P495">IFERROR(_xlfn.STDEV.S(IF((ContinuousStatsTable[GroupByKey]=ContinuousStatsTable[[#This Row],[GroupByKey]]),(ContinuousStatsTable[GroupByKey]=ContinuousStatsTable[[#This Row],[GroupByKey]])*ContinuousStatsTable[Average])),0)</f>
        <v>0</v>
      </c>
      <c r="Q495" cm="1">
        <f t="array" ref="Q495">MAX(IF((ProjectInfoTable[ProjectName]=ContinuousStatsTable[[#This Row],[ProjectName]]),(ProjectInfoTable[ProjectName]=ContinuousStatsTable[[#This Row],[ProjectName]])*ProjectInfoTable[ConfidenceInterval]))</f>
        <v>0.95</v>
      </c>
      <c r="R4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5" cm="1">
        <f t="array" ref="S495">MIN(IF((ContinuousStatsTable[GroupByKey]=ContinuousStatsTable[[#This Row],[GroupByKey]]),(ContinuousStatsTable[GroupByKey]=ContinuousStatsTable[[#This Row],[GroupByKey]])*ContinuousStatsTable[Average]))</f>
        <v>0</v>
      </c>
      <c r="T495" cm="1">
        <f t="array" ref="T495">MAX(IF((ContinuousStatsTable[GroupByKey]=ContinuousStatsTable[[#This Row],[GroupByKey]]),(ContinuousStatsTable[GroupByKey]=ContinuousStatsTable[[#This Row],[GroupByKey]])*ContinuousStatsTable[Average]))</f>
        <v>0</v>
      </c>
      <c r="U495">
        <f>IF((ContinuousStatsTable[[#This Row],[RepsRequested]]&gt;1),ContinuousStatsTable[[#This Row],[HalfWidth]],ContinuousStatsTable[[#This Row],[BatchMeansHalfWidth]])</f>
        <v>0</v>
      </c>
    </row>
    <row r="496" spans="1:21" x14ac:dyDescent="0.2">
      <c r="A496" t="s">
        <v>67</v>
      </c>
      <c r="B496" t="s">
        <v>70</v>
      </c>
      <c r="C496">
        <v>21</v>
      </c>
      <c r="D496" t="s">
        <v>88</v>
      </c>
      <c r="E496" t="s">
        <v>98</v>
      </c>
      <c r="F496" t="s">
        <v>73</v>
      </c>
      <c r="G496">
        <v>1.4406570196097499</v>
      </c>
      <c r="H496">
        <v>8.6822706509774306E-2</v>
      </c>
      <c r="I496">
        <v>0</v>
      </c>
      <c r="J496">
        <v>4</v>
      </c>
      <c r="K496">
        <v>0</v>
      </c>
      <c r="L496">
        <v>0</v>
      </c>
      <c r="M496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496" cm="1">
        <f t="array" ref="N496">MAX(IF((ProjectInfoTable[ProjectName]=ContinuousStatsTable[[#This Row],[ProjectName]]),(ProjectInfoTable[ProjectName]=ContinuousStatsTable[[#This Row],[ProjectName]])*ProjectInfoTable[NumberOfReplications]))</f>
        <v>30</v>
      </c>
      <c r="O496" cm="1">
        <f t="array" ref="O496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496" cm="1">
        <f t="array" ref="P496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496" cm="1">
        <f t="array" ref="Q496">MAX(IF((ProjectInfoTable[ProjectName]=ContinuousStatsTable[[#This Row],[ProjectName]]),(ProjectInfoTable[ProjectName]=ContinuousStatsTable[[#This Row],[ProjectName]])*ProjectInfoTable[ConfidenceInterval]))</f>
        <v>0.95</v>
      </c>
      <c r="R4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496" cm="1">
        <f t="array" ref="S496">MIN(IF((ContinuousStatsTable[GroupByKey]=ContinuousStatsTable[[#This Row],[GroupByKey]]),(ContinuousStatsTable[GroupByKey]=ContinuousStatsTable[[#This Row],[GroupByKey]])*ContinuousStatsTable[Average]))</f>
        <v>1.4062336911317099</v>
      </c>
      <c r="T496" cm="1">
        <f t="array" ref="T496">MAX(IF((ContinuousStatsTable[GroupByKey]=ContinuousStatsTable[[#This Row],[GroupByKey]]),(ContinuousStatsTable[GroupByKey]=ContinuousStatsTable[[#This Row],[GroupByKey]])*ContinuousStatsTable[Average]))</f>
        <v>1.5889769030929</v>
      </c>
      <c r="U496">
        <f>IF((ContinuousStatsTable[[#This Row],[RepsRequested]]&gt;1),ContinuousStatsTable[[#This Row],[HalfWidth]],ContinuousStatsTable[[#This Row],[BatchMeansHalfWidth]])</f>
        <v>1.602866983772662E-2</v>
      </c>
    </row>
    <row r="497" spans="1:21" x14ac:dyDescent="0.2">
      <c r="A497" t="s">
        <v>67</v>
      </c>
      <c r="B497" t="s">
        <v>70</v>
      </c>
      <c r="C497">
        <v>21</v>
      </c>
      <c r="D497" t="s">
        <v>102</v>
      </c>
      <c r="E497" t="s">
        <v>94</v>
      </c>
      <c r="F497" t="s">
        <v>95</v>
      </c>
      <c r="G497">
        <v>4.9561403508771897E-3</v>
      </c>
      <c r="H497">
        <v>6.9337218151033697E-4</v>
      </c>
      <c r="I497">
        <v>0</v>
      </c>
      <c r="J497">
        <v>0.15</v>
      </c>
      <c r="K497">
        <v>0</v>
      </c>
      <c r="L497">
        <v>0</v>
      </c>
      <c r="M497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497" cm="1">
        <f t="array" ref="N497">MAX(IF((ProjectInfoTable[ProjectName]=ContinuousStatsTable[[#This Row],[ProjectName]]),(ProjectInfoTable[ProjectName]=ContinuousStatsTable[[#This Row],[ProjectName]])*ProjectInfoTable[NumberOfReplications]))</f>
        <v>30</v>
      </c>
      <c r="O497" cm="1">
        <f t="array" ref="O497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497" cm="1">
        <f t="array" ref="P497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497" cm="1">
        <f t="array" ref="Q497">MAX(IF((ProjectInfoTable[ProjectName]=ContinuousStatsTable[[#This Row],[ProjectName]]),(ProjectInfoTable[ProjectName]=ContinuousStatsTable[[#This Row],[ProjectName]])*ProjectInfoTable[ConfidenceInterval]))</f>
        <v>0.95</v>
      </c>
      <c r="R4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497" cm="1">
        <f t="array" ref="S497">MIN(IF((ContinuousStatsTable[GroupByKey]=ContinuousStatsTable[[#This Row],[GroupByKey]]),(ContinuousStatsTable[GroupByKey]=ContinuousStatsTable[[#This Row],[GroupByKey]])*ContinuousStatsTable[Average]))</f>
        <v>4.4956140350877203E-3</v>
      </c>
      <c r="T497" cm="1">
        <f t="array" ref="T497">MAX(IF((ContinuousStatsTable[GroupByKey]=ContinuousStatsTable[[#This Row],[GroupByKey]]),(ContinuousStatsTable[GroupByKey]=ContinuousStatsTable[[#This Row],[GroupByKey]])*ContinuousStatsTable[Average]))</f>
        <v>5.5482456140350904E-3</v>
      </c>
      <c r="U497">
        <f>IF((ContinuousStatsTable[[#This Row],[RepsRequested]]&gt;1),ContinuousStatsTable[[#This Row],[HalfWidth]],ContinuousStatsTable[[#This Row],[BatchMeansHalfWidth]])</f>
        <v>1.0144486472958472E-4</v>
      </c>
    </row>
    <row r="498" spans="1:21" x14ac:dyDescent="0.2">
      <c r="A498" t="s">
        <v>67</v>
      </c>
      <c r="B498" t="s">
        <v>70</v>
      </c>
      <c r="C498">
        <v>21</v>
      </c>
      <c r="D498" t="s">
        <v>102</v>
      </c>
      <c r="E498" t="s">
        <v>96</v>
      </c>
      <c r="F498" t="s">
        <v>95</v>
      </c>
      <c r="G498">
        <v>9.9122807017543904E-2</v>
      </c>
      <c r="H498">
        <v>1.3867443630206699E-2</v>
      </c>
      <c r="I498">
        <v>0</v>
      </c>
      <c r="J498">
        <v>3</v>
      </c>
      <c r="K498">
        <v>0</v>
      </c>
      <c r="L498">
        <v>0</v>
      </c>
      <c r="M498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498" cm="1">
        <f t="array" ref="N498">MAX(IF((ProjectInfoTable[ProjectName]=ContinuousStatsTable[[#This Row],[ProjectName]]),(ProjectInfoTable[ProjectName]=ContinuousStatsTable[[#This Row],[ProjectName]])*ProjectInfoTable[NumberOfReplications]))</f>
        <v>30</v>
      </c>
      <c r="O498" cm="1">
        <f t="array" ref="O498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498" cm="1">
        <f t="array" ref="P498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498" cm="1">
        <f t="array" ref="Q498">MAX(IF((ProjectInfoTable[ProjectName]=ContinuousStatsTable[[#This Row],[ProjectName]]),(ProjectInfoTable[ProjectName]=ContinuousStatsTable[[#This Row],[ProjectName]])*ProjectInfoTable[ConfidenceInterval]))</f>
        <v>0.95</v>
      </c>
      <c r="R4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498" cm="1">
        <f t="array" ref="S498">MIN(IF((ContinuousStatsTable[GroupByKey]=ContinuousStatsTable[[#This Row],[GroupByKey]]),(ContinuousStatsTable[GroupByKey]=ContinuousStatsTable[[#This Row],[GroupByKey]])*ContinuousStatsTable[Average]))</f>
        <v>8.9912280701754305E-2</v>
      </c>
      <c r="T498" cm="1">
        <f t="array" ref="T498">MAX(IF((ContinuousStatsTable[GroupByKey]=ContinuousStatsTable[[#This Row],[GroupByKey]]),(ContinuousStatsTable[GroupByKey]=ContinuousStatsTable[[#This Row],[GroupByKey]])*ContinuousStatsTable[Average]))</f>
        <v>0.110964912280702</v>
      </c>
      <c r="U498">
        <f>IF((ContinuousStatsTable[[#This Row],[RepsRequested]]&gt;1),ContinuousStatsTable[[#This Row],[HalfWidth]],ContinuousStatsTable[[#This Row],[BatchMeansHalfWidth]])</f>
        <v>2.0288972945916956E-3</v>
      </c>
    </row>
    <row r="499" spans="1:21" x14ac:dyDescent="0.2">
      <c r="A499" t="s">
        <v>67</v>
      </c>
      <c r="B499" t="s">
        <v>70</v>
      </c>
      <c r="C499">
        <v>21</v>
      </c>
      <c r="D499" t="s">
        <v>102</v>
      </c>
      <c r="E499" t="s">
        <v>97</v>
      </c>
      <c r="F499" t="s">
        <v>95</v>
      </c>
      <c r="G499">
        <v>20</v>
      </c>
      <c r="H499">
        <v>2E+20</v>
      </c>
      <c r="I499">
        <v>20</v>
      </c>
      <c r="J499">
        <v>20</v>
      </c>
      <c r="K499">
        <v>20</v>
      </c>
      <c r="L499">
        <v>0</v>
      </c>
      <c r="M499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499" cm="1">
        <f t="array" ref="N499">MAX(IF((ProjectInfoTable[ProjectName]=ContinuousStatsTable[[#This Row],[ProjectName]]),(ProjectInfoTable[ProjectName]=ContinuousStatsTable[[#This Row],[ProjectName]])*ProjectInfoTable[NumberOfReplications]))</f>
        <v>30</v>
      </c>
      <c r="O499" cm="1">
        <f t="array" ref="O499">IFERROR(AVERAGE(IF((ContinuousStatsTable[GroupByKey]=ContinuousStatsTable[[#This Row],[GroupByKey]]),(ContinuousStatsTable[GroupByKey]=ContinuousStatsTable[[#This Row],[GroupByKey]])*ContinuousStatsTable[Average])),0)</f>
        <v>20</v>
      </c>
      <c r="P499" cm="1">
        <f t="array" ref="P499">IFERROR(_xlfn.STDEV.S(IF((ContinuousStatsTable[GroupByKey]=ContinuousStatsTable[[#This Row],[GroupByKey]]),(ContinuousStatsTable[GroupByKey]=ContinuousStatsTable[[#This Row],[GroupByKey]])*ContinuousStatsTable[Average])),0)</f>
        <v>0</v>
      </c>
      <c r="Q499" cm="1">
        <f t="array" ref="Q499">MAX(IF((ProjectInfoTable[ProjectName]=ContinuousStatsTable[[#This Row],[ProjectName]]),(ProjectInfoTable[ProjectName]=ContinuousStatsTable[[#This Row],[ProjectName]])*ProjectInfoTable[ConfidenceInterval]))</f>
        <v>0.95</v>
      </c>
      <c r="R4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99" cm="1">
        <f t="array" ref="S499">MIN(IF((ContinuousStatsTable[GroupByKey]=ContinuousStatsTable[[#This Row],[GroupByKey]]),(ContinuousStatsTable[GroupByKey]=ContinuousStatsTable[[#This Row],[GroupByKey]])*ContinuousStatsTable[Average]))</f>
        <v>20</v>
      </c>
      <c r="T499" cm="1">
        <f t="array" ref="T499">MAX(IF((ContinuousStatsTable[GroupByKey]=ContinuousStatsTable[[#This Row],[GroupByKey]]),(ContinuousStatsTable[GroupByKey]=ContinuousStatsTable[[#This Row],[GroupByKey]])*ContinuousStatsTable[Average]))</f>
        <v>20</v>
      </c>
      <c r="U499">
        <f>IF((ContinuousStatsTable[[#This Row],[RepsRequested]]&gt;1),ContinuousStatsTable[[#This Row],[HalfWidth]],ContinuousStatsTable[[#This Row],[BatchMeansHalfWidth]])</f>
        <v>0</v>
      </c>
    </row>
    <row r="500" spans="1:21" x14ac:dyDescent="0.2">
      <c r="A500" t="s">
        <v>67</v>
      </c>
      <c r="B500" t="s">
        <v>70</v>
      </c>
      <c r="C500">
        <v>21</v>
      </c>
      <c r="D500" t="s">
        <v>90</v>
      </c>
      <c r="E500" t="s">
        <v>98</v>
      </c>
      <c r="F500" t="s">
        <v>73</v>
      </c>
      <c r="G500">
        <v>0</v>
      </c>
      <c r="H500">
        <v>2E+20</v>
      </c>
      <c r="I500">
        <v>0</v>
      </c>
      <c r="J500">
        <v>0</v>
      </c>
      <c r="K500">
        <v>0</v>
      </c>
      <c r="L500">
        <v>0</v>
      </c>
      <c r="M500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500" cm="1">
        <f t="array" ref="N500">MAX(IF((ProjectInfoTable[ProjectName]=ContinuousStatsTable[[#This Row],[ProjectName]]),(ProjectInfoTable[ProjectName]=ContinuousStatsTable[[#This Row],[ProjectName]])*ProjectInfoTable[NumberOfReplications]))</f>
        <v>30</v>
      </c>
      <c r="O500" cm="1">
        <f t="array" ref="O500">IFERROR(AVERAGE(IF((ContinuousStatsTable[GroupByKey]=ContinuousStatsTable[[#This Row],[GroupByKey]]),(ContinuousStatsTable[GroupByKey]=ContinuousStatsTable[[#This Row],[GroupByKey]])*ContinuousStatsTable[Average])),0)</f>
        <v>0</v>
      </c>
      <c r="P500" cm="1">
        <f t="array" ref="P500">IFERROR(_xlfn.STDEV.S(IF((ContinuousStatsTable[GroupByKey]=ContinuousStatsTable[[#This Row],[GroupByKey]]),(ContinuousStatsTable[GroupByKey]=ContinuousStatsTable[[#This Row],[GroupByKey]])*ContinuousStatsTable[Average])),0)</f>
        <v>0</v>
      </c>
      <c r="Q500" cm="1">
        <f t="array" ref="Q500">MAX(IF((ProjectInfoTable[ProjectName]=ContinuousStatsTable[[#This Row],[ProjectName]]),(ProjectInfoTable[ProjectName]=ContinuousStatsTable[[#This Row],[ProjectName]])*ProjectInfoTable[ConfidenceInterval]))</f>
        <v>0.95</v>
      </c>
      <c r="R5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0" cm="1">
        <f t="array" ref="S500">MIN(IF((ContinuousStatsTable[GroupByKey]=ContinuousStatsTable[[#This Row],[GroupByKey]]),(ContinuousStatsTable[GroupByKey]=ContinuousStatsTable[[#This Row],[GroupByKey]])*ContinuousStatsTable[Average]))</f>
        <v>0</v>
      </c>
      <c r="T500" cm="1">
        <f t="array" ref="T500">MAX(IF((ContinuousStatsTable[GroupByKey]=ContinuousStatsTable[[#This Row],[GroupByKey]]),(ContinuousStatsTable[GroupByKey]=ContinuousStatsTable[[#This Row],[GroupByKey]])*ContinuousStatsTable[Average]))</f>
        <v>0</v>
      </c>
      <c r="U500">
        <f>IF((ContinuousStatsTable[[#This Row],[RepsRequested]]&gt;1),ContinuousStatsTable[[#This Row],[HalfWidth]],ContinuousStatsTable[[#This Row],[BatchMeansHalfWidth]])</f>
        <v>0</v>
      </c>
    </row>
    <row r="501" spans="1:21" x14ac:dyDescent="0.2">
      <c r="A501" t="s">
        <v>67</v>
      </c>
      <c r="B501" t="s">
        <v>70</v>
      </c>
      <c r="C501">
        <v>21</v>
      </c>
      <c r="D501" t="s">
        <v>91</v>
      </c>
      <c r="E501" t="s">
        <v>98</v>
      </c>
      <c r="F501" t="s">
        <v>73</v>
      </c>
      <c r="G501">
        <v>0</v>
      </c>
      <c r="H501">
        <v>2E+20</v>
      </c>
      <c r="I501">
        <v>0</v>
      </c>
      <c r="J501">
        <v>0</v>
      </c>
      <c r="K501">
        <v>0</v>
      </c>
      <c r="L501">
        <v>0</v>
      </c>
      <c r="M501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501" cm="1">
        <f t="array" ref="N501">MAX(IF((ProjectInfoTable[ProjectName]=ContinuousStatsTable[[#This Row],[ProjectName]]),(ProjectInfoTable[ProjectName]=ContinuousStatsTable[[#This Row],[ProjectName]])*ProjectInfoTable[NumberOfReplications]))</f>
        <v>30</v>
      </c>
      <c r="O501" cm="1">
        <f t="array" ref="O501">IFERROR(AVERAGE(IF((ContinuousStatsTable[GroupByKey]=ContinuousStatsTable[[#This Row],[GroupByKey]]),(ContinuousStatsTable[GroupByKey]=ContinuousStatsTable[[#This Row],[GroupByKey]])*ContinuousStatsTable[Average])),0)</f>
        <v>0</v>
      </c>
      <c r="P501" cm="1">
        <f t="array" ref="P501">IFERROR(_xlfn.STDEV.S(IF((ContinuousStatsTable[GroupByKey]=ContinuousStatsTable[[#This Row],[GroupByKey]]),(ContinuousStatsTable[GroupByKey]=ContinuousStatsTable[[#This Row],[GroupByKey]])*ContinuousStatsTable[Average])),0)</f>
        <v>0</v>
      </c>
      <c r="Q501" cm="1">
        <f t="array" ref="Q501">MAX(IF((ProjectInfoTable[ProjectName]=ContinuousStatsTable[[#This Row],[ProjectName]]),(ProjectInfoTable[ProjectName]=ContinuousStatsTable[[#This Row],[ProjectName]])*ProjectInfoTable[ConfidenceInterval]))</f>
        <v>0.95</v>
      </c>
      <c r="R5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1" cm="1">
        <f t="array" ref="S501">MIN(IF((ContinuousStatsTable[GroupByKey]=ContinuousStatsTable[[#This Row],[GroupByKey]]),(ContinuousStatsTable[GroupByKey]=ContinuousStatsTable[[#This Row],[GroupByKey]])*ContinuousStatsTable[Average]))</f>
        <v>0</v>
      </c>
      <c r="T501" cm="1">
        <f t="array" ref="T501">MAX(IF((ContinuousStatsTable[GroupByKey]=ContinuousStatsTable[[#This Row],[GroupByKey]]),(ContinuousStatsTable[GroupByKey]=ContinuousStatsTable[[#This Row],[GroupByKey]])*ContinuousStatsTable[Average]))</f>
        <v>0</v>
      </c>
      <c r="U501">
        <f>IF((ContinuousStatsTable[[#This Row],[RepsRequested]]&gt;1),ContinuousStatsTable[[#This Row],[HalfWidth]],ContinuousStatsTable[[#This Row],[BatchMeansHalfWidth]])</f>
        <v>0</v>
      </c>
    </row>
    <row r="502" spans="1:21" x14ac:dyDescent="0.2">
      <c r="A502" t="s">
        <v>67</v>
      </c>
      <c r="B502" t="s">
        <v>70</v>
      </c>
      <c r="C502">
        <v>21</v>
      </c>
      <c r="D502" t="s">
        <v>92</v>
      </c>
      <c r="E502" t="s">
        <v>98</v>
      </c>
      <c r="F502" t="s">
        <v>73</v>
      </c>
      <c r="G502">
        <v>0</v>
      </c>
      <c r="H502">
        <v>2E+20</v>
      </c>
      <c r="I502">
        <v>0</v>
      </c>
      <c r="J502">
        <v>0</v>
      </c>
      <c r="K502">
        <v>0</v>
      </c>
      <c r="L502">
        <v>0</v>
      </c>
      <c r="M502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502" cm="1">
        <f t="array" ref="N502">MAX(IF((ProjectInfoTable[ProjectName]=ContinuousStatsTable[[#This Row],[ProjectName]]),(ProjectInfoTable[ProjectName]=ContinuousStatsTable[[#This Row],[ProjectName]])*ProjectInfoTable[NumberOfReplications]))</f>
        <v>30</v>
      </c>
      <c r="O502" cm="1">
        <f t="array" ref="O502">IFERROR(AVERAGE(IF((ContinuousStatsTable[GroupByKey]=ContinuousStatsTable[[#This Row],[GroupByKey]]),(ContinuousStatsTable[GroupByKey]=ContinuousStatsTable[[#This Row],[GroupByKey]])*ContinuousStatsTable[Average])),0)</f>
        <v>0</v>
      </c>
      <c r="P502" cm="1">
        <f t="array" ref="P502">IFERROR(_xlfn.STDEV.S(IF((ContinuousStatsTable[GroupByKey]=ContinuousStatsTable[[#This Row],[GroupByKey]]),(ContinuousStatsTable[GroupByKey]=ContinuousStatsTable[[#This Row],[GroupByKey]])*ContinuousStatsTable[Average])),0)</f>
        <v>0</v>
      </c>
      <c r="Q502" cm="1">
        <f t="array" ref="Q502">MAX(IF((ProjectInfoTable[ProjectName]=ContinuousStatsTable[[#This Row],[ProjectName]]),(ProjectInfoTable[ProjectName]=ContinuousStatsTable[[#This Row],[ProjectName]])*ProjectInfoTable[ConfidenceInterval]))</f>
        <v>0.95</v>
      </c>
      <c r="R5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2" cm="1">
        <f t="array" ref="S502">MIN(IF((ContinuousStatsTable[GroupByKey]=ContinuousStatsTable[[#This Row],[GroupByKey]]),(ContinuousStatsTable[GroupByKey]=ContinuousStatsTable[[#This Row],[GroupByKey]])*ContinuousStatsTable[Average]))</f>
        <v>0</v>
      </c>
      <c r="T502" cm="1">
        <f t="array" ref="T502">MAX(IF((ContinuousStatsTable[GroupByKey]=ContinuousStatsTable[[#This Row],[GroupByKey]]),(ContinuousStatsTable[GroupByKey]=ContinuousStatsTable[[#This Row],[GroupByKey]])*ContinuousStatsTable[Average]))</f>
        <v>0</v>
      </c>
      <c r="U502">
        <f>IF((ContinuousStatsTable[[#This Row],[RepsRequested]]&gt;1),ContinuousStatsTable[[#This Row],[HalfWidth]],ContinuousStatsTable[[#This Row],[BatchMeansHalfWidth]])</f>
        <v>0</v>
      </c>
    </row>
    <row r="503" spans="1:21" x14ac:dyDescent="0.2">
      <c r="A503" t="s">
        <v>67</v>
      </c>
      <c r="B503" t="s">
        <v>70</v>
      </c>
      <c r="C503">
        <v>21</v>
      </c>
      <c r="D503" t="s">
        <v>103</v>
      </c>
      <c r="E503" t="s">
        <v>94</v>
      </c>
      <c r="F503" t="s">
        <v>95</v>
      </c>
      <c r="G503">
        <v>8.3367628800741805E-2</v>
      </c>
      <c r="H503">
        <v>2E+20</v>
      </c>
      <c r="I503">
        <v>0</v>
      </c>
      <c r="J503">
        <v>0.66666666666666696</v>
      </c>
      <c r="K503">
        <v>0</v>
      </c>
      <c r="L503">
        <v>0</v>
      </c>
      <c r="M503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503" cm="1">
        <f t="array" ref="N503">MAX(IF((ProjectInfoTable[ProjectName]=ContinuousStatsTable[[#This Row],[ProjectName]]),(ProjectInfoTable[ProjectName]=ContinuousStatsTable[[#This Row],[ProjectName]])*ProjectInfoTable[NumberOfReplications]))</f>
        <v>30</v>
      </c>
      <c r="O503" cm="1">
        <f t="array" ref="O503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503" cm="1">
        <f t="array" ref="P503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503" cm="1">
        <f t="array" ref="Q503">MAX(IF((ProjectInfoTable[ProjectName]=ContinuousStatsTable[[#This Row],[ProjectName]]),(ProjectInfoTable[ProjectName]=ContinuousStatsTable[[#This Row],[ProjectName]])*ProjectInfoTable[ConfidenceInterval]))</f>
        <v>0.95</v>
      </c>
      <c r="R5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503" cm="1">
        <f t="array" ref="S503">MIN(IF((ContinuousStatsTable[GroupByKey]=ContinuousStatsTable[[#This Row],[GroupByKey]]),(ContinuousStatsTable[GroupByKey]=ContinuousStatsTable[[#This Row],[GroupByKey]])*ContinuousStatsTable[Average]))</f>
        <v>7.7176470357846902E-2</v>
      </c>
      <c r="T503" cm="1">
        <f t="array" ref="T503">MAX(IF((ContinuousStatsTable[GroupByKey]=ContinuousStatsTable[[#This Row],[GroupByKey]]),(ContinuousStatsTable[GroupByKey]=ContinuousStatsTable[[#This Row],[GroupByKey]])*ContinuousStatsTable[Average]))</f>
        <v>9.2534326714405896E-2</v>
      </c>
      <c r="U503">
        <f>IF((ContinuousStatsTable[[#This Row],[RepsRequested]]&gt;1),ContinuousStatsTable[[#This Row],[HalfWidth]],ContinuousStatsTable[[#This Row],[BatchMeansHalfWidth]])</f>
        <v>1.3238327186697659E-3</v>
      </c>
    </row>
    <row r="504" spans="1:21" x14ac:dyDescent="0.2">
      <c r="A504" t="s">
        <v>67</v>
      </c>
      <c r="B504" t="s">
        <v>70</v>
      </c>
      <c r="C504">
        <v>21</v>
      </c>
      <c r="D504" t="s">
        <v>103</v>
      </c>
      <c r="E504" t="s">
        <v>96</v>
      </c>
      <c r="F504" t="s">
        <v>95</v>
      </c>
      <c r="G504">
        <v>0.250102886402225</v>
      </c>
      <c r="H504">
        <v>2E+20</v>
      </c>
      <c r="I504">
        <v>0</v>
      </c>
      <c r="J504">
        <v>2</v>
      </c>
      <c r="K504">
        <v>0</v>
      </c>
      <c r="L504">
        <v>0</v>
      </c>
      <c r="M504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504" cm="1">
        <f t="array" ref="N504">MAX(IF((ProjectInfoTable[ProjectName]=ContinuousStatsTable[[#This Row],[ProjectName]]),(ProjectInfoTable[ProjectName]=ContinuousStatsTable[[#This Row],[ProjectName]])*ProjectInfoTable[NumberOfReplications]))</f>
        <v>30</v>
      </c>
      <c r="O504" cm="1">
        <f t="array" ref="O504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504" cm="1">
        <f t="array" ref="P504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504" cm="1">
        <f t="array" ref="Q504">MAX(IF((ProjectInfoTable[ProjectName]=ContinuousStatsTable[[#This Row],[ProjectName]]),(ProjectInfoTable[ProjectName]=ContinuousStatsTable[[#This Row],[ProjectName]])*ProjectInfoTable[ConfidenceInterval]))</f>
        <v>0.95</v>
      </c>
      <c r="R5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504" cm="1">
        <f t="array" ref="S504">MIN(IF((ContinuousStatsTable[GroupByKey]=ContinuousStatsTable[[#This Row],[GroupByKey]]),(ContinuousStatsTable[GroupByKey]=ContinuousStatsTable[[#This Row],[GroupByKey]])*ContinuousStatsTable[Average]))</f>
        <v>0.231529411073541</v>
      </c>
      <c r="T504" cm="1">
        <f t="array" ref="T504">MAX(IF((ContinuousStatsTable[GroupByKey]=ContinuousStatsTable[[#This Row],[GroupByKey]]),(ContinuousStatsTable[GroupByKey]=ContinuousStatsTable[[#This Row],[GroupByKey]])*ContinuousStatsTable[Average]))</f>
        <v>0.27760298014321699</v>
      </c>
      <c r="U504">
        <f>IF((ContinuousStatsTable[[#This Row],[RepsRequested]]&gt;1),ContinuousStatsTable[[#This Row],[HalfWidth]],ContinuousStatsTable[[#This Row],[BatchMeansHalfWidth]])</f>
        <v>3.9714981560092996E-3</v>
      </c>
    </row>
    <row r="505" spans="1:21" x14ac:dyDescent="0.2">
      <c r="A505" t="s">
        <v>67</v>
      </c>
      <c r="B505" t="s">
        <v>70</v>
      </c>
      <c r="C505">
        <v>21</v>
      </c>
      <c r="D505" t="s">
        <v>103</v>
      </c>
      <c r="E505" t="s">
        <v>97</v>
      </c>
      <c r="F505" t="s">
        <v>95</v>
      </c>
      <c r="G505">
        <v>3</v>
      </c>
      <c r="H505">
        <v>2E+20</v>
      </c>
      <c r="I505">
        <v>3</v>
      </c>
      <c r="J505">
        <v>3</v>
      </c>
      <c r="K505">
        <v>3</v>
      </c>
      <c r="L505">
        <v>0</v>
      </c>
      <c r="M505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505" cm="1">
        <f t="array" ref="N505">MAX(IF((ProjectInfoTable[ProjectName]=ContinuousStatsTable[[#This Row],[ProjectName]]),(ProjectInfoTable[ProjectName]=ContinuousStatsTable[[#This Row],[ProjectName]])*ProjectInfoTable[NumberOfReplications]))</f>
        <v>30</v>
      </c>
      <c r="O505" cm="1">
        <f t="array" ref="O505">IFERROR(AVERAGE(IF((ContinuousStatsTable[GroupByKey]=ContinuousStatsTable[[#This Row],[GroupByKey]]),(ContinuousStatsTable[GroupByKey]=ContinuousStatsTable[[#This Row],[GroupByKey]])*ContinuousStatsTable[Average])),0)</f>
        <v>3</v>
      </c>
      <c r="P505" cm="1">
        <f t="array" ref="P505">IFERROR(_xlfn.STDEV.S(IF((ContinuousStatsTable[GroupByKey]=ContinuousStatsTable[[#This Row],[GroupByKey]]),(ContinuousStatsTable[GroupByKey]=ContinuousStatsTable[[#This Row],[GroupByKey]])*ContinuousStatsTable[Average])),0)</f>
        <v>0</v>
      </c>
      <c r="Q505" cm="1">
        <f t="array" ref="Q505">MAX(IF((ProjectInfoTable[ProjectName]=ContinuousStatsTable[[#This Row],[ProjectName]]),(ProjectInfoTable[ProjectName]=ContinuousStatsTable[[#This Row],[ProjectName]])*ProjectInfoTable[ConfidenceInterval]))</f>
        <v>0.95</v>
      </c>
      <c r="R5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5" cm="1">
        <f t="array" ref="S505">MIN(IF((ContinuousStatsTable[GroupByKey]=ContinuousStatsTable[[#This Row],[GroupByKey]]),(ContinuousStatsTable[GroupByKey]=ContinuousStatsTable[[#This Row],[GroupByKey]])*ContinuousStatsTable[Average]))</f>
        <v>3</v>
      </c>
      <c r="T505" cm="1">
        <f t="array" ref="T505">MAX(IF((ContinuousStatsTable[GroupByKey]=ContinuousStatsTable[[#This Row],[GroupByKey]]),(ContinuousStatsTable[GroupByKey]=ContinuousStatsTable[[#This Row],[GroupByKey]])*ContinuousStatsTable[Average]))</f>
        <v>3</v>
      </c>
      <c r="U505">
        <f>IF((ContinuousStatsTable[[#This Row],[RepsRequested]]&gt;1),ContinuousStatsTable[[#This Row],[HalfWidth]],ContinuousStatsTable[[#This Row],[BatchMeansHalfWidth]])</f>
        <v>0</v>
      </c>
    </row>
    <row r="506" spans="1:21" x14ac:dyDescent="0.2">
      <c r="A506" t="s">
        <v>67</v>
      </c>
      <c r="B506" t="s">
        <v>70</v>
      </c>
      <c r="C506">
        <v>22</v>
      </c>
      <c r="D506" t="s">
        <v>93</v>
      </c>
      <c r="E506" t="s">
        <v>94</v>
      </c>
      <c r="F506" t="s">
        <v>95</v>
      </c>
      <c r="G506">
        <v>0.24775984932317899</v>
      </c>
      <c r="H506">
        <v>2.2606379284075599E-2</v>
      </c>
      <c r="I506">
        <v>0</v>
      </c>
      <c r="J506">
        <v>1</v>
      </c>
      <c r="K506">
        <v>0</v>
      </c>
      <c r="L506">
        <v>0</v>
      </c>
      <c r="M506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506" cm="1">
        <f t="array" ref="N506">MAX(IF((ProjectInfoTable[ProjectName]=ContinuousStatsTable[[#This Row],[ProjectName]]),(ProjectInfoTable[ProjectName]=ContinuousStatsTable[[#This Row],[ProjectName]])*ProjectInfoTable[NumberOfReplications]))</f>
        <v>30</v>
      </c>
      <c r="O506" cm="1">
        <f t="array" ref="O506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506" cm="1">
        <f t="array" ref="P506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506" cm="1">
        <f t="array" ref="Q506">MAX(IF((ProjectInfoTable[ProjectName]=ContinuousStatsTable[[#This Row],[ProjectName]]),(ProjectInfoTable[ProjectName]=ContinuousStatsTable[[#This Row],[ProjectName]])*ProjectInfoTable[ConfidenceInterval]))</f>
        <v>0.95</v>
      </c>
      <c r="R5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506" cm="1">
        <f t="array" ref="S506">MIN(IF((ContinuousStatsTable[GroupByKey]=ContinuousStatsTable[[#This Row],[GroupByKey]]),(ContinuousStatsTable[GroupByKey]=ContinuousStatsTable[[#This Row],[GroupByKey]])*ContinuousStatsTable[Average]))</f>
        <v>0.233333333333333</v>
      </c>
      <c r="T506" cm="1">
        <f t="array" ref="T506">MAX(IF((ContinuousStatsTable[GroupByKey]=ContinuousStatsTable[[#This Row],[GroupByKey]]),(ContinuousStatsTable[GroupByKey]=ContinuousStatsTable[[#This Row],[GroupByKey]])*ContinuousStatsTable[Average]))</f>
        <v>0.27905535859326402</v>
      </c>
      <c r="U506">
        <f>IF((ContinuousStatsTable[[#This Row],[RepsRequested]]&gt;1),ContinuousStatsTable[[#This Row],[HalfWidth]],ContinuousStatsTable[[#This Row],[BatchMeansHalfWidth]])</f>
        <v>4.2029769261323026E-3</v>
      </c>
    </row>
    <row r="507" spans="1:21" x14ac:dyDescent="0.2">
      <c r="A507" t="s">
        <v>67</v>
      </c>
      <c r="B507" t="s">
        <v>70</v>
      </c>
      <c r="C507">
        <v>22</v>
      </c>
      <c r="D507" t="s">
        <v>93</v>
      </c>
      <c r="E507" t="s">
        <v>96</v>
      </c>
      <c r="F507" t="s">
        <v>95</v>
      </c>
      <c r="G507">
        <v>0.24775984932317899</v>
      </c>
      <c r="H507">
        <v>2.2606379284075599E-2</v>
      </c>
      <c r="I507">
        <v>0</v>
      </c>
      <c r="J507">
        <v>1</v>
      </c>
      <c r="K507">
        <v>0</v>
      </c>
      <c r="L507">
        <v>0</v>
      </c>
      <c r="M507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507" cm="1">
        <f t="array" ref="N507">MAX(IF((ProjectInfoTable[ProjectName]=ContinuousStatsTable[[#This Row],[ProjectName]]),(ProjectInfoTable[ProjectName]=ContinuousStatsTable[[#This Row],[ProjectName]])*ProjectInfoTable[NumberOfReplications]))</f>
        <v>30</v>
      </c>
      <c r="O507" cm="1">
        <f t="array" ref="O507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507" cm="1">
        <f t="array" ref="P507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507" cm="1">
        <f t="array" ref="Q507">MAX(IF((ProjectInfoTable[ProjectName]=ContinuousStatsTable[[#This Row],[ProjectName]]),(ProjectInfoTable[ProjectName]=ContinuousStatsTable[[#This Row],[ProjectName]])*ProjectInfoTable[ConfidenceInterval]))</f>
        <v>0.95</v>
      </c>
      <c r="R5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507" cm="1">
        <f t="array" ref="S507">MIN(IF((ContinuousStatsTable[GroupByKey]=ContinuousStatsTable[[#This Row],[GroupByKey]]),(ContinuousStatsTable[GroupByKey]=ContinuousStatsTable[[#This Row],[GroupByKey]])*ContinuousStatsTable[Average]))</f>
        <v>0.233333333333333</v>
      </c>
      <c r="T507" cm="1">
        <f t="array" ref="T507">MAX(IF((ContinuousStatsTable[GroupByKey]=ContinuousStatsTable[[#This Row],[GroupByKey]]),(ContinuousStatsTable[GroupByKey]=ContinuousStatsTable[[#This Row],[GroupByKey]])*ContinuousStatsTable[Average]))</f>
        <v>0.27905535859326402</v>
      </c>
      <c r="U507">
        <f>IF((ContinuousStatsTable[[#This Row],[RepsRequested]]&gt;1),ContinuousStatsTable[[#This Row],[HalfWidth]],ContinuousStatsTable[[#This Row],[BatchMeansHalfWidth]])</f>
        <v>4.2029769261323026E-3</v>
      </c>
    </row>
    <row r="508" spans="1:21" x14ac:dyDescent="0.2">
      <c r="A508" t="s">
        <v>67</v>
      </c>
      <c r="B508" t="s">
        <v>70</v>
      </c>
      <c r="C508">
        <v>22</v>
      </c>
      <c r="D508" t="s">
        <v>93</v>
      </c>
      <c r="E508" t="s">
        <v>97</v>
      </c>
      <c r="F508" t="s">
        <v>95</v>
      </c>
      <c r="G508">
        <v>1</v>
      </c>
      <c r="H508">
        <v>2E+20</v>
      </c>
      <c r="I508">
        <v>1</v>
      </c>
      <c r="J508">
        <v>1</v>
      </c>
      <c r="K508">
        <v>1</v>
      </c>
      <c r="L508">
        <v>0</v>
      </c>
      <c r="M508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508" cm="1">
        <f t="array" ref="N508">MAX(IF((ProjectInfoTable[ProjectName]=ContinuousStatsTable[[#This Row],[ProjectName]]),(ProjectInfoTable[ProjectName]=ContinuousStatsTable[[#This Row],[ProjectName]])*ProjectInfoTable[NumberOfReplications]))</f>
        <v>30</v>
      </c>
      <c r="O508" cm="1">
        <f t="array" ref="O508">IFERROR(AVERAGE(IF((ContinuousStatsTable[GroupByKey]=ContinuousStatsTable[[#This Row],[GroupByKey]]),(ContinuousStatsTable[GroupByKey]=ContinuousStatsTable[[#This Row],[GroupByKey]])*ContinuousStatsTable[Average])),0)</f>
        <v>1</v>
      </c>
      <c r="P508" cm="1">
        <f t="array" ref="P508">IFERROR(_xlfn.STDEV.S(IF((ContinuousStatsTable[GroupByKey]=ContinuousStatsTable[[#This Row],[GroupByKey]]),(ContinuousStatsTable[GroupByKey]=ContinuousStatsTable[[#This Row],[GroupByKey]])*ContinuousStatsTable[Average])),0)</f>
        <v>0</v>
      </c>
      <c r="Q508" cm="1">
        <f t="array" ref="Q508">MAX(IF((ProjectInfoTable[ProjectName]=ContinuousStatsTable[[#This Row],[ProjectName]]),(ProjectInfoTable[ProjectName]=ContinuousStatsTable[[#This Row],[ProjectName]])*ProjectInfoTable[ConfidenceInterval]))</f>
        <v>0.95</v>
      </c>
      <c r="R5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8" cm="1">
        <f t="array" ref="S508">MIN(IF((ContinuousStatsTable[GroupByKey]=ContinuousStatsTable[[#This Row],[GroupByKey]]),(ContinuousStatsTable[GroupByKey]=ContinuousStatsTable[[#This Row],[GroupByKey]])*ContinuousStatsTable[Average]))</f>
        <v>1</v>
      </c>
      <c r="T508" cm="1">
        <f t="array" ref="T508">MAX(IF((ContinuousStatsTable[GroupByKey]=ContinuousStatsTable[[#This Row],[GroupByKey]]),(ContinuousStatsTable[GroupByKey]=ContinuousStatsTable[[#This Row],[GroupByKey]])*ContinuousStatsTable[Average]))</f>
        <v>1</v>
      </c>
      <c r="U508">
        <f>IF((ContinuousStatsTable[[#This Row],[RepsRequested]]&gt;1),ContinuousStatsTable[[#This Row],[HalfWidth]],ContinuousStatsTable[[#This Row],[BatchMeansHalfWidth]])</f>
        <v>0</v>
      </c>
    </row>
    <row r="509" spans="1:21" x14ac:dyDescent="0.2">
      <c r="A509" t="s">
        <v>67</v>
      </c>
      <c r="B509" t="s">
        <v>70</v>
      </c>
      <c r="C509">
        <v>22</v>
      </c>
      <c r="D509" t="s">
        <v>71</v>
      </c>
      <c r="E509" t="s">
        <v>98</v>
      </c>
      <c r="F509" t="s">
        <v>73</v>
      </c>
      <c r="G509">
        <v>2.2770923801111401E-2</v>
      </c>
      <c r="H509">
        <v>2E+20</v>
      </c>
      <c r="I509">
        <v>0</v>
      </c>
      <c r="J509">
        <v>2</v>
      </c>
      <c r="K509">
        <v>0</v>
      </c>
      <c r="L509">
        <v>0</v>
      </c>
      <c r="M509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509" cm="1">
        <f t="array" ref="N509">MAX(IF((ProjectInfoTable[ProjectName]=ContinuousStatsTable[[#This Row],[ProjectName]]),(ProjectInfoTable[ProjectName]=ContinuousStatsTable[[#This Row],[ProjectName]])*ProjectInfoTable[NumberOfReplications]))</f>
        <v>30</v>
      </c>
      <c r="O509" cm="1">
        <f t="array" ref="O509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509" cm="1">
        <f t="array" ref="P509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509" cm="1">
        <f t="array" ref="Q509">MAX(IF((ProjectInfoTable[ProjectName]=ContinuousStatsTable[[#This Row],[ProjectName]]),(ProjectInfoTable[ProjectName]=ContinuousStatsTable[[#This Row],[ProjectName]])*ProjectInfoTable[ConfidenceInterval]))</f>
        <v>0.95</v>
      </c>
      <c r="R5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509" cm="1">
        <f t="array" ref="S509">MIN(IF((ContinuousStatsTable[GroupByKey]=ContinuousStatsTable[[#This Row],[GroupByKey]]),(ContinuousStatsTable[GroupByKey]=ContinuousStatsTable[[#This Row],[GroupByKey]])*ContinuousStatsTable[Average]))</f>
        <v>1.9664517785186901E-2</v>
      </c>
      <c r="T509" cm="1">
        <f t="array" ref="T509">MAX(IF((ContinuousStatsTable[GroupByKey]=ContinuousStatsTable[[#This Row],[GroupByKey]]),(ContinuousStatsTable[GroupByKey]=ContinuousStatsTable[[#This Row],[GroupByKey]])*ContinuousStatsTable[Average]))</f>
        <v>3.9738966906982302E-2</v>
      </c>
      <c r="U509">
        <f>IF((ContinuousStatsTable[[#This Row],[RepsRequested]]&gt;1),ContinuousStatsTable[[#This Row],[HalfWidth]],ContinuousStatsTable[[#This Row],[BatchMeansHalfWidth]])</f>
        <v>1.6627262085570247E-3</v>
      </c>
    </row>
    <row r="510" spans="1:21" x14ac:dyDescent="0.2">
      <c r="A510" t="s">
        <v>67</v>
      </c>
      <c r="B510" t="s">
        <v>70</v>
      </c>
      <c r="C510">
        <v>22</v>
      </c>
      <c r="D510" t="s">
        <v>99</v>
      </c>
      <c r="E510" t="s">
        <v>94</v>
      </c>
      <c r="F510" t="s">
        <v>95</v>
      </c>
      <c r="G510">
        <v>0.63586510528108597</v>
      </c>
      <c r="H510">
        <v>2E+20</v>
      </c>
      <c r="I510">
        <v>0</v>
      </c>
      <c r="J510">
        <v>1</v>
      </c>
      <c r="K510">
        <v>0</v>
      </c>
      <c r="L510">
        <v>0</v>
      </c>
      <c r="M510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510" cm="1">
        <f t="array" ref="N510">MAX(IF((ProjectInfoTable[ProjectName]=ContinuousStatsTable[[#This Row],[ProjectName]]),(ProjectInfoTable[ProjectName]=ContinuousStatsTable[[#This Row],[ProjectName]])*ProjectInfoTable[NumberOfReplications]))</f>
        <v>30</v>
      </c>
      <c r="O510" cm="1">
        <f t="array" ref="O510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510" cm="1">
        <f t="array" ref="P510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510" cm="1">
        <f t="array" ref="Q510">MAX(IF((ProjectInfoTable[ProjectName]=ContinuousStatsTable[[#This Row],[ProjectName]]),(ProjectInfoTable[ProjectName]=ContinuousStatsTable[[#This Row],[ProjectName]])*ProjectInfoTable[ConfidenceInterval]))</f>
        <v>0.95</v>
      </c>
      <c r="R5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510" cm="1">
        <f t="array" ref="S510">MIN(IF((ContinuousStatsTable[GroupByKey]=ContinuousStatsTable[[#This Row],[GroupByKey]]),(ContinuousStatsTable[GroupByKey]=ContinuousStatsTable[[#This Row],[GroupByKey]])*ContinuousStatsTable[Average]))</f>
        <v>0.58256422876290004</v>
      </c>
      <c r="T510" cm="1">
        <f t="array" ref="T510">MAX(IF((ContinuousStatsTable[GroupByKey]=ContinuousStatsTable[[#This Row],[GroupByKey]]),(ContinuousStatsTable[GroupByKey]=ContinuousStatsTable[[#This Row],[GroupByKey]])*ContinuousStatsTable[Average]))</f>
        <v>0.68643238055161704</v>
      </c>
      <c r="U510">
        <f>IF((ContinuousStatsTable[[#This Row],[RepsRequested]]&gt;1),ContinuousStatsTable[[#This Row],[HalfWidth]],ContinuousStatsTable[[#This Row],[BatchMeansHalfWidth]])</f>
        <v>9.8490003000806757E-3</v>
      </c>
    </row>
    <row r="511" spans="1:21" x14ac:dyDescent="0.2">
      <c r="A511" t="s">
        <v>67</v>
      </c>
      <c r="B511" t="s">
        <v>70</v>
      </c>
      <c r="C511">
        <v>22</v>
      </c>
      <c r="D511" t="s">
        <v>99</v>
      </c>
      <c r="E511" t="s">
        <v>96</v>
      </c>
      <c r="F511" t="s">
        <v>95</v>
      </c>
      <c r="G511">
        <v>1.2717302105621699</v>
      </c>
      <c r="H511">
        <v>2E+20</v>
      </c>
      <c r="I511">
        <v>0</v>
      </c>
      <c r="J511">
        <v>2</v>
      </c>
      <c r="K511">
        <v>0</v>
      </c>
      <c r="L511">
        <v>0</v>
      </c>
      <c r="M511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511" cm="1">
        <f t="array" ref="N511">MAX(IF((ProjectInfoTable[ProjectName]=ContinuousStatsTable[[#This Row],[ProjectName]]),(ProjectInfoTable[ProjectName]=ContinuousStatsTable[[#This Row],[ProjectName]])*ProjectInfoTable[NumberOfReplications]))</f>
        <v>30</v>
      </c>
      <c r="O511" cm="1">
        <f t="array" ref="O511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511" cm="1">
        <f t="array" ref="P511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511" cm="1">
        <f t="array" ref="Q511">MAX(IF((ProjectInfoTable[ProjectName]=ContinuousStatsTable[[#This Row],[ProjectName]]),(ProjectInfoTable[ProjectName]=ContinuousStatsTable[[#This Row],[ProjectName]])*ProjectInfoTable[ConfidenceInterval]))</f>
        <v>0.95</v>
      </c>
      <c r="R5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511" cm="1">
        <f t="array" ref="S511">MIN(IF((ContinuousStatsTable[GroupByKey]=ContinuousStatsTable[[#This Row],[GroupByKey]]),(ContinuousStatsTable[GroupByKey]=ContinuousStatsTable[[#This Row],[GroupByKey]])*ContinuousStatsTable[Average]))</f>
        <v>1.1651284575258001</v>
      </c>
      <c r="T511" cm="1">
        <f t="array" ref="T511">MAX(IF((ContinuousStatsTable[GroupByKey]=ContinuousStatsTable[[#This Row],[GroupByKey]]),(ContinuousStatsTable[GroupByKey]=ContinuousStatsTable[[#This Row],[GroupByKey]])*ContinuousStatsTable[Average]))</f>
        <v>1.3728647611032301</v>
      </c>
      <c r="U511">
        <f>IF((ContinuousStatsTable[[#This Row],[RepsRequested]]&gt;1),ContinuousStatsTable[[#This Row],[HalfWidth]],ContinuousStatsTable[[#This Row],[BatchMeansHalfWidth]])</f>
        <v>1.9698000600160998E-2</v>
      </c>
    </row>
    <row r="512" spans="1:21" x14ac:dyDescent="0.2">
      <c r="A512" t="s">
        <v>67</v>
      </c>
      <c r="B512" t="s">
        <v>70</v>
      </c>
      <c r="C512">
        <v>22</v>
      </c>
      <c r="D512" t="s">
        <v>99</v>
      </c>
      <c r="E512" t="s">
        <v>97</v>
      </c>
      <c r="F512" t="s">
        <v>95</v>
      </c>
      <c r="G512">
        <v>2</v>
      </c>
      <c r="H512">
        <v>2E+20</v>
      </c>
      <c r="I512">
        <v>2</v>
      </c>
      <c r="J512">
        <v>2</v>
      </c>
      <c r="K512">
        <v>2</v>
      </c>
      <c r="L512">
        <v>0</v>
      </c>
      <c r="M512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512" cm="1">
        <f t="array" ref="N512">MAX(IF((ProjectInfoTable[ProjectName]=ContinuousStatsTable[[#This Row],[ProjectName]]),(ProjectInfoTable[ProjectName]=ContinuousStatsTable[[#This Row],[ProjectName]])*ProjectInfoTable[NumberOfReplications]))</f>
        <v>30</v>
      </c>
      <c r="O512" cm="1">
        <f t="array" ref="O512">IFERROR(AVERAGE(IF((ContinuousStatsTable[GroupByKey]=ContinuousStatsTable[[#This Row],[GroupByKey]]),(ContinuousStatsTable[GroupByKey]=ContinuousStatsTable[[#This Row],[GroupByKey]])*ContinuousStatsTable[Average])),0)</f>
        <v>2</v>
      </c>
      <c r="P512" cm="1">
        <f t="array" ref="P512">IFERROR(_xlfn.STDEV.S(IF((ContinuousStatsTable[GroupByKey]=ContinuousStatsTable[[#This Row],[GroupByKey]]),(ContinuousStatsTable[GroupByKey]=ContinuousStatsTable[[#This Row],[GroupByKey]])*ContinuousStatsTable[Average])),0)</f>
        <v>0</v>
      </c>
      <c r="Q512" cm="1">
        <f t="array" ref="Q512">MAX(IF((ProjectInfoTable[ProjectName]=ContinuousStatsTable[[#This Row],[ProjectName]]),(ProjectInfoTable[ProjectName]=ContinuousStatsTable[[#This Row],[ProjectName]])*ProjectInfoTable[ConfidenceInterval]))</f>
        <v>0.95</v>
      </c>
      <c r="R5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2" cm="1">
        <f t="array" ref="S512">MIN(IF((ContinuousStatsTable[GroupByKey]=ContinuousStatsTable[[#This Row],[GroupByKey]]),(ContinuousStatsTable[GroupByKey]=ContinuousStatsTable[[#This Row],[GroupByKey]])*ContinuousStatsTable[Average]))</f>
        <v>2</v>
      </c>
      <c r="T512" cm="1">
        <f t="array" ref="T512">MAX(IF((ContinuousStatsTable[GroupByKey]=ContinuousStatsTable[[#This Row],[GroupByKey]]),(ContinuousStatsTable[GroupByKey]=ContinuousStatsTable[[#This Row],[GroupByKey]])*ContinuousStatsTable[Average]))</f>
        <v>2</v>
      </c>
      <c r="U512">
        <f>IF((ContinuousStatsTable[[#This Row],[RepsRequested]]&gt;1),ContinuousStatsTable[[#This Row],[HalfWidth]],ContinuousStatsTable[[#This Row],[BatchMeansHalfWidth]])</f>
        <v>0</v>
      </c>
    </row>
    <row r="513" spans="1:21" x14ac:dyDescent="0.2">
      <c r="A513" t="s">
        <v>67</v>
      </c>
      <c r="B513" t="s">
        <v>70</v>
      </c>
      <c r="C513">
        <v>22</v>
      </c>
      <c r="D513" t="s">
        <v>74</v>
      </c>
      <c r="E513" t="s">
        <v>100</v>
      </c>
      <c r="F513" t="s">
        <v>76</v>
      </c>
      <c r="G513">
        <v>15.382181132709499</v>
      </c>
      <c r="H513">
        <v>1.0323183105324101</v>
      </c>
      <c r="I513">
        <v>1</v>
      </c>
      <c r="J513">
        <v>32</v>
      </c>
      <c r="K513">
        <v>11</v>
      </c>
      <c r="L513">
        <v>0</v>
      </c>
      <c r="M513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13" cm="1">
        <f t="array" ref="N513">MAX(IF((ProjectInfoTable[ProjectName]=ContinuousStatsTable[[#This Row],[ProjectName]]),(ProjectInfoTable[ProjectName]=ContinuousStatsTable[[#This Row],[ProjectName]])*ProjectInfoTable[NumberOfReplications]))</f>
        <v>30</v>
      </c>
      <c r="O513" cm="1">
        <f t="array" ref="O513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513" cm="1">
        <f t="array" ref="P513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513" cm="1">
        <f t="array" ref="Q513">MAX(IF((ProjectInfoTable[ProjectName]=ContinuousStatsTable[[#This Row],[ProjectName]]),(ProjectInfoTable[ProjectName]=ContinuousStatsTable[[#This Row],[ProjectName]])*ProjectInfoTable[ConfidenceInterval]))</f>
        <v>0.95</v>
      </c>
      <c r="R5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513" cm="1">
        <f t="array" ref="S513">MIN(IF((ContinuousStatsTable[GroupByKey]=ContinuousStatsTable[[#This Row],[GroupByKey]]),(ContinuousStatsTable[GroupByKey]=ContinuousStatsTable[[#This Row],[GroupByKey]])*ContinuousStatsTable[Average]))</f>
        <v>14.4112589759764</v>
      </c>
      <c r="T513" cm="1">
        <f t="array" ref="T513">MAX(IF((ContinuousStatsTable[GroupByKey]=ContinuousStatsTable[[#This Row],[GroupByKey]]),(ContinuousStatsTable[GroupByKey]=ContinuousStatsTable[[#This Row],[GroupByKey]])*ContinuousStatsTable[Average]))</f>
        <v>16.972707717517899</v>
      </c>
      <c r="U513">
        <f>IF((ContinuousStatsTable[[#This Row],[RepsRequested]]&gt;1),ContinuousStatsTable[[#This Row],[HalfWidth]],ContinuousStatsTable[[#This Row],[BatchMeansHalfWidth]])</f>
        <v>0.25870181881670146</v>
      </c>
    </row>
    <row r="514" spans="1:21" x14ac:dyDescent="0.2">
      <c r="A514" t="s">
        <v>67</v>
      </c>
      <c r="B514" t="s">
        <v>70</v>
      </c>
      <c r="C514">
        <v>22</v>
      </c>
      <c r="D514" t="s">
        <v>82</v>
      </c>
      <c r="E514" t="s">
        <v>98</v>
      </c>
      <c r="F514" t="s">
        <v>73</v>
      </c>
      <c r="G514">
        <v>0.194018414751364</v>
      </c>
      <c r="H514">
        <v>2E+20</v>
      </c>
      <c r="I514">
        <v>0</v>
      </c>
      <c r="J514">
        <v>4</v>
      </c>
      <c r="K514">
        <v>0</v>
      </c>
      <c r="L514">
        <v>0</v>
      </c>
      <c r="M514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514" cm="1">
        <f t="array" ref="N514">MAX(IF((ProjectInfoTable[ProjectName]=ContinuousStatsTable[[#This Row],[ProjectName]]),(ProjectInfoTable[ProjectName]=ContinuousStatsTable[[#This Row],[ProjectName]])*ProjectInfoTable[NumberOfReplications]))</f>
        <v>30</v>
      </c>
      <c r="O514" cm="1">
        <f t="array" ref="O514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514" cm="1">
        <f t="array" ref="P514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514" cm="1">
        <f t="array" ref="Q514">MAX(IF((ProjectInfoTable[ProjectName]=ContinuousStatsTable[[#This Row],[ProjectName]]),(ProjectInfoTable[ProjectName]=ContinuousStatsTable[[#This Row],[ProjectName]])*ProjectInfoTable[ConfidenceInterval]))</f>
        <v>0.95</v>
      </c>
      <c r="R5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514" cm="1">
        <f t="array" ref="S514">MIN(IF((ContinuousStatsTable[GroupByKey]=ContinuousStatsTable[[#This Row],[GroupByKey]]),(ContinuousStatsTable[GroupByKey]=ContinuousStatsTable[[#This Row],[GroupByKey]])*ContinuousStatsTable[Average]))</f>
        <v>7.4406608295854798E-2</v>
      </c>
      <c r="T514" cm="1">
        <f t="array" ref="T514">MAX(IF((ContinuousStatsTable[GroupByKey]=ContinuousStatsTable[[#This Row],[GroupByKey]]),(ContinuousStatsTable[GroupByKey]=ContinuousStatsTable[[#This Row],[GroupByKey]])*ContinuousStatsTable[Average]))</f>
        <v>0.29874320707386398</v>
      </c>
      <c r="U514">
        <f>IF((ContinuousStatsTable[[#This Row],[RepsRequested]]&gt;1),ContinuousStatsTable[[#This Row],[HalfWidth]],ContinuousStatsTable[[#This Row],[BatchMeansHalfWidth]])</f>
        <v>2.0058204231149332E-2</v>
      </c>
    </row>
    <row r="515" spans="1:21" x14ac:dyDescent="0.2">
      <c r="A515" t="s">
        <v>67</v>
      </c>
      <c r="B515" t="s">
        <v>70</v>
      </c>
      <c r="C515">
        <v>22</v>
      </c>
      <c r="D515" t="s">
        <v>101</v>
      </c>
      <c r="E515" t="s">
        <v>94</v>
      </c>
      <c r="F515" t="s">
        <v>95</v>
      </c>
      <c r="G515">
        <v>1.8311403508771899E-3</v>
      </c>
      <c r="H515">
        <v>2.34411740341384E-4</v>
      </c>
      <c r="I515">
        <v>0</v>
      </c>
      <c r="J515">
        <v>0.05</v>
      </c>
      <c r="K515">
        <v>0</v>
      </c>
      <c r="L515">
        <v>0</v>
      </c>
      <c r="M515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515" cm="1">
        <f t="array" ref="N515">MAX(IF((ProjectInfoTable[ProjectName]=ContinuousStatsTable[[#This Row],[ProjectName]]),(ProjectInfoTable[ProjectName]=ContinuousStatsTable[[#This Row],[ProjectName]])*ProjectInfoTable[NumberOfReplications]))</f>
        <v>30</v>
      </c>
      <c r="O515" cm="1">
        <f t="array" ref="O515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515" cm="1">
        <f t="array" ref="P515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515" cm="1">
        <f t="array" ref="Q515">MAX(IF((ProjectInfoTable[ProjectName]=ContinuousStatsTable[[#This Row],[ProjectName]]),(ProjectInfoTable[ProjectName]=ContinuousStatsTable[[#This Row],[ProjectName]])*ProjectInfoTable[ConfidenceInterval]))</f>
        <v>0.95</v>
      </c>
      <c r="R5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515" cm="1">
        <f t="array" ref="S515">MIN(IF((ContinuousStatsTable[GroupByKey]=ContinuousStatsTable[[#This Row],[GroupByKey]]),(ContinuousStatsTable[GroupByKey]=ContinuousStatsTable[[#This Row],[GroupByKey]])*ContinuousStatsTable[Average]))</f>
        <v>1.70504385964912E-3</v>
      </c>
      <c r="T515" cm="1">
        <f t="array" ref="T515">MAX(IF((ContinuousStatsTable[GroupByKey]=ContinuousStatsTable[[#This Row],[GroupByKey]]),(ContinuousStatsTable[GroupByKey]=ContinuousStatsTable[[#This Row],[GroupByKey]])*ContinuousStatsTable[Average]))</f>
        <v>2.17031677925951E-3</v>
      </c>
      <c r="U515">
        <f>IF((ContinuousStatsTable[[#This Row],[RepsRequested]]&gt;1),ContinuousStatsTable[[#This Row],[HalfWidth]],ContinuousStatsTable[[#This Row],[BatchMeansHalfWidth]])</f>
        <v>4.4865881583116605E-5</v>
      </c>
    </row>
    <row r="516" spans="1:21" x14ac:dyDescent="0.2">
      <c r="A516" t="s">
        <v>67</v>
      </c>
      <c r="B516" t="s">
        <v>70</v>
      </c>
      <c r="C516">
        <v>22</v>
      </c>
      <c r="D516" t="s">
        <v>101</v>
      </c>
      <c r="E516" t="s">
        <v>96</v>
      </c>
      <c r="F516" t="s">
        <v>95</v>
      </c>
      <c r="G516">
        <v>0.14649122807017501</v>
      </c>
      <c r="H516">
        <v>1.8752939227310701E-2</v>
      </c>
      <c r="I516">
        <v>0</v>
      </c>
      <c r="J516">
        <v>4</v>
      </c>
      <c r="K516">
        <v>0</v>
      </c>
      <c r="L516">
        <v>0</v>
      </c>
      <c r="M516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516" cm="1">
        <f t="array" ref="N516">MAX(IF((ProjectInfoTable[ProjectName]=ContinuousStatsTable[[#This Row],[ProjectName]]),(ProjectInfoTable[ProjectName]=ContinuousStatsTable[[#This Row],[ProjectName]])*ProjectInfoTable[NumberOfReplications]))</f>
        <v>30</v>
      </c>
      <c r="O516" cm="1">
        <f t="array" ref="O516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516" cm="1">
        <f t="array" ref="P516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516" cm="1">
        <f t="array" ref="Q516">MAX(IF((ProjectInfoTable[ProjectName]=ContinuousStatsTable[[#This Row],[ProjectName]]),(ProjectInfoTable[ProjectName]=ContinuousStatsTable[[#This Row],[ProjectName]])*ProjectInfoTable[ConfidenceInterval]))</f>
        <v>0.95</v>
      </c>
      <c r="R5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516" cm="1">
        <f t="array" ref="S516">MIN(IF((ContinuousStatsTable[GroupByKey]=ContinuousStatsTable[[#This Row],[GroupByKey]]),(ContinuousStatsTable[GroupByKey]=ContinuousStatsTable[[#This Row],[GroupByKey]])*ContinuousStatsTable[Average]))</f>
        <v>0.13640350877193</v>
      </c>
      <c r="T516" cm="1">
        <f t="array" ref="T516">MAX(IF((ContinuousStatsTable[GroupByKey]=ContinuousStatsTable[[#This Row],[GroupByKey]]),(ContinuousStatsTable[GroupByKey]=ContinuousStatsTable[[#This Row],[GroupByKey]])*ContinuousStatsTable[Average]))</f>
        <v>0.17362534234076099</v>
      </c>
      <c r="U516">
        <f>IF((ContinuousStatsTable[[#This Row],[RepsRequested]]&gt;1),ContinuousStatsTable[[#This Row],[HalfWidth]],ContinuousStatsTable[[#This Row],[BatchMeansHalfWidth]])</f>
        <v>3.5892705266493139E-3</v>
      </c>
    </row>
    <row r="517" spans="1:21" x14ac:dyDescent="0.2">
      <c r="A517" t="s">
        <v>67</v>
      </c>
      <c r="B517" t="s">
        <v>70</v>
      </c>
      <c r="C517">
        <v>22</v>
      </c>
      <c r="D517" t="s">
        <v>101</v>
      </c>
      <c r="E517" t="s">
        <v>97</v>
      </c>
      <c r="F517" t="s">
        <v>95</v>
      </c>
      <c r="G517">
        <v>80</v>
      </c>
      <c r="H517">
        <v>2E+20</v>
      </c>
      <c r="I517">
        <v>80</v>
      </c>
      <c r="J517">
        <v>80</v>
      </c>
      <c r="K517">
        <v>80</v>
      </c>
      <c r="L517">
        <v>0</v>
      </c>
      <c r="M517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517" cm="1">
        <f t="array" ref="N517">MAX(IF((ProjectInfoTable[ProjectName]=ContinuousStatsTable[[#This Row],[ProjectName]]),(ProjectInfoTable[ProjectName]=ContinuousStatsTable[[#This Row],[ProjectName]])*ProjectInfoTable[NumberOfReplications]))</f>
        <v>30</v>
      </c>
      <c r="O517" cm="1">
        <f t="array" ref="O517">IFERROR(AVERAGE(IF((ContinuousStatsTable[GroupByKey]=ContinuousStatsTable[[#This Row],[GroupByKey]]),(ContinuousStatsTable[GroupByKey]=ContinuousStatsTable[[#This Row],[GroupByKey]])*ContinuousStatsTable[Average])),0)</f>
        <v>80</v>
      </c>
      <c r="P517" cm="1">
        <f t="array" ref="P517">IFERROR(_xlfn.STDEV.S(IF((ContinuousStatsTable[GroupByKey]=ContinuousStatsTable[[#This Row],[GroupByKey]]),(ContinuousStatsTable[GroupByKey]=ContinuousStatsTable[[#This Row],[GroupByKey]])*ContinuousStatsTable[Average])),0)</f>
        <v>0</v>
      </c>
      <c r="Q517" cm="1">
        <f t="array" ref="Q517">MAX(IF((ProjectInfoTable[ProjectName]=ContinuousStatsTable[[#This Row],[ProjectName]]),(ProjectInfoTable[ProjectName]=ContinuousStatsTable[[#This Row],[ProjectName]])*ProjectInfoTable[ConfidenceInterval]))</f>
        <v>0.95</v>
      </c>
      <c r="R5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7" cm="1">
        <f t="array" ref="S517">MIN(IF((ContinuousStatsTable[GroupByKey]=ContinuousStatsTable[[#This Row],[GroupByKey]]),(ContinuousStatsTable[GroupByKey]=ContinuousStatsTable[[#This Row],[GroupByKey]])*ContinuousStatsTable[Average]))</f>
        <v>80</v>
      </c>
      <c r="T517" cm="1">
        <f t="array" ref="T517">MAX(IF((ContinuousStatsTable[GroupByKey]=ContinuousStatsTable[[#This Row],[GroupByKey]]),(ContinuousStatsTable[GroupByKey]=ContinuousStatsTable[[#This Row],[GroupByKey]])*ContinuousStatsTable[Average]))</f>
        <v>80</v>
      </c>
      <c r="U517">
        <f>IF((ContinuousStatsTable[[#This Row],[RepsRequested]]&gt;1),ContinuousStatsTable[[#This Row],[HalfWidth]],ContinuousStatsTable[[#This Row],[BatchMeansHalfWidth]])</f>
        <v>0</v>
      </c>
    </row>
    <row r="518" spans="1:21" x14ac:dyDescent="0.2">
      <c r="A518" t="s">
        <v>67</v>
      </c>
      <c r="B518" t="s">
        <v>70</v>
      </c>
      <c r="C518">
        <v>22</v>
      </c>
      <c r="D518" t="s">
        <v>86</v>
      </c>
      <c r="E518" t="s">
        <v>98</v>
      </c>
      <c r="F518" t="s">
        <v>73</v>
      </c>
      <c r="G518">
        <v>0</v>
      </c>
      <c r="H518">
        <v>2E+20</v>
      </c>
      <c r="I518">
        <v>0</v>
      </c>
      <c r="J518">
        <v>0</v>
      </c>
      <c r="K518">
        <v>0</v>
      </c>
      <c r="L518">
        <v>0</v>
      </c>
      <c r="M518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518" cm="1">
        <f t="array" ref="N518">MAX(IF((ProjectInfoTable[ProjectName]=ContinuousStatsTable[[#This Row],[ProjectName]]),(ProjectInfoTable[ProjectName]=ContinuousStatsTable[[#This Row],[ProjectName]])*ProjectInfoTable[NumberOfReplications]))</f>
        <v>30</v>
      </c>
      <c r="O518" cm="1">
        <f t="array" ref="O518">IFERROR(AVERAGE(IF((ContinuousStatsTable[GroupByKey]=ContinuousStatsTable[[#This Row],[GroupByKey]]),(ContinuousStatsTable[GroupByKey]=ContinuousStatsTable[[#This Row],[GroupByKey]])*ContinuousStatsTable[Average])),0)</f>
        <v>0</v>
      </c>
      <c r="P518" cm="1">
        <f t="array" ref="P518">IFERROR(_xlfn.STDEV.S(IF((ContinuousStatsTable[GroupByKey]=ContinuousStatsTable[[#This Row],[GroupByKey]]),(ContinuousStatsTable[GroupByKey]=ContinuousStatsTable[[#This Row],[GroupByKey]])*ContinuousStatsTable[Average])),0)</f>
        <v>0</v>
      </c>
      <c r="Q518" cm="1">
        <f t="array" ref="Q518">MAX(IF((ProjectInfoTable[ProjectName]=ContinuousStatsTable[[#This Row],[ProjectName]]),(ProjectInfoTable[ProjectName]=ContinuousStatsTable[[#This Row],[ProjectName]])*ProjectInfoTable[ConfidenceInterval]))</f>
        <v>0.95</v>
      </c>
      <c r="R5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8" cm="1">
        <f t="array" ref="S518">MIN(IF((ContinuousStatsTable[GroupByKey]=ContinuousStatsTable[[#This Row],[GroupByKey]]),(ContinuousStatsTable[GroupByKey]=ContinuousStatsTable[[#This Row],[GroupByKey]])*ContinuousStatsTable[Average]))</f>
        <v>0</v>
      </c>
      <c r="T518" cm="1">
        <f t="array" ref="T518">MAX(IF((ContinuousStatsTable[GroupByKey]=ContinuousStatsTable[[#This Row],[GroupByKey]]),(ContinuousStatsTable[GroupByKey]=ContinuousStatsTable[[#This Row],[GroupByKey]])*ContinuousStatsTable[Average]))</f>
        <v>0</v>
      </c>
      <c r="U518">
        <f>IF((ContinuousStatsTable[[#This Row],[RepsRequested]]&gt;1),ContinuousStatsTable[[#This Row],[HalfWidth]],ContinuousStatsTable[[#This Row],[BatchMeansHalfWidth]])</f>
        <v>0</v>
      </c>
    </row>
    <row r="519" spans="1:21" x14ac:dyDescent="0.2">
      <c r="A519" t="s">
        <v>67</v>
      </c>
      <c r="B519" t="s">
        <v>70</v>
      </c>
      <c r="C519">
        <v>22</v>
      </c>
      <c r="D519" t="s">
        <v>87</v>
      </c>
      <c r="E519" t="s">
        <v>98</v>
      </c>
      <c r="F519" t="s">
        <v>73</v>
      </c>
      <c r="G519">
        <v>0</v>
      </c>
      <c r="H519">
        <v>2E+20</v>
      </c>
      <c r="I519">
        <v>0</v>
      </c>
      <c r="J519">
        <v>0</v>
      </c>
      <c r="K519">
        <v>0</v>
      </c>
      <c r="L519">
        <v>0</v>
      </c>
      <c r="M519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519" cm="1">
        <f t="array" ref="N519">MAX(IF((ProjectInfoTable[ProjectName]=ContinuousStatsTable[[#This Row],[ProjectName]]),(ProjectInfoTable[ProjectName]=ContinuousStatsTable[[#This Row],[ProjectName]])*ProjectInfoTable[NumberOfReplications]))</f>
        <v>30</v>
      </c>
      <c r="O519" cm="1">
        <f t="array" ref="O519">IFERROR(AVERAGE(IF((ContinuousStatsTable[GroupByKey]=ContinuousStatsTable[[#This Row],[GroupByKey]]),(ContinuousStatsTable[GroupByKey]=ContinuousStatsTable[[#This Row],[GroupByKey]])*ContinuousStatsTable[Average])),0)</f>
        <v>0</v>
      </c>
      <c r="P519" cm="1">
        <f t="array" ref="P519">IFERROR(_xlfn.STDEV.S(IF((ContinuousStatsTable[GroupByKey]=ContinuousStatsTable[[#This Row],[GroupByKey]]),(ContinuousStatsTable[GroupByKey]=ContinuousStatsTable[[#This Row],[GroupByKey]])*ContinuousStatsTable[Average])),0)</f>
        <v>0</v>
      </c>
      <c r="Q519" cm="1">
        <f t="array" ref="Q519">MAX(IF((ProjectInfoTable[ProjectName]=ContinuousStatsTable[[#This Row],[ProjectName]]),(ProjectInfoTable[ProjectName]=ContinuousStatsTable[[#This Row],[ProjectName]])*ProjectInfoTable[ConfidenceInterval]))</f>
        <v>0.95</v>
      </c>
      <c r="R5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9" cm="1">
        <f t="array" ref="S519">MIN(IF((ContinuousStatsTable[GroupByKey]=ContinuousStatsTable[[#This Row],[GroupByKey]]),(ContinuousStatsTable[GroupByKey]=ContinuousStatsTable[[#This Row],[GroupByKey]])*ContinuousStatsTable[Average]))</f>
        <v>0</v>
      </c>
      <c r="T519" cm="1">
        <f t="array" ref="T519">MAX(IF((ContinuousStatsTable[GroupByKey]=ContinuousStatsTable[[#This Row],[GroupByKey]]),(ContinuousStatsTable[GroupByKey]=ContinuousStatsTable[[#This Row],[GroupByKey]])*ContinuousStatsTable[Average]))</f>
        <v>0</v>
      </c>
      <c r="U519">
        <f>IF((ContinuousStatsTable[[#This Row],[RepsRequested]]&gt;1),ContinuousStatsTable[[#This Row],[HalfWidth]],ContinuousStatsTable[[#This Row],[BatchMeansHalfWidth]])</f>
        <v>0</v>
      </c>
    </row>
    <row r="520" spans="1:21" x14ac:dyDescent="0.2">
      <c r="A520" t="s">
        <v>67</v>
      </c>
      <c r="B520" t="s">
        <v>70</v>
      </c>
      <c r="C520">
        <v>22</v>
      </c>
      <c r="D520" t="s">
        <v>88</v>
      </c>
      <c r="E520" t="s">
        <v>98</v>
      </c>
      <c r="F520" t="s">
        <v>73</v>
      </c>
      <c r="G520">
        <v>1.46047566888532</v>
      </c>
      <c r="H520">
        <v>8.7040499193603196E-2</v>
      </c>
      <c r="I520">
        <v>0</v>
      </c>
      <c r="J520">
        <v>4</v>
      </c>
      <c r="K520">
        <v>0</v>
      </c>
      <c r="L520">
        <v>0</v>
      </c>
      <c r="M520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520" cm="1">
        <f t="array" ref="N520">MAX(IF((ProjectInfoTable[ProjectName]=ContinuousStatsTable[[#This Row],[ProjectName]]),(ProjectInfoTable[ProjectName]=ContinuousStatsTable[[#This Row],[ProjectName]])*ProjectInfoTable[NumberOfReplications]))</f>
        <v>30</v>
      </c>
      <c r="O520" cm="1">
        <f t="array" ref="O520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520" cm="1">
        <f t="array" ref="P520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520" cm="1">
        <f t="array" ref="Q520">MAX(IF((ProjectInfoTable[ProjectName]=ContinuousStatsTable[[#This Row],[ProjectName]]),(ProjectInfoTable[ProjectName]=ContinuousStatsTable[[#This Row],[ProjectName]])*ProjectInfoTable[ConfidenceInterval]))</f>
        <v>0.95</v>
      </c>
      <c r="R5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520" cm="1">
        <f t="array" ref="S520">MIN(IF((ContinuousStatsTable[GroupByKey]=ContinuousStatsTable[[#This Row],[GroupByKey]]),(ContinuousStatsTable[GroupByKey]=ContinuousStatsTable[[#This Row],[GroupByKey]])*ContinuousStatsTable[Average]))</f>
        <v>1.4062336911317099</v>
      </c>
      <c r="T520" cm="1">
        <f t="array" ref="T520">MAX(IF((ContinuousStatsTable[GroupByKey]=ContinuousStatsTable[[#This Row],[GroupByKey]]),(ContinuousStatsTable[GroupByKey]=ContinuousStatsTable[[#This Row],[GroupByKey]])*ContinuousStatsTable[Average]))</f>
        <v>1.5889769030929</v>
      </c>
      <c r="U520">
        <f>IF((ContinuousStatsTable[[#This Row],[RepsRequested]]&gt;1),ContinuousStatsTable[[#This Row],[HalfWidth]],ContinuousStatsTable[[#This Row],[BatchMeansHalfWidth]])</f>
        <v>1.602866983772662E-2</v>
      </c>
    </row>
    <row r="521" spans="1:21" x14ac:dyDescent="0.2">
      <c r="A521" t="s">
        <v>67</v>
      </c>
      <c r="B521" t="s">
        <v>70</v>
      </c>
      <c r="C521">
        <v>22</v>
      </c>
      <c r="D521" t="s">
        <v>102</v>
      </c>
      <c r="E521" t="s">
        <v>94</v>
      </c>
      <c r="F521" t="s">
        <v>95</v>
      </c>
      <c r="G521">
        <v>5.0841691108724904E-3</v>
      </c>
      <c r="H521">
        <v>7.3995672701494103E-4</v>
      </c>
      <c r="I521">
        <v>0</v>
      </c>
      <c r="J521">
        <v>0.1</v>
      </c>
      <c r="K521">
        <v>0</v>
      </c>
      <c r="L521">
        <v>0</v>
      </c>
      <c r="M521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521" cm="1">
        <f t="array" ref="N521">MAX(IF((ProjectInfoTable[ProjectName]=ContinuousStatsTable[[#This Row],[ProjectName]]),(ProjectInfoTable[ProjectName]=ContinuousStatsTable[[#This Row],[ProjectName]])*ProjectInfoTable[NumberOfReplications]))</f>
        <v>30</v>
      </c>
      <c r="O521" cm="1">
        <f t="array" ref="O521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521" cm="1">
        <f t="array" ref="P521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521" cm="1">
        <f t="array" ref="Q521">MAX(IF((ProjectInfoTable[ProjectName]=ContinuousStatsTable[[#This Row],[ProjectName]]),(ProjectInfoTable[ProjectName]=ContinuousStatsTable[[#This Row],[ProjectName]])*ProjectInfoTable[ConfidenceInterval]))</f>
        <v>0.95</v>
      </c>
      <c r="R5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521" cm="1">
        <f t="array" ref="S521">MIN(IF((ContinuousStatsTable[GroupByKey]=ContinuousStatsTable[[#This Row],[GroupByKey]]),(ContinuousStatsTable[GroupByKey]=ContinuousStatsTable[[#This Row],[GroupByKey]])*ContinuousStatsTable[Average]))</f>
        <v>4.4956140350877203E-3</v>
      </c>
      <c r="T521" cm="1">
        <f t="array" ref="T521">MAX(IF((ContinuousStatsTable[GroupByKey]=ContinuousStatsTable[[#This Row],[GroupByKey]]),(ContinuousStatsTable[GroupByKey]=ContinuousStatsTable[[#This Row],[GroupByKey]])*ContinuousStatsTable[Average]))</f>
        <v>5.5482456140350904E-3</v>
      </c>
      <c r="U521">
        <f>IF((ContinuousStatsTable[[#This Row],[RepsRequested]]&gt;1),ContinuousStatsTable[[#This Row],[HalfWidth]],ContinuousStatsTable[[#This Row],[BatchMeansHalfWidth]])</f>
        <v>1.0144486472958472E-4</v>
      </c>
    </row>
    <row r="522" spans="1:21" x14ac:dyDescent="0.2">
      <c r="A522" t="s">
        <v>67</v>
      </c>
      <c r="B522" t="s">
        <v>70</v>
      </c>
      <c r="C522">
        <v>22</v>
      </c>
      <c r="D522" t="s">
        <v>102</v>
      </c>
      <c r="E522" t="s">
        <v>96</v>
      </c>
      <c r="F522" t="s">
        <v>95</v>
      </c>
      <c r="G522">
        <v>0.10168338221745001</v>
      </c>
      <c r="H522">
        <v>1.4799134540298801E-2</v>
      </c>
      <c r="I522">
        <v>0</v>
      </c>
      <c r="J522">
        <v>2</v>
      </c>
      <c r="K522">
        <v>0</v>
      </c>
      <c r="L522">
        <v>0</v>
      </c>
      <c r="M522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522" cm="1">
        <f t="array" ref="N522">MAX(IF((ProjectInfoTable[ProjectName]=ContinuousStatsTable[[#This Row],[ProjectName]]),(ProjectInfoTable[ProjectName]=ContinuousStatsTable[[#This Row],[ProjectName]])*ProjectInfoTable[NumberOfReplications]))</f>
        <v>30</v>
      </c>
      <c r="O522" cm="1">
        <f t="array" ref="O522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522" cm="1">
        <f t="array" ref="P522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522" cm="1">
        <f t="array" ref="Q522">MAX(IF((ProjectInfoTable[ProjectName]=ContinuousStatsTable[[#This Row],[ProjectName]]),(ProjectInfoTable[ProjectName]=ContinuousStatsTable[[#This Row],[ProjectName]])*ProjectInfoTable[ConfidenceInterval]))</f>
        <v>0.95</v>
      </c>
      <c r="R5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522" cm="1">
        <f t="array" ref="S522">MIN(IF((ContinuousStatsTable[GroupByKey]=ContinuousStatsTable[[#This Row],[GroupByKey]]),(ContinuousStatsTable[GroupByKey]=ContinuousStatsTable[[#This Row],[GroupByKey]])*ContinuousStatsTable[Average]))</f>
        <v>8.9912280701754305E-2</v>
      </c>
      <c r="T522" cm="1">
        <f t="array" ref="T522">MAX(IF((ContinuousStatsTable[GroupByKey]=ContinuousStatsTable[[#This Row],[GroupByKey]]),(ContinuousStatsTable[GroupByKey]=ContinuousStatsTable[[#This Row],[GroupByKey]])*ContinuousStatsTable[Average]))</f>
        <v>0.110964912280702</v>
      </c>
      <c r="U522">
        <f>IF((ContinuousStatsTable[[#This Row],[RepsRequested]]&gt;1),ContinuousStatsTable[[#This Row],[HalfWidth]],ContinuousStatsTable[[#This Row],[BatchMeansHalfWidth]])</f>
        <v>2.0288972945916956E-3</v>
      </c>
    </row>
    <row r="523" spans="1:21" x14ac:dyDescent="0.2">
      <c r="A523" t="s">
        <v>67</v>
      </c>
      <c r="B523" t="s">
        <v>70</v>
      </c>
      <c r="C523">
        <v>22</v>
      </c>
      <c r="D523" t="s">
        <v>102</v>
      </c>
      <c r="E523" t="s">
        <v>97</v>
      </c>
      <c r="F523" t="s">
        <v>95</v>
      </c>
      <c r="G523">
        <v>20</v>
      </c>
      <c r="H523">
        <v>2E+20</v>
      </c>
      <c r="I523">
        <v>20</v>
      </c>
      <c r="J523">
        <v>20</v>
      </c>
      <c r="K523">
        <v>20</v>
      </c>
      <c r="L523">
        <v>0</v>
      </c>
      <c r="M523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523" cm="1">
        <f t="array" ref="N523">MAX(IF((ProjectInfoTable[ProjectName]=ContinuousStatsTable[[#This Row],[ProjectName]]),(ProjectInfoTable[ProjectName]=ContinuousStatsTable[[#This Row],[ProjectName]])*ProjectInfoTable[NumberOfReplications]))</f>
        <v>30</v>
      </c>
      <c r="O523" cm="1">
        <f t="array" ref="O523">IFERROR(AVERAGE(IF((ContinuousStatsTable[GroupByKey]=ContinuousStatsTable[[#This Row],[GroupByKey]]),(ContinuousStatsTable[GroupByKey]=ContinuousStatsTable[[#This Row],[GroupByKey]])*ContinuousStatsTable[Average])),0)</f>
        <v>20</v>
      </c>
      <c r="P523" cm="1">
        <f t="array" ref="P523">IFERROR(_xlfn.STDEV.S(IF((ContinuousStatsTable[GroupByKey]=ContinuousStatsTable[[#This Row],[GroupByKey]]),(ContinuousStatsTable[GroupByKey]=ContinuousStatsTable[[#This Row],[GroupByKey]])*ContinuousStatsTable[Average])),0)</f>
        <v>0</v>
      </c>
      <c r="Q523" cm="1">
        <f t="array" ref="Q523">MAX(IF((ProjectInfoTable[ProjectName]=ContinuousStatsTable[[#This Row],[ProjectName]]),(ProjectInfoTable[ProjectName]=ContinuousStatsTable[[#This Row],[ProjectName]])*ProjectInfoTable[ConfidenceInterval]))</f>
        <v>0.95</v>
      </c>
      <c r="R5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3" cm="1">
        <f t="array" ref="S523">MIN(IF((ContinuousStatsTable[GroupByKey]=ContinuousStatsTable[[#This Row],[GroupByKey]]),(ContinuousStatsTable[GroupByKey]=ContinuousStatsTable[[#This Row],[GroupByKey]])*ContinuousStatsTable[Average]))</f>
        <v>20</v>
      </c>
      <c r="T523" cm="1">
        <f t="array" ref="T523">MAX(IF((ContinuousStatsTable[GroupByKey]=ContinuousStatsTable[[#This Row],[GroupByKey]]),(ContinuousStatsTable[GroupByKey]=ContinuousStatsTable[[#This Row],[GroupByKey]])*ContinuousStatsTable[Average]))</f>
        <v>20</v>
      </c>
      <c r="U523">
        <f>IF((ContinuousStatsTable[[#This Row],[RepsRequested]]&gt;1),ContinuousStatsTable[[#This Row],[HalfWidth]],ContinuousStatsTable[[#This Row],[BatchMeansHalfWidth]])</f>
        <v>0</v>
      </c>
    </row>
    <row r="524" spans="1:21" x14ac:dyDescent="0.2">
      <c r="A524" t="s">
        <v>67</v>
      </c>
      <c r="B524" t="s">
        <v>70</v>
      </c>
      <c r="C524">
        <v>22</v>
      </c>
      <c r="D524" t="s">
        <v>90</v>
      </c>
      <c r="E524" t="s">
        <v>98</v>
      </c>
      <c r="F524" t="s">
        <v>73</v>
      </c>
      <c r="G524">
        <v>0</v>
      </c>
      <c r="H524">
        <v>2E+20</v>
      </c>
      <c r="I524">
        <v>0</v>
      </c>
      <c r="J524">
        <v>0</v>
      </c>
      <c r="K524">
        <v>0</v>
      </c>
      <c r="L524">
        <v>0</v>
      </c>
      <c r="M524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524" cm="1">
        <f t="array" ref="N524">MAX(IF((ProjectInfoTable[ProjectName]=ContinuousStatsTable[[#This Row],[ProjectName]]),(ProjectInfoTable[ProjectName]=ContinuousStatsTable[[#This Row],[ProjectName]])*ProjectInfoTable[NumberOfReplications]))</f>
        <v>30</v>
      </c>
      <c r="O524" cm="1">
        <f t="array" ref="O524">IFERROR(AVERAGE(IF((ContinuousStatsTable[GroupByKey]=ContinuousStatsTable[[#This Row],[GroupByKey]]),(ContinuousStatsTable[GroupByKey]=ContinuousStatsTable[[#This Row],[GroupByKey]])*ContinuousStatsTable[Average])),0)</f>
        <v>0</v>
      </c>
      <c r="P524" cm="1">
        <f t="array" ref="P524">IFERROR(_xlfn.STDEV.S(IF((ContinuousStatsTable[GroupByKey]=ContinuousStatsTable[[#This Row],[GroupByKey]]),(ContinuousStatsTable[GroupByKey]=ContinuousStatsTable[[#This Row],[GroupByKey]])*ContinuousStatsTable[Average])),0)</f>
        <v>0</v>
      </c>
      <c r="Q524" cm="1">
        <f t="array" ref="Q524">MAX(IF((ProjectInfoTable[ProjectName]=ContinuousStatsTable[[#This Row],[ProjectName]]),(ProjectInfoTable[ProjectName]=ContinuousStatsTable[[#This Row],[ProjectName]])*ProjectInfoTable[ConfidenceInterval]))</f>
        <v>0.95</v>
      </c>
      <c r="R5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4" cm="1">
        <f t="array" ref="S524">MIN(IF((ContinuousStatsTable[GroupByKey]=ContinuousStatsTable[[#This Row],[GroupByKey]]),(ContinuousStatsTable[GroupByKey]=ContinuousStatsTable[[#This Row],[GroupByKey]])*ContinuousStatsTable[Average]))</f>
        <v>0</v>
      </c>
      <c r="T524" cm="1">
        <f t="array" ref="T524">MAX(IF((ContinuousStatsTable[GroupByKey]=ContinuousStatsTable[[#This Row],[GroupByKey]]),(ContinuousStatsTable[GroupByKey]=ContinuousStatsTable[[#This Row],[GroupByKey]])*ContinuousStatsTable[Average]))</f>
        <v>0</v>
      </c>
      <c r="U524">
        <f>IF((ContinuousStatsTable[[#This Row],[RepsRequested]]&gt;1),ContinuousStatsTable[[#This Row],[HalfWidth]],ContinuousStatsTable[[#This Row],[BatchMeansHalfWidth]])</f>
        <v>0</v>
      </c>
    </row>
    <row r="525" spans="1:21" x14ac:dyDescent="0.2">
      <c r="A525" t="s">
        <v>67</v>
      </c>
      <c r="B525" t="s">
        <v>70</v>
      </c>
      <c r="C525">
        <v>22</v>
      </c>
      <c r="D525" t="s">
        <v>91</v>
      </c>
      <c r="E525" t="s">
        <v>98</v>
      </c>
      <c r="F525" t="s">
        <v>73</v>
      </c>
      <c r="G525">
        <v>0</v>
      </c>
      <c r="H525">
        <v>2E+20</v>
      </c>
      <c r="I525">
        <v>0</v>
      </c>
      <c r="J525">
        <v>0</v>
      </c>
      <c r="K525">
        <v>0</v>
      </c>
      <c r="L525">
        <v>0</v>
      </c>
      <c r="M525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525" cm="1">
        <f t="array" ref="N525">MAX(IF((ProjectInfoTable[ProjectName]=ContinuousStatsTable[[#This Row],[ProjectName]]),(ProjectInfoTable[ProjectName]=ContinuousStatsTable[[#This Row],[ProjectName]])*ProjectInfoTable[NumberOfReplications]))</f>
        <v>30</v>
      </c>
      <c r="O525" cm="1">
        <f t="array" ref="O525">IFERROR(AVERAGE(IF((ContinuousStatsTable[GroupByKey]=ContinuousStatsTable[[#This Row],[GroupByKey]]),(ContinuousStatsTable[GroupByKey]=ContinuousStatsTable[[#This Row],[GroupByKey]])*ContinuousStatsTable[Average])),0)</f>
        <v>0</v>
      </c>
      <c r="P525" cm="1">
        <f t="array" ref="P525">IFERROR(_xlfn.STDEV.S(IF((ContinuousStatsTable[GroupByKey]=ContinuousStatsTable[[#This Row],[GroupByKey]]),(ContinuousStatsTable[GroupByKey]=ContinuousStatsTable[[#This Row],[GroupByKey]])*ContinuousStatsTable[Average])),0)</f>
        <v>0</v>
      </c>
      <c r="Q525" cm="1">
        <f t="array" ref="Q525">MAX(IF((ProjectInfoTable[ProjectName]=ContinuousStatsTable[[#This Row],[ProjectName]]),(ProjectInfoTable[ProjectName]=ContinuousStatsTable[[#This Row],[ProjectName]])*ProjectInfoTable[ConfidenceInterval]))</f>
        <v>0.95</v>
      </c>
      <c r="R5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5" cm="1">
        <f t="array" ref="S525">MIN(IF((ContinuousStatsTable[GroupByKey]=ContinuousStatsTable[[#This Row],[GroupByKey]]),(ContinuousStatsTable[GroupByKey]=ContinuousStatsTable[[#This Row],[GroupByKey]])*ContinuousStatsTable[Average]))</f>
        <v>0</v>
      </c>
      <c r="T525" cm="1">
        <f t="array" ref="T525">MAX(IF((ContinuousStatsTable[GroupByKey]=ContinuousStatsTable[[#This Row],[GroupByKey]]),(ContinuousStatsTable[GroupByKey]=ContinuousStatsTable[[#This Row],[GroupByKey]])*ContinuousStatsTable[Average]))</f>
        <v>0</v>
      </c>
      <c r="U525">
        <f>IF((ContinuousStatsTable[[#This Row],[RepsRequested]]&gt;1),ContinuousStatsTable[[#This Row],[HalfWidth]],ContinuousStatsTable[[#This Row],[BatchMeansHalfWidth]])</f>
        <v>0</v>
      </c>
    </row>
    <row r="526" spans="1:21" x14ac:dyDescent="0.2">
      <c r="A526" t="s">
        <v>67</v>
      </c>
      <c r="B526" t="s">
        <v>70</v>
      </c>
      <c r="C526">
        <v>22</v>
      </c>
      <c r="D526" t="s">
        <v>92</v>
      </c>
      <c r="E526" t="s">
        <v>98</v>
      </c>
      <c r="F526" t="s">
        <v>73</v>
      </c>
      <c r="G526">
        <v>0</v>
      </c>
      <c r="H526">
        <v>2E+20</v>
      </c>
      <c r="I526">
        <v>0</v>
      </c>
      <c r="J526">
        <v>0</v>
      </c>
      <c r="K526">
        <v>0</v>
      </c>
      <c r="L526">
        <v>0</v>
      </c>
      <c r="M526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526" cm="1">
        <f t="array" ref="N526">MAX(IF((ProjectInfoTable[ProjectName]=ContinuousStatsTable[[#This Row],[ProjectName]]),(ProjectInfoTable[ProjectName]=ContinuousStatsTable[[#This Row],[ProjectName]])*ProjectInfoTable[NumberOfReplications]))</f>
        <v>30</v>
      </c>
      <c r="O526" cm="1">
        <f t="array" ref="O526">IFERROR(AVERAGE(IF((ContinuousStatsTable[GroupByKey]=ContinuousStatsTable[[#This Row],[GroupByKey]]),(ContinuousStatsTable[GroupByKey]=ContinuousStatsTable[[#This Row],[GroupByKey]])*ContinuousStatsTable[Average])),0)</f>
        <v>0</v>
      </c>
      <c r="P526" cm="1">
        <f t="array" ref="P526">IFERROR(_xlfn.STDEV.S(IF((ContinuousStatsTable[GroupByKey]=ContinuousStatsTable[[#This Row],[GroupByKey]]),(ContinuousStatsTable[GroupByKey]=ContinuousStatsTable[[#This Row],[GroupByKey]])*ContinuousStatsTable[Average])),0)</f>
        <v>0</v>
      </c>
      <c r="Q526" cm="1">
        <f t="array" ref="Q526">MAX(IF((ProjectInfoTable[ProjectName]=ContinuousStatsTable[[#This Row],[ProjectName]]),(ProjectInfoTable[ProjectName]=ContinuousStatsTable[[#This Row],[ProjectName]])*ProjectInfoTable[ConfidenceInterval]))</f>
        <v>0.95</v>
      </c>
      <c r="R5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6" cm="1">
        <f t="array" ref="S526">MIN(IF((ContinuousStatsTable[GroupByKey]=ContinuousStatsTable[[#This Row],[GroupByKey]]),(ContinuousStatsTable[GroupByKey]=ContinuousStatsTable[[#This Row],[GroupByKey]])*ContinuousStatsTable[Average]))</f>
        <v>0</v>
      </c>
      <c r="T526" cm="1">
        <f t="array" ref="T526">MAX(IF((ContinuousStatsTable[GroupByKey]=ContinuousStatsTable[[#This Row],[GroupByKey]]),(ContinuousStatsTable[GroupByKey]=ContinuousStatsTable[[#This Row],[GroupByKey]])*ContinuousStatsTable[Average]))</f>
        <v>0</v>
      </c>
      <c r="U526">
        <f>IF((ContinuousStatsTable[[#This Row],[RepsRequested]]&gt;1),ContinuousStatsTable[[#This Row],[HalfWidth]],ContinuousStatsTable[[#This Row],[BatchMeansHalfWidth]])</f>
        <v>0</v>
      </c>
    </row>
    <row r="527" spans="1:21" x14ac:dyDescent="0.2">
      <c r="A527" t="s">
        <v>67</v>
      </c>
      <c r="B527" t="s">
        <v>70</v>
      </c>
      <c r="C527">
        <v>22</v>
      </c>
      <c r="D527" t="s">
        <v>103</v>
      </c>
      <c r="E527" t="s">
        <v>94</v>
      </c>
      <c r="F527" t="s">
        <v>95</v>
      </c>
      <c r="G527">
        <v>8.2125276488639307E-2</v>
      </c>
      <c r="H527">
        <v>2E+20</v>
      </c>
      <c r="I527">
        <v>0</v>
      </c>
      <c r="J527">
        <v>0.66666666666666696</v>
      </c>
      <c r="K527">
        <v>0.33333333333333298</v>
      </c>
      <c r="L527">
        <v>0</v>
      </c>
      <c r="M527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527" cm="1">
        <f t="array" ref="N527">MAX(IF((ProjectInfoTable[ProjectName]=ContinuousStatsTable[[#This Row],[ProjectName]]),(ProjectInfoTable[ProjectName]=ContinuousStatsTable[[#This Row],[ProjectName]])*ProjectInfoTable[NumberOfReplications]))</f>
        <v>30</v>
      </c>
      <c r="O527" cm="1">
        <f t="array" ref="O527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527" cm="1">
        <f t="array" ref="P527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527" cm="1">
        <f t="array" ref="Q527">MAX(IF((ProjectInfoTable[ProjectName]=ContinuousStatsTable[[#This Row],[ProjectName]]),(ProjectInfoTable[ProjectName]=ContinuousStatsTable[[#This Row],[ProjectName]])*ProjectInfoTable[ConfidenceInterval]))</f>
        <v>0.95</v>
      </c>
      <c r="R5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527" cm="1">
        <f t="array" ref="S527">MIN(IF((ContinuousStatsTable[GroupByKey]=ContinuousStatsTable[[#This Row],[GroupByKey]]),(ContinuousStatsTable[GroupByKey]=ContinuousStatsTable[[#This Row],[GroupByKey]])*ContinuousStatsTable[Average]))</f>
        <v>7.7176470357846902E-2</v>
      </c>
      <c r="T527" cm="1">
        <f t="array" ref="T527">MAX(IF((ContinuousStatsTable[GroupByKey]=ContinuousStatsTable[[#This Row],[GroupByKey]]),(ContinuousStatsTable[GroupByKey]=ContinuousStatsTable[[#This Row],[GroupByKey]])*ContinuousStatsTable[Average]))</f>
        <v>9.2534326714405896E-2</v>
      </c>
      <c r="U527">
        <f>IF((ContinuousStatsTable[[#This Row],[RepsRequested]]&gt;1),ContinuousStatsTable[[#This Row],[HalfWidth]],ContinuousStatsTable[[#This Row],[BatchMeansHalfWidth]])</f>
        <v>1.3238327186697659E-3</v>
      </c>
    </row>
    <row r="528" spans="1:21" x14ac:dyDescent="0.2">
      <c r="A528" t="s">
        <v>67</v>
      </c>
      <c r="B528" t="s">
        <v>70</v>
      </c>
      <c r="C528">
        <v>22</v>
      </c>
      <c r="D528" t="s">
        <v>103</v>
      </c>
      <c r="E528" t="s">
        <v>96</v>
      </c>
      <c r="F528" t="s">
        <v>95</v>
      </c>
      <c r="G528">
        <v>0.24637582946591799</v>
      </c>
      <c r="H528">
        <v>2E+20</v>
      </c>
      <c r="I528">
        <v>0</v>
      </c>
      <c r="J528">
        <v>2</v>
      </c>
      <c r="K528">
        <v>1</v>
      </c>
      <c r="L528">
        <v>0</v>
      </c>
      <c r="M528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528" cm="1">
        <f t="array" ref="N528">MAX(IF((ProjectInfoTable[ProjectName]=ContinuousStatsTable[[#This Row],[ProjectName]]),(ProjectInfoTable[ProjectName]=ContinuousStatsTable[[#This Row],[ProjectName]])*ProjectInfoTable[NumberOfReplications]))</f>
        <v>30</v>
      </c>
      <c r="O528" cm="1">
        <f t="array" ref="O528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528" cm="1">
        <f t="array" ref="P528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528" cm="1">
        <f t="array" ref="Q528">MAX(IF((ProjectInfoTable[ProjectName]=ContinuousStatsTable[[#This Row],[ProjectName]]),(ProjectInfoTable[ProjectName]=ContinuousStatsTable[[#This Row],[ProjectName]])*ProjectInfoTable[ConfidenceInterval]))</f>
        <v>0.95</v>
      </c>
      <c r="R5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528" cm="1">
        <f t="array" ref="S528">MIN(IF((ContinuousStatsTable[GroupByKey]=ContinuousStatsTable[[#This Row],[GroupByKey]]),(ContinuousStatsTable[GroupByKey]=ContinuousStatsTable[[#This Row],[GroupByKey]])*ContinuousStatsTable[Average]))</f>
        <v>0.231529411073541</v>
      </c>
      <c r="T528" cm="1">
        <f t="array" ref="T528">MAX(IF((ContinuousStatsTable[GroupByKey]=ContinuousStatsTable[[#This Row],[GroupByKey]]),(ContinuousStatsTable[GroupByKey]=ContinuousStatsTable[[#This Row],[GroupByKey]])*ContinuousStatsTable[Average]))</f>
        <v>0.27760298014321699</v>
      </c>
      <c r="U528">
        <f>IF((ContinuousStatsTable[[#This Row],[RepsRequested]]&gt;1),ContinuousStatsTable[[#This Row],[HalfWidth]],ContinuousStatsTable[[#This Row],[BatchMeansHalfWidth]])</f>
        <v>3.9714981560092996E-3</v>
      </c>
    </row>
    <row r="529" spans="1:21" x14ac:dyDescent="0.2">
      <c r="A529" t="s">
        <v>67</v>
      </c>
      <c r="B529" t="s">
        <v>70</v>
      </c>
      <c r="C529">
        <v>22</v>
      </c>
      <c r="D529" t="s">
        <v>103</v>
      </c>
      <c r="E529" t="s">
        <v>97</v>
      </c>
      <c r="F529" t="s">
        <v>95</v>
      </c>
      <c r="G529">
        <v>3</v>
      </c>
      <c r="H529">
        <v>2E+20</v>
      </c>
      <c r="I529">
        <v>3</v>
      </c>
      <c r="J529">
        <v>3</v>
      </c>
      <c r="K529">
        <v>3</v>
      </c>
      <c r="L529">
        <v>0</v>
      </c>
      <c r="M529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529" cm="1">
        <f t="array" ref="N529">MAX(IF((ProjectInfoTable[ProjectName]=ContinuousStatsTable[[#This Row],[ProjectName]]),(ProjectInfoTable[ProjectName]=ContinuousStatsTable[[#This Row],[ProjectName]])*ProjectInfoTable[NumberOfReplications]))</f>
        <v>30</v>
      </c>
      <c r="O529" cm="1">
        <f t="array" ref="O529">IFERROR(AVERAGE(IF((ContinuousStatsTable[GroupByKey]=ContinuousStatsTable[[#This Row],[GroupByKey]]),(ContinuousStatsTable[GroupByKey]=ContinuousStatsTable[[#This Row],[GroupByKey]])*ContinuousStatsTable[Average])),0)</f>
        <v>3</v>
      </c>
      <c r="P529" cm="1">
        <f t="array" ref="P529">IFERROR(_xlfn.STDEV.S(IF((ContinuousStatsTable[GroupByKey]=ContinuousStatsTable[[#This Row],[GroupByKey]]),(ContinuousStatsTable[GroupByKey]=ContinuousStatsTable[[#This Row],[GroupByKey]])*ContinuousStatsTable[Average])),0)</f>
        <v>0</v>
      </c>
      <c r="Q529" cm="1">
        <f t="array" ref="Q529">MAX(IF((ProjectInfoTable[ProjectName]=ContinuousStatsTable[[#This Row],[ProjectName]]),(ProjectInfoTable[ProjectName]=ContinuousStatsTable[[#This Row],[ProjectName]])*ProjectInfoTable[ConfidenceInterval]))</f>
        <v>0.95</v>
      </c>
      <c r="R5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29" cm="1">
        <f t="array" ref="S529">MIN(IF((ContinuousStatsTable[GroupByKey]=ContinuousStatsTable[[#This Row],[GroupByKey]]),(ContinuousStatsTable[GroupByKey]=ContinuousStatsTable[[#This Row],[GroupByKey]])*ContinuousStatsTable[Average]))</f>
        <v>3</v>
      </c>
      <c r="T529" cm="1">
        <f t="array" ref="T529">MAX(IF((ContinuousStatsTable[GroupByKey]=ContinuousStatsTable[[#This Row],[GroupByKey]]),(ContinuousStatsTable[GroupByKey]=ContinuousStatsTable[[#This Row],[GroupByKey]])*ContinuousStatsTable[Average]))</f>
        <v>3</v>
      </c>
      <c r="U529">
        <f>IF((ContinuousStatsTable[[#This Row],[RepsRequested]]&gt;1),ContinuousStatsTable[[#This Row],[HalfWidth]],ContinuousStatsTable[[#This Row],[BatchMeansHalfWidth]])</f>
        <v>0</v>
      </c>
    </row>
    <row r="530" spans="1:21" x14ac:dyDescent="0.2">
      <c r="A530" t="s">
        <v>67</v>
      </c>
      <c r="B530" t="s">
        <v>70</v>
      </c>
      <c r="C530">
        <v>23</v>
      </c>
      <c r="D530" t="s">
        <v>93</v>
      </c>
      <c r="E530" t="s">
        <v>94</v>
      </c>
      <c r="F530" t="s">
        <v>95</v>
      </c>
      <c r="G530">
        <v>0.24561403508771901</v>
      </c>
      <c r="H530">
        <v>2.01761023701847E-2</v>
      </c>
      <c r="I530">
        <v>0</v>
      </c>
      <c r="J530">
        <v>1</v>
      </c>
      <c r="K530">
        <v>0</v>
      </c>
      <c r="L530">
        <v>0</v>
      </c>
      <c r="M530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530" cm="1">
        <f t="array" ref="N530">MAX(IF((ProjectInfoTable[ProjectName]=ContinuousStatsTable[[#This Row],[ProjectName]]),(ProjectInfoTable[ProjectName]=ContinuousStatsTable[[#This Row],[ProjectName]])*ProjectInfoTable[NumberOfReplications]))</f>
        <v>30</v>
      </c>
      <c r="O530" cm="1">
        <f t="array" ref="O530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530" cm="1">
        <f t="array" ref="P530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530" cm="1">
        <f t="array" ref="Q530">MAX(IF((ProjectInfoTable[ProjectName]=ContinuousStatsTable[[#This Row],[ProjectName]]),(ProjectInfoTable[ProjectName]=ContinuousStatsTable[[#This Row],[ProjectName]])*ProjectInfoTable[ConfidenceInterval]))</f>
        <v>0.95</v>
      </c>
      <c r="R5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530" cm="1">
        <f t="array" ref="S530">MIN(IF((ContinuousStatsTable[GroupByKey]=ContinuousStatsTable[[#This Row],[GroupByKey]]),(ContinuousStatsTable[GroupByKey]=ContinuousStatsTable[[#This Row],[GroupByKey]])*ContinuousStatsTable[Average]))</f>
        <v>0.233333333333333</v>
      </c>
      <c r="T530" cm="1">
        <f t="array" ref="T530">MAX(IF((ContinuousStatsTable[GroupByKey]=ContinuousStatsTable[[#This Row],[GroupByKey]]),(ContinuousStatsTable[GroupByKey]=ContinuousStatsTable[[#This Row],[GroupByKey]])*ContinuousStatsTable[Average]))</f>
        <v>0.27905535859326402</v>
      </c>
      <c r="U530">
        <f>IF((ContinuousStatsTable[[#This Row],[RepsRequested]]&gt;1),ContinuousStatsTable[[#This Row],[HalfWidth]],ContinuousStatsTable[[#This Row],[BatchMeansHalfWidth]])</f>
        <v>4.2029769261323026E-3</v>
      </c>
    </row>
    <row r="531" spans="1:21" x14ac:dyDescent="0.2">
      <c r="A531" t="s">
        <v>67</v>
      </c>
      <c r="B531" t="s">
        <v>70</v>
      </c>
      <c r="C531">
        <v>23</v>
      </c>
      <c r="D531" t="s">
        <v>93</v>
      </c>
      <c r="E531" t="s">
        <v>96</v>
      </c>
      <c r="F531" t="s">
        <v>95</v>
      </c>
      <c r="G531">
        <v>0.24561403508771901</v>
      </c>
      <c r="H531">
        <v>2.01761023701847E-2</v>
      </c>
      <c r="I531">
        <v>0</v>
      </c>
      <c r="J531">
        <v>1</v>
      </c>
      <c r="K531">
        <v>0</v>
      </c>
      <c r="L531">
        <v>0</v>
      </c>
      <c r="M531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531" cm="1">
        <f t="array" ref="N531">MAX(IF((ProjectInfoTable[ProjectName]=ContinuousStatsTable[[#This Row],[ProjectName]]),(ProjectInfoTable[ProjectName]=ContinuousStatsTable[[#This Row],[ProjectName]])*ProjectInfoTable[NumberOfReplications]))</f>
        <v>30</v>
      </c>
      <c r="O531" cm="1">
        <f t="array" ref="O531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531" cm="1">
        <f t="array" ref="P531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531" cm="1">
        <f t="array" ref="Q531">MAX(IF((ProjectInfoTable[ProjectName]=ContinuousStatsTable[[#This Row],[ProjectName]]),(ProjectInfoTable[ProjectName]=ContinuousStatsTable[[#This Row],[ProjectName]])*ProjectInfoTable[ConfidenceInterval]))</f>
        <v>0.95</v>
      </c>
      <c r="R5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531" cm="1">
        <f t="array" ref="S531">MIN(IF((ContinuousStatsTable[GroupByKey]=ContinuousStatsTable[[#This Row],[GroupByKey]]),(ContinuousStatsTable[GroupByKey]=ContinuousStatsTable[[#This Row],[GroupByKey]])*ContinuousStatsTable[Average]))</f>
        <v>0.233333333333333</v>
      </c>
      <c r="T531" cm="1">
        <f t="array" ref="T531">MAX(IF((ContinuousStatsTable[GroupByKey]=ContinuousStatsTable[[#This Row],[GroupByKey]]),(ContinuousStatsTable[GroupByKey]=ContinuousStatsTable[[#This Row],[GroupByKey]])*ContinuousStatsTable[Average]))</f>
        <v>0.27905535859326402</v>
      </c>
      <c r="U531">
        <f>IF((ContinuousStatsTable[[#This Row],[RepsRequested]]&gt;1),ContinuousStatsTable[[#This Row],[HalfWidth]],ContinuousStatsTable[[#This Row],[BatchMeansHalfWidth]])</f>
        <v>4.2029769261323026E-3</v>
      </c>
    </row>
    <row r="532" spans="1:21" x14ac:dyDescent="0.2">
      <c r="A532" t="s">
        <v>67</v>
      </c>
      <c r="B532" t="s">
        <v>70</v>
      </c>
      <c r="C532">
        <v>23</v>
      </c>
      <c r="D532" t="s">
        <v>93</v>
      </c>
      <c r="E532" t="s">
        <v>97</v>
      </c>
      <c r="F532" t="s">
        <v>95</v>
      </c>
      <c r="G532">
        <v>1</v>
      </c>
      <c r="H532">
        <v>2E+20</v>
      </c>
      <c r="I532">
        <v>1</v>
      </c>
      <c r="J532">
        <v>1</v>
      </c>
      <c r="K532">
        <v>1</v>
      </c>
      <c r="L532">
        <v>0</v>
      </c>
      <c r="M532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532" cm="1">
        <f t="array" ref="N532">MAX(IF((ProjectInfoTable[ProjectName]=ContinuousStatsTable[[#This Row],[ProjectName]]),(ProjectInfoTable[ProjectName]=ContinuousStatsTable[[#This Row],[ProjectName]])*ProjectInfoTable[NumberOfReplications]))</f>
        <v>30</v>
      </c>
      <c r="O532" cm="1">
        <f t="array" ref="O532">IFERROR(AVERAGE(IF((ContinuousStatsTable[GroupByKey]=ContinuousStatsTable[[#This Row],[GroupByKey]]),(ContinuousStatsTable[GroupByKey]=ContinuousStatsTable[[#This Row],[GroupByKey]])*ContinuousStatsTable[Average])),0)</f>
        <v>1</v>
      </c>
      <c r="P532" cm="1">
        <f t="array" ref="P532">IFERROR(_xlfn.STDEV.S(IF((ContinuousStatsTable[GroupByKey]=ContinuousStatsTable[[#This Row],[GroupByKey]]),(ContinuousStatsTable[GroupByKey]=ContinuousStatsTable[[#This Row],[GroupByKey]])*ContinuousStatsTable[Average])),0)</f>
        <v>0</v>
      </c>
      <c r="Q532" cm="1">
        <f t="array" ref="Q532">MAX(IF((ProjectInfoTable[ProjectName]=ContinuousStatsTable[[#This Row],[ProjectName]]),(ProjectInfoTable[ProjectName]=ContinuousStatsTable[[#This Row],[ProjectName]])*ProjectInfoTable[ConfidenceInterval]))</f>
        <v>0.95</v>
      </c>
      <c r="R5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2" cm="1">
        <f t="array" ref="S532">MIN(IF((ContinuousStatsTable[GroupByKey]=ContinuousStatsTable[[#This Row],[GroupByKey]]),(ContinuousStatsTable[GroupByKey]=ContinuousStatsTable[[#This Row],[GroupByKey]])*ContinuousStatsTable[Average]))</f>
        <v>1</v>
      </c>
      <c r="T532" cm="1">
        <f t="array" ref="T532">MAX(IF((ContinuousStatsTable[GroupByKey]=ContinuousStatsTable[[#This Row],[GroupByKey]]),(ContinuousStatsTable[GroupByKey]=ContinuousStatsTable[[#This Row],[GroupByKey]])*ContinuousStatsTable[Average]))</f>
        <v>1</v>
      </c>
      <c r="U532">
        <f>IF((ContinuousStatsTable[[#This Row],[RepsRequested]]&gt;1),ContinuousStatsTable[[#This Row],[HalfWidth]],ContinuousStatsTable[[#This Row],[BatchMeansHalfWidth]])</f>
        <v>0</v>
      </c>
    </row>
    <row r="533" spans="1:21" x14ac:dyDescent="0.2">
      <c r="A533" t="s">
        <v>67</v>
      </c>
      <c r="B533" t="s">
        <v>70</v>
      </c>
      <c r="C533">
        <v>23</v>
      </c>
      <c r="D533" t="s">
        <v>71</v>
      </c>
      <c r="E533" t="s">
        <v>98</v>
      </c>
      <c r="F533" t="s">
        <v>73</v>
      </c>
      <c r="G533">
        <v>2.32260247147008E-2</v>
      </c>
      <c r="H533">
        <v>2E+20</v>
      </c>
      <c r="I533">
        <v>0</v>
      </c>
      <c r="J533">
        <v>2</v>
      </c>
      <c r="K533">
        <v>0</v>
      </c>
      <c r="L533">
        <v>0</v>
      </c>
      <c r="M533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533" cm="1">
        <f t="array" ref="N533">MAX(IF((ProjectInfoTable[ProjectName]=ContinuousStatsTable[[#This Row],[ProjectName]]),(ProjectInfoTable[ProjectName]=ContinuousStatsTable[[#This Row],[ProjectName]])*ProjectInfoTable[NumberOfReplications]))</f>
        <v>30</v>
      </c>
      <c r="O533" cm="1">
        <f t="array" ref="O533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533" cm="1">
        <f t="array" ref="P533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533" cm="1">
        <f t="array" ref="Q533">MAX(IF((ProjectInfoTable[ProjectName]=ContinuousStatsTable[[#This Row],[ProjectName]]),(ProjectInfoTable[ProjectName]=ContinuousStatsTable[[#This Row],[ProjectName]])*ProjectInfoTable[ConfidenceInterval]))</f>
        <v>0.95</v>
      </c>
      <c r="R5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533" cm="1">
        <f t="array" ref="S533">MIN(IF((ContinuousStatsTable[GroupByKey]=ContinuousStatsTable[[#This Row],[GroupByKey]]),(ContinuousStatsTable[GroupByKey]=ContinuousStatsTable[[#This Row],[GroupByKey]])*ContinuousStatsTable[Average]))</f>
        <v>1.9664517785186901E-2</v>
      </c>
      <c r="T533" cm="1">
        <f t="array" ref="T533">MAX(IF((ContinuousStatsTable[GroupByKey]=ContinuousStatsTable[[#This Row],[GroupByKey]]),(ContinuousStatsTable[GroupByKey]=ContinuousStatsTable[[#This Row],[GroupByKey]])*ContinuousStatsTable[Average]))</f>
        <v>3.9738966906982302E-2</v>
      </c>
      <c r="U533">
        <f>IF((ContinuousStatsTable[[#This Row],[RepsRequested]]&gt;1),ContinuousStatsTable[[#This Row],[HalfWidth]],ContinuousStatsTable[[#This Row],[BatchMeansHalfWidth]])</f>
        <v>1.6627262085570247E-3</v>
      </c>
    </row>
    <row r="534" spans="1:21" x14ac:dyDescent="0.2">
      <c r="A534" t="s">
        <v>67</v>
      </c>
      <c r="B534" t="s">
        <v>70</v>
      </c>
      <c r="C534">
        <v>23</v>
      </c>
      <c r="D534" t="s">
        <v>99</v>
      </c>
      <c r="E534" t="s">
        <v>94</v>
      </c>
      <c r="F534" t="s">
        <v>95</v>
      </c>
      <c r="G534">
        <v>0.61555961733891895</v>
      </c>
      <c r="H534">
        <v>2E+20</v>
      </c>
      <c r="I534">
        <v>0</v>
      </c>
      <c r="J534">
        <v>1</v>
      </c>
      <c r="K534">
        <v>1</v>
      </c>
      <c r="L534">
        <v>0</v>
      </c>
      <c r="M534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534" cm="1">
        <f t="array" ref="N534">MAX(IF((ProjectInfoTable[ProjectName]=ContinuousStatsTable[[#This Row],[ProjectName]]),(ProjectInfoTable[ProjectName]=ContinuousStatsTable[[#This Row],[ProjectName]])*ProjectInfoTable[NumberOfReplications]))</f>
        <v>30</v>
      </c>
      <c r="O534" cm="1">
        <f t="array" ref="O534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534" cm="1">
        <f t="array" ref="P534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534" cm="1">
        <f t="array" ref="Q534">MAX(IF((ProjectInfoTable[ProjectName]=ContinuousStatsTable[[#This Row],[ProjectName]]),(ProjectInfoTable[ProjectName]=ContinuousStatsTable[[#This Row],[ProjectName]])*ProjectInfoTable[ConfidenceInterval]))</f>
        <v>0.95</v>
      </c>
      <c r="R5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534" cm="1">
        <f t="array" ref="S534">MIN(IF((ContinuousStatsTable[GroupByKey]=ContinuousStatsTable[[#This Row],[GroupByKey]]),(ContinuousStatsTable[GroupByKey]=ContinuousStatsTable[[#This Row],[GroupByKey]])*ContinuousStatsTable[Average]))</f>
        <v>0.58256422876290004</v>
      </c>
      <c r="T534" cm="1">
        <f t="array" ref="T534">MAX(IF((ContinuousStatsTable[GroupByKey]=ContinuousStatsTable[[#This Row],[GroupByKey]]),(ContinuousStatsTable[GroupByKey]=ContinuousStatsTable[[#This Row],[GroupByKey]])*ContinuousStatsTable[Average]))</f>
        <v>0.68643238055161704</v>
      </c>
      <c r="U534">
        <f>IF((ContinuousStatsTable[[#This Row],[RepsRequested]]&gt;1),ContinuousStatsTable[[#This Row],[HalfWidth]],ContinuousStatsTable[[#This Row],[BatchMeansHalfWidth]])</f>
        <v>9.8490003000806757E-3</v>
      </c>
    </row>
    <row r="535" spans="1:21" x14ac:dyDescent="0.2">
      <c r="A535" t="s">
        <v>67</v>
      </c>
      <c r="B535" t="s">
        <v>70</v>
      </c>
      <c r="C535">
        <v>23</v>
      </c>
      <c r="D535" t="s">
        <v>99</v>
      </c>
      <c r="E535" t="s">
        <v>96</v>
      </c>
      <c r="F535" t="s">
        <v>95</v>
      </c>
      <c r="G535">
        <v>1.2311192346778399</v>
      </c>
      <c r="H535">
        <v>2E+20</v>
      </c>
      <c r="I535">
        <v>0</v>
      </c>
      <c r="J535">
        <v>2</v>
      </c>
      <c r="K535">
        <v>2</v>
      </c>
      <c r="L535">
        <v>0</v>
      </c>
      <c r="M535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535" cm="1">
        <f t="array" ref="N535">MAX(IF((ProjectInfoTable[ProjectName]=ContinuousStatsTable[[#This Row],[ProjectName]]),(ProjectInfoTable[ProjectName]=ContinuousStatsTable[[#This Row],[ProjectName]])*ProjectInfoTable[NumberOfReplications]))</f>
        <v>30</v>
      </c>
      <c r="O535" cm="1">
        <f t="array" ref="O535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535" cm="1">
        <f t="array" ref="P535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535" cm="1">
        <f t="array" ref="Q535">MAX(IF((ProjectInfoTable[ProjectName]=ContinuousStatsTable[[#This Row],[ProjectName]]),(ProjectInfoTable[ProjectName]=ContinuousStatsTable[[#This Row],[ProjectName]])*ProjectInfoTable[ConfidenceInterval]))</f>
        <v>0.95</v>
      </c>
      <c r="R5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535" cm="1">
        <f t="array" ref="S535">MIN(IF((ContinuousStatsTable[GroupByKey]=ContinuousStatsTable[[#This Row],[GroupByKey]]),(ContinuousStatsTable[GroupByKey]=ContinuousStatsTable[[#This Row],[GroupByKey]])*ContinuousStatsTable[Average]))</f>
        <v>1.1651284575258001</v>
      </c>
      <c r="T535" cm="1">
        <f t="array" ref="T535">MAX(IF((ContinuousStatsTable[GroupByKey]=ContinuousStatsTable[[#This Row],[GroupByKey]]),(ContinuousStatsTable[GroupByKey]=ContinuousStatsTable[[#This Row],[GroupByKey]])*ContinuousStatsTable[Average]))</f>
        <v>1.3728647611032301</v>
      </c>
      <c r="U535">
        <f>IF((ContinuousStatsTable[[#This Row],[RepsRequested]]&gt;1),ContinuousStatsTable[[#This Row],[HalfWidth]],ContinuousStatsTable[[#This Row],[BatchMeansHalfWidth]])</f>
        <v>1.9698000600160998E-2</v>
      </c>
    </row>
    <row r="536" spans="1:21" x14ac:dyDescent="0.2">
      <c r="A536" t="s">
        <v>67</v>
      </c>
      <c r="B536" t="s">
        <v>70</v>
      </c>
      <c r="C536">
        <v>23</v>
      </c>
      <c r="D536" t="s">
        <v>99</v>
      </c>
      <c r="E536" t="s">
        <v>97</v>
      </c>
      <c r="F536" t="s">
        <v>95</v>
      </c>
      <c r="G536">
        <v>2</v>
      </c>
      <c r="H536">
        <v>2E+20</v>
      </c>
      <c r="I536">
        <v>2</v>
      </c>
      <c r="J536">
        <v>2</v>
      </c>
      <c r="K536">
        <v>2</v>
      </c>
      <c r="L536">
        <v>0</v>
      </c>
      <c r="M536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536" cm="1">
        <f t="array" ref="N536">MAX(IF((ProjectInfoTable[ProjectName]=ContinuousStatsTable[[#This Row],[ProjectName]]),(ProjectInfoTable[ProjectName]=ContinuousStatsTable[[#This Row],[ProjectName]])*ProjectInfoTable[NumberOfReplications]))</f>
        <v>30</v>
      </c>
      <c r="O536" cm="1">
        <f t="array" ref="O536">IFERROR(AVERAGE(IF((ContinuousStatsTable[GroupByKey]=ContinuousStatsTable[[#This Row],[GroupByKey]]),(ContinuousStatsTable[GroupByKey]=ContinuousStatsTable[[#This Row],[GroupByKey]])*ContinuousStatsTable[Average])),0)</f>
        <v>2</v>
      </c>
      <c r="P536" cm="1">
        <f t="array" ref="P536">IFERROR(_xlfn.STDEV.S(IF((ContinuousStatsTable[GroupByKey]=ContinuousStatsTable[[#This Row],[GroupByKey]]),(ContinuousStatsTable[GroupByKey]=ContinuousStatsTable[[#This Row],[GroupByKey]])*ContinuousStatsTable[Average])),0)</f>
        <v>0</v>
      </c>
      <c r="Q536" cm="1">
        <f t="array" ref="Q536">MAX(IF((ProjectInfoTable[ProjectName]=ContinuousStatsTable[[#This Row],[ProjectName]]),(ProjectInfoTable[ProjectName]=ContinuousStatsTable[[#This Row],[ProjectName]])*ProjectInfoTable[ConfidenceInterval]))</f>
        <v>0.95</v>
      </c>
      <c r="R5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36" cm="1">
        <f t="array" ref="S536">MIN(IF((ContinuousStatsTable[GroupByKey]=ContinuousStatsTable[[#This Row],[GroupByKey]]),(ContinuousStatsTable[GroupByKey]=ContinuousStatsTable[[#This Row],[GroupByKey]])*ContinuousStatsTable[Average]))</f>
        <v>2</v>
      </c>
      <c r="T536" cm="1">
        <f t="array" ref="T536">MAX(IF((ContinuousStatsTable[GroupByKey]=ContinuousStatsTable[[#This Row],[GroupByKey]]),(ContinuousStatsTable[GroupByKey]=ContinuousStatsTable[[#This Row],[GroupByKey]])*ContinuousStatsTable[Average]))</f>
        <v>2</v>
      </c>
      <c r="U536">
        <f>IF((ContinuousStatsTable[[#This Row],[RepsRequested]]&gt;1),ContinuousStatsTable[[#This Row],[HalfWidth]],ContinuousStatsTable[[#This Row],[BatchMeansHalfWidth]])</f>
        <v>0</v>
      </c>
    </row>
    <row r="537" spans="1:21" x14ac:dyDescent="0.2">
      <c r="A537" t="s">
        <v>67</v>
      </c>
      <c r="B537" t="s">
        <v>70</v>
      </c>
      <c r="C537">
        <v>23</v>
      </c>
      <c r="D537" t="s">
        <v>74</v>
      </c>
      <c r="E537" t="s">
        <v>100</v>
      </c>
      <c r="F537" t="s">
        <v>76</v>
      </c>
      <c r="G537">
        <v>15.084189026271901</v>
      </c>
      <c r="H537">
        <v>1.16829013567827</v>
      </c>
      <c r="I537">
        <v>2</v>
      </c>
      <c r="J537">
        <v>32</v>
      </c>
      <c r="K537">
        <v>15</v>
      </c>
      <c r="L537">
        <v>0</v>
      </c>
      <c r="M5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37" cm="1">
        <f t="array" ref="N537">MAX(IF((ProjectInfoTable[ProjectName]=ContinuousStatsTable[[#This Row],[ProjectName]]),(ProjectInfoTable[ProjectName]=ContinuousStatsTable[[#This Row],[ProjectName]])*ProjectInfoTable[NumberOfReplications]))</f>
        <v>30</v>
      </c>
      <c r="O537" cm="1">
        <f t="array" ref="O537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537" cm="1">
        <f t="array" ref="P537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537" cm="1">
        <f t="array" ref="Q537">MAX(IF((ProjectInfoTable[ProjectName]=ContinuousStatsTable[[#This Row],[ProjectName]]),(ProjectInfoTable[ProjectName]=ContinuousStatsTable[[#This Row],[ProjectName]])*ProjectInfoTable[ConfidenceInterval]))</f>
        <v>0.95</v>
      </c>
      <c r="R5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537" cm="1">
        <f t="array" ref="S537">MIN(IF((ContinuousStatsTable[GroupByKey]=ContinuousStatsTable[[#This Row],[GroupByKey]]),(ContinuousStatsTable[GroupByKey]=ContinuousStatsTable[[#This Row],[GroupByKey]])*ContinuousStatsTable[Average]))</f>
        <v>14.4112589759764</v>
      </c>
      <c r="T537" cm="1">
        <f t="array" ref="T537">MAX(IF((ContinuousStatsTable[GroupByKey]=ContinuousStatsTable[[#This Row],[GroupByKey]]),(ContinuousStatsTable[GroupByKey]=ContinuousStatsTable[[#This Row],[GroupByKey]])*ContinuousStatsTable[Average]))</f>
        <v>16.972707717517899</v>
      </c>
      <c r="U537">
        <f>IF((ContinuousStatsTable[[#This Row],[RepsRequested]]&gt;1),ContinuousStatsTable[[#This Row],[HalfWidth]],ContinuousStatsTable[[#This Row],[BatchMeansHalfWidth]])</f>
        <v>0.25870181881670146</v>
      </c>
    </row>
    <row r="538" spans="1:21" x14ac:dyDescent="0.2">
      <c r="A538" t="s">
        <v>67</v>
      </c>
      <c r="B538" t="s">
        <v>70</v>
      </c>
      <c r="C538">
        <v>23</v>
      </c>
      <c r="D538" t="s">
        <v>82</v>
      </c>
      <c r="E538" t="s">
        <v>98</v>
      </c>
      <c r="F538" t="s">
        <v>73</v>
      </c>
      <c r="G538">
        <v>0.170106520949003</v>
      </c>
      <c r="H538">
        <v>2E+20</v>
      </c>
      <c r="I538">
        <v>0</v>
      </c>
      <c r="J538">
        <v>4</v>
      </c>
      <c r="K538">
        <v>0</v>
      </c>
      <c r="L538">
        <v>0</v>
      </c>
      <c r="M538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538" cm="1">
        <f t="array" ref="N538">MAX(IF((ProjectInfoTable[ProjectName]=ContinuousStatsTable[[#This Row],[ProjectName]]),(ProjectInfoTable[ProjectName]=ContinuousStatsTable[[#This Row],[ProjectName]])*ProjectInfoTable[NumberOfReplications]))</f>
        <v>30</v>
      </c>
      <c r="O538" cm="1">
        <f t="array" ref="O538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538" cm="1">
        <f t="array" ref="P538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538" cm="1">
        <f t="array" ref="Q538">MAX(IF((ProjectInfoTable[ProjectName]=ContinuousStatsTable[[#This Row],[ProjectName]]),(ProjectInfoTable[ProjectName]=ContinuousStatsTable[[#This Row],[ProjectName]])*ProjectInfoTable[ConfidenceInterval]))</f>
        <v>0.95</v>
      </c>
      <c r="R5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538" cm="1">
        <f t="array" ref="S538">MIN(IF((ContinuousStatsTable[GroupByKey]=ContinuousStatsTable[[#This Row],[GroupByKey]]),(ContinuousStatsTable[GroupByKey]=ContinuousStatsTable[[#This Row],[GroupByKey]])*ContinuousStatsTable[Average]))</f>
        <v>7.4406608295854798E-2</v>
      </c>
      <c r="T538" cm="1">
        <f t="array" ref="T538">MAX(IF((ContinuousStatsTable[GroupByKey]=ContinuousStatsTable[[#This Row],[GroupByKey]]),(ContinuousStatsTable[GroupByKey]=ContinuousStatsTable[[#This Row],[GroupByKey]])*ContinuousStatsTable[Average]))</f>
        <v>0.29874320707386398</v>
      </c>
      <c r="U538">
        <f>IF((ContinuousStatsTable[[#This Row],[RepsRequested]]&gt;1),ContinuousStatsTable[[#This Row],[HalfWidth]],ContinuousStatsTable[[#This Row],[BatchMeansHalfWidth]])</f>
        <v>2.0058204231149332E-2</v>
      </c>
    </row>
    <row r="539" spans="1:21" x14ac:dyDescent="0.2">
      <c r="A539" t="s">
        <v>67</v>
      </c>
      <c r="B539" t="s">
        <v>70</v>
      </c>
      <c r="C539">
        <v>23</v>
      </c>
      <c r="D539" t="s">
        <v>101</v>
      </c>
      <c r="E539" t="s">
        <v>94</v>
      </c>
      <c r="F539" t="s">
        <v>95</v>
      </c>
      <c r="G539">
        <v>1.70504385964912E-3</v>
      </c>
      <c r="H539">
        <v>1.8730897532995999E-4</v>
      </c>
      <c r="I539">
        <v>0</v>
      </c>
      <c r="J539">
        <v>0.05</v>
      </c>
      <c r="K539">
        <v>0</v>
      </c>
      <c r="L539">
        <v>0</v>
      </c>
      <c r="M539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539" cm="1">
        <f t="array" ref="N539">MAX(IF((ProjectInfoTable[ProjectName]=ContinuousStatsTable[[#This Row],[ProjectName]]),(ProjectInfoTable[ProjectName]=ContinuousStatsTable[[#This Row],[ProjectName]])*ProjectInfoTable[NumberOfReplications]))</f>
        <v>30</v>
      </c>
      <c r="O539" cm="1">
        <f t="array" ref="O539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539" cm="1">
        <f t="array" ref="P539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539" cm="1">
        <f t="array" ref="Q539">MAX(IF((ProjectInfoTable[ProjectName]=ContinuousStatsTable[[#This Row],[ProjectName]]),(ProjectInfoTable[ProjectName]=ContinuousStatsTable[[#This Row],[ProjectName]])*ProjectInfoTable[ConfidenceInterval]))</f>
        <v>0.95</v>
      </c>
      <c r="R5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539" cm="1">
        <f t="array" ref="S539">MIN(IF((ContinuousStatsTable[GroupByKey]=ContinuousStatsTable[[#This Row],[GroupByKey]]),(ContinuousStatsTable[GroupByKey]=ContinuousStatsTable[[#This Row],[GroupByKey]])*ContinuousStatsTable[Average]))</f>
        <v>1.70504385964912E-3</v>
      </c>
      <c r="T539" cm="1">
        <f t="array" ref="T539">MAX(IF((ContinuousStatsTable[GroupByKey]=ContinuousStatsTable[[#This Row],[GroupByKey]]),(ContinuousStatsTable[GroupByKey]=ContinuousStatsTable[[#This Row],[GroupByKey]])*ContinuousStatsTable[Average]))</f>
        <v>2.17031677925951E-3</v>
      </c>
      <c r="U539">
        <f>IF((ContinuousStatsTable[[#This Row],[RepsRequested]]&gt;1),ContinuousStatsTable[[#This Row],[HalfWidth]],ContinuousStatsTable[[#This Row],[BatchMeansHalfWidth]])</f>
        <v>4.4865881583116605E-5</v>
      </c>
    </row>
    <row r="540" spans="1:21" x14ac:dyDescent="0.2">
      <c r="A540" t="s">
        <v>67</v>
      </c>
      <c r="B540" t="s">
        <v>70</v>
      </c>
      <c r="C540">
        <v>23</v>
      </c>
      <c r="D540" t="s">
        <v>101</v>
      </c>
      <c r="E540" t="s">
        <v>96</v>
      </c>
      <c r="F540" t="s">
        <v>95</v>
      </c>
      <c r="G540">
        <v>0.13640350877193</v>
      </c>
      <c r="H540">
        <v>1.4984718026396801E-2</v>
      </c>
      <c r="I540">
        <v>0</v>
      </c>
      <c r="J540">
        <v>4</v>
      </c>
      <c r="K540">
        <v>0</v>
      </c>
      <c r="L540">
        <v>0</v>
      </c>
      <c r="M540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540" cm="1">
        <f t="array" ref="N540">MAX(IF((ProjectInfoTable[ProjectName]=ContinuousStatsTable[[#This Row],[ProjectName]]),(ProjectInfoTable[ProjectName]=ContinuousStatsTable[[#This Row],[ProjectName]])*ProjectInfoTable[NumberOfReplications]))</f>
        <v>30</v>
      </c>
      <c r="O540" cm="1">
        <f t="array" ref="O540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540" cm="1">
        <f t="array" ref="P540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540" cm="1">
        <f t="array" ref="Q540">MAX(IF((ProjectInfoTable[ProjectName]=ContinuousStatsTable[[#This Row],[ProjectName]]),(ProjectInfoTable[ProjectName]=ContinuousStatsTable[[#This Row],[ProjectName]])*ProjectInfoTable[ConfidenceInterval]))</f>
        <v>0.95</v>
      </c>
      <c r="R5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540" cm="1">
        <f t="array" ref="S540">MIN(IF((ContinuousStatsTable[GroupByKey]=ContinuousStatsTable[[#This Row],[GroupByKey]]),(ContinuousStatsTable[GroupByKey]=ContinuousStatsTable[[#This Row],[GroupByKey]])*ContinuousStatsTable[Average]))</f>
        <v>0.13640350877193</v>
      </c>
      <c r="T540" cm="1">
        <f t="array" ref="T540">MAX(IF((ContinuousStatsTable[GroupByKey]=ContinuousStatsTable[[#This Row],[GroupByKey]]),(ContinuousStatsTable[GroupByKey]=ContinuousStatsTable[[#This Row],[GroupByKey]])*ContinuousStatsTable[Average]))</f>
        <v>0.17362534234076099</v>
      </c>
      <c r="U540">
        <f>IF((ContinuousStatsTable[[#This Row],[RepsRequested]]&gt;1),ContinuousStatsTable[[#This Row],[HalfWidth]],ContinuousStatsTable[[#This Row],[BatchMeansHalfWidth]])</f>
        <v>3.5892705266493139E-3</v>
      </c>
    </row>
    <row r="541" spans="1:21" x14ac:dyDescent="0.2">
      <c r="A541" t="s">
        <v>67</v>
      </c>
      <c r="B541" t="s">
        <v>70</v>
      </c>
      <c r="C541">
        <v>23</v>
      </c>
      <c r="D541" t="s">
        <v>101</v>
      </c>
      <c r="E541" t="s">
        <v>97</v>
      </c>
      <c r="F541" t="s">
        <v>95</v>
      </c>
      <c r="G541">
        <v>80</v>
      </c>
      <c r="H541">
        <v>2E+20</v>
      </c>
      <c r="I541">
        <v>80</v>
      </c>
      <c r="J541">
        <v>80</v>
      </c>
      <c r="K541">
        <v>80</v>
      </c>
      <c r="L541">
        <v>0</v>
      </c>
      <c r="M541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541" cm="1">
        <f t="array" ref="N541">MAX(IF((ProjectInfoTable[ProjectName]=ContinuousStatsTable[[#This Row],[ProjectName]]),(ProjectInfoTable[ProjectName]=ContinuousStatsTable[[#This Row],[ProjectName]])*ProjectInfoTable[NumberOfReplications]))</f>
        <v>30</v>
      </c>
      <c r="O541" cm="1">
        <f t="array" ref="O541">IFERROR(AVERAGE(IF((ContinuousStatsTable[GroupByKey]=ContinuousStatsTable[[#This Row],[GroupByKey]]),(ContinuousStatsTable[GroupByKey]=ContinuousStatsTable[[#This Row],[GroupByKey]])*ContinuousStatsTable[Average])),0)</f>
        <v>80</v>
      </c>
      <c r="P541" cm="1">
        <f t="array" ref="P541">IFERROR(_xlfn.STDEV.S(IF((ContinuousStatsTable[GroupByKey]=ContinuousStatsTable[[#This Row],[GroupByKey]]),(ContinuousStatsTable[GroupByKey]=ContinuousStatsTable[[#This Row],[GroupByKey]])*ContinuousStatsTable[Average])),0)</f>
        <v>0</v>
      </c>
      <c r="Q541" cm="1">
        <f t="array" ref="Q541">MAX(IF((ProjectInfoTable[ProjectName]=ContinuousStatsTable[[#This Row],[ProjectName]]),(ProjectInfoTable[ProjectName]=ContinuousStatsTable[[#This Row],[ProjectName]])*ProjectInfoTable[ConfidenceInterval]))</f>
        <v>0.95</v>
      </c>
      <c r="R5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1" cm="1">
        <f t="array" ref="S541">MIN(IF((ContinuousStatsTable[GroupByKey]=ContinuousStatsTable[[#This Row],[GroupByKey]]),(ContinuousStatsTable[GroupByKey]=ContinuousStatsTable[[#This Row],[GroupByKey]])*ContinuousStatsTable[Average]))</f>
        <v>80</v>
      </c>
      <c r="T541" cm="1">
        <f t="array" ref="T541">MAX(IF((ContinuousStatsTable[GroupByKey]=ContinuousStatsTable[[#This Row],[GroupByKey]]),(ContinuousStatsTable[GroupByKey]=ContinuousStatsTable[[#This Row],[GroupByKey]])*ContinuousStatsTable[Average]))</f>
        <v>80</v>
      </c>
      <c r="U541">
        <f>IF((ContinuousStatsTable[[#This Row],[RepsRequested]]&gt;1),ContinuousStatsTable[[#This Row],[HalfWidth]],ContinuousStatsTable[[#This Row],[BatchMeansHalfWidth]])</f>
        <v>0</v>
      </c>
    </row>
    <row r="542" spans="1:21" x14ac:dyDescent="0.2">
      <c r="A542" t="s">
        <v>67</v>
      </c>
      <c r="B542" t="s">
        <v>70</v>
      </c>
      <c r="C542">
        <v>23</v>
      </c>
      <c r="D542" t="s">
        <v>86</v>
      </c>
      <c r="E542" t="s">
        <v>98</v>
      </c>
      <c r="F542" t="s">
        <v>73</v>
      </c>
      <c r="G542">
        <v>0</v>
      </c>
      <c r="H542">
        <v>2E+20</v>
      </c>
      <c r="I542">
        <v>0</v>
      </c>
      <c r="J542">
        <v>0</v>
      </c>
      <c r="K542">
        <v>0</v>
      </c>
      <c r="L542">
        <v>0</v>
      </c>
      <c r="M542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542" cm="1">
        <f t="array" ref="N542">MAX(IF((ProjectInfoTable[ProjectName]=ContinuousStatsTable[[#This Row],[ProjectName]]),(ProjectInfoTable[ProjectName]=ContinuousStatsTable[[#This Row],[ProjectName]])*ProjectInfoTable[NumberOfReplications]))</f>
        <v>30</v>
      </c>
      <c r="O542" cm="1">
        <f t="array" ref="O542">IFERROR(AVERAGE(IF((ContinuousStatsTable[GroupByKey]=ContinuousStatsTable[[#This Row],[GroupByKey]]),(ContinuousStatsTable[GroupByKey]=ContinuousStatsTable[[#This Row],[GroupByKey]])*ContinuousStatsTable[Average])),0)</f>
        <v>0</v>
      </c>
      <c r="P542" cm="1">
        <f t="array" ref="P542">IFERROR(_xlfn.STDEV.S(IF((ContinuousStatsTable[GroupByKey]=ContinuousStatsTable[[#This Row],[GroupByKey]]),(ContinuousStatsTable[GroupByKey]=ContinuousStatsTable[[#This Row],[GroupByKey]])*ContinuousStatsTable[Average])),0)</f>
        <v>0</v>
      </c>
      <c r="Q542" cm="1">
        <f t="array" ref="Q542">MAX(IF((ProjectInfoTable[ProjectName]=ContinuousStatsTable[[#This Row],[ProjectName]]),(ProjectInfoTable[ProjectName]=ContinuousStatsTable[[#This Row],[ProjectName]])*ProjectInfoTable[ConfidenceInterval]))</f>
        <v>0.95</v>
      </c>
      <c r="R5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2" cm="1">
        <f t="array" ref="S542">MIN(IF((ContinuousStatsTable[GroupByKey]=ContinuousStatsTable[[#This Row],[GroupByKey]]),(ContinuousStatsTable[GroupByKey]=ContinuousStatsTable[[#This Row],[GroupByKey]])*ContinuousStatsTable[Average]))</f>
        <v>0</v>
      </c>
      <c r="T542" cm="1">
        <f t="array" ref="T542">MAX(IF((ContinuousStatsTable[GroupByKey]=ContinuousStatsTable[[#This Row],[GroupByKey]]),(ContinuousStatsTable[GroupByKey]=ContinuousStatsTable[[#This Row],[GroupByKey]])*ContinuousStatsTable[Average]))</f>
        <v>0</v>
      </c>
      <c r="U542">
        <f>IF((ContinuousStatsTable[[#This Row],[RepsRequested]]&gt;1),ContinuousStatsTable[[#This Row],[HalfWidth]],ContinuousStatsTable[[#This Row],[BatchMeansHalfWidth]])</f>
        <v>0</v>
      </c>
    </row>
    <row r="543" spans="1:21" x14ac:dyDescent="0.2">
      <c r="A543" t="s">
        <v>67</v>
      </c>
      <c r="B543" t="s">
        <v>70</v>
      </c>
      <c r="C543">
        <v>23</v>
      </c>
      <c r="D543" t="s">
        <v>87</v>
      </c>
      <c r="E543" t="s">
        <v>98</v>
      </c>
      <c r="F543" t="s">
        <v>73</v>
      </c>
      <c r="G543">
        <v>0</v>
      </c>
      <c r="H543">
        <v>2E+20</v>
      </c>
      <c r="I543">
        <v>0</v>
      </c>
      <c r="J543">
        <v>0</v>
      </c>
      <c r="K543">
        <v>0</v>
      </c>
      <c r="L543">
        <v>0</v>
      </c>
      <c r="M543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543" cm="1">
        <f t="array" ref="N543">MAX(IF((ProjectInfoTable[ProjectName]=ContinuousStatsTable[[#This Row],[ProjectName]]),(ProjectInfoTable[ProjectName]=ContinuousStatsTable[[#This Row],[ProjectName]])*ProjectInfoTable[NumberOfReplications]))</f>
        <v>30</v>
      </c>
      <c r="O543" cm="1">
        <f t="array" ref="O543">IFERROR(AVERAGE(IF((ContinuousStatsTable[GroupByKey]=ContinuousStatsTable[[#This Row],[GroupByKey]]),(ContinuousStatsTable[GroupByKey]=ContinuousStatsTable[[#This Row],[GroupByKey]])*ContinuousStatsTable[Average])),0)</f>
        <v>0</v>
      </c>
      <c r="P543" cm="1">
        <f t="array" ref="P543">IFERROR(_xlfn.STDEV.S(IF((ContinuousStatsTable[GroupByKey]=ContinuousStatsTable[[#This Row],[GroupByKey]]),(ContinuousStatsTable[GroupByKey]=ContinuousStatsTable[[#This Row],[GroupByKey]])*ContinuousStatsTable[Average])),0)</f>
        <v>0</v>
      </c>
      <c r="Q543" cm="1">
        <f t="array" ref="Q543">MAX(IF((ProjectInfoTable[ProjectName]=ContinuousStatsTable[[#This Row],[ProjectName]]),(ProjectInfoTable[ProjectName]=ContinuousStatsTable[[#This Row],[ProjectName]])*ProjectInfoTable[ConfidenceInterval]))</f>
        <v>0.95</v>
      </c>
      <c r="R5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3" cm="1">
        <f t="array" ref="S543">MIN(IF((ContinuousStatsTable[GroupByKey]=ContinuousStatsTable[[#This Row],[GroupByKey]]),(ContinuousStatsTable[GroupByKey]=ContinuousStatsTable[[#This Row],[GroupByKey]])*ContinuousStatsTable[Average]))</f>
        <v>0</v>
      </c>
      <c r="T543" cm="1">
        <f t="array" ref="T543">MAX(IF((ContinuousStatsTable[GroupByKey]=ContinuousStatsTable[[#This Row],[GroupByKey]]),(ContinuousStatsTable[GroupByKey]=ContinuousStatsTable[[#This Row],[GroupByKey]])*ContinuousStatsTable[Average]))</f>
        <v>0</v>
      </c>
      <c r="U543">
        <f>IF((ContinuousStatsTable[[#This Row],[RepsRequested]]&gt;1),ContinuousStatsTable[[#This Row],[HalfWidth]],ContinuousStatsTable[[#This Row],[BatchMeansHalfWidth]])</f>
        <v>0</v>
      </c>
    </row>
    <row r="544" spans="1:21" x14ac:dyDescent="0.2">
      <c r="A544" t="s">
        <v>67</v>
      </c>
      <c r="B544" t="s">
        <v>70</v>
      </c>
      <c r="C544">
        <v>23</v>
      </c>
      <c r="D544" t="s">
        <v>88</v>
      </c>
      <c r="E544" t="s">
        <v>98</v>
      </c>
      <c r="F544" t="s">
        <v>73</v>
      </c>
      <c r="G544">
        <v>1.48958373865543</v>
      </c>
      <c r="H544">
        <v>0.115472999331849</v>
      </c>
      <c r="I544">
        <v>0</v>
      </c>
      <c r="J544">
        <v>4</v>
      </c>
      <c r="K544">
        <v>3</v>
      </c>
      <c r="L544">
        <v>0</v>
      </c>
      <c r="M544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544" cm="1">
        <f t="array" ref="N544">MAX(IF((ProjectInfoTable[ProjectName]=ContinuousStatsTable[[#This Row],[ProjectName]]),(ProjectInfoTable[ProjectName]=ContinuousStatsTable[[#This Row],[ProjectName]])*ProjectInfoTable[NumberOfReplications]))</f>
        <v>30</v>
      </c>
      <c r="O544" cm="1">
        <f t="array" ref="O544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544" cm="1">
        <f t="array" ref="P544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544" cm="1">
        <f t="array" ref="Q544">MAX(IF((ProjectInfoTable[ProjectName]=ContinuousStatsTable[[#This Row],[ProjectName]]),(ProjectInfoTable[ProjectName]=ContinuousStatsTable[[#This Row],[ProjectName]])*ProjectInfoTable[ConfidenceInterval]))</f>
        <v>0.95</v>
      </c>
      <c r="R5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544" cm="1">
        <f t="array" ref="S544">MIN(IF((ContinuousStatsTable[GroupByKey]=ContinuousStatsTable[[#This Row],[GroupByKey]]),(ContinuousStatsTable[GroupByKey]=ContinuousStatsTable[[#This Row],[GroupByKey]])*ContinuousStatsTable[Average]))</f>
        <v>1.4062336911317099</v>
      </c>
      <c r="T544" cm="1">
        <f t="array" ref="T544">MAX(IF((ContinuousStatsTable[GroupByKey]=ContinuousStatsTable[[#This Row],[GroupByKey]]),(ContinuousStatsTable[GroupByKey]=ContinuousStatsTable[[#This Row],[GroupByKey]])*ContinuousStatsTable[Average]))</f>
        <v>1.5889769030929</v>
      </c>
      <c r="U544">
        <f>IF((ContinuousStatsTable[[#This Row],[RepsRequested]]&gt;1),ContinuousStatsTable[[#This Row],[HalfWidth]],ContinuousStatsTable[[#This Row],[BatchMeansHalfWidth]])</f>
        <v>1.602866983772662E-2</v>
      </c>
    </row>
    <row r="545" spans="1:21" x14ac:dyDescent="0.2">
      <c r="A545" t="s">
        <v>67</v>
      </c>
      <c r="B545" t="s">
        <v>70</v>
      </c>
      <c r="C545">
        <v>23</v>
      </c>
      <c r="D545" t="s">
        <v>102</v>
      </c>
      <c r="E545" t="s">
        <v>94</v>
      </c>
      <c r="F545" t="s">
        <v>95</v>
      </c>
      <c r="G545">
        <v>5.4605263157894704E-3</v>
      </c>
      <c r="H545">
        <v>6.7742868008714599E-4</v>
      </c>
      <c r="I545">
        <v>0</v>
      </c>
      <c r="J545">
        <v>0.15</v>
      </c>
      <c r="K545">
        <v>0</v>
      </c>
      <c r="L545">
        <v>0</v>
      </c>
      <c r="M545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545" cm="1">
        <f t="array" ref="N545">MAX(IF((ProjectInfoTable[ProjectName]=ContinuousStatsTable[[#This Row],[ProjectName]]),(ProjectInfoTable[ProjectName]=ContinuousStatsTable[[#This Row],[ProjectName]])*ProjectInfoTable[NumberOfReplications]))</f>
        <v>30</v>
      </c>
      <c r="O545" cm="1">
        <f t="array" ref="O545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545" cm="1">
        <f t="array" ref="P545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545" cm="1">
        <f t="array" ref="Q545">MAX(IF((ProjectInfoTable[ProjectName]=ContinuousStatsTable[[#This Row],[ProjectName]]),(ProjectInfoTable[ProjectName]=ContinuousStatsTable[[#This Row],[ProjectName]])*ProjectInfoTable[ConfidenceInterval]))</f>
        <v>0.95</v>
      </c>
      <c r="R5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545" cm="1">
        <f t="array" ref="S545">MIN(IF((ContinuousStatsTable[GroupByKey]=ContinuousStatsTable[[#This Row],[GroupByKey]]),(ContinuousStatsTable[GroupByKey]=ContinuousStatsTable[[#This Row],[GroupByKey]])*ContinuousStatsTable[Average]))</f>
        <v>4.4956140350877203E-3</v>
      </c>
      <c r="T545" cm="1">
        <f t="array" ref="T545">MAX(IF((ContinuousStatsTable[GroupByKey]=ContinuousStatsTable[[#This Row],[GroupByKey]]),(ContinuousStatsTable[GroupByKey]=ContinuousStatsTable[[#This Row],[GroupByKey]])*ContinuousStatsTable[Average]))</f>
        <v>5.5482456140350904E-3</v>
      </c>
      <c r="U545">
        <f>IF((ContinuousStatsTable[[#This Row],[RepsRequested]]&gt;1),ContinuousStatsTable[[#This Row],[HalfWidth]],ContinuousStatsTable[[#This Row],[BatchMeansHalfWidth]])</f>
        <v>1.0144486472958472E-4</v>
      </c>
    </row>
    <row r="546" spans="1:21" x14ac:dyDescent="0.2">
      <c r="A546" t="s">
        <v>67</v>
      </c>
      <c r="B546" t="s">
        <v>70</v>
      </c>
      <c r="C546">
        <v>23</v>
      </c>
      <c r="D546" t="s">
        <v>102</v>
      </c>
      <c r="E546" t="s">
        <v>96</v>
      </c>
      <c r="F546" t="s">
        <v>95</v>
      </c>
      <c r="G546">
        <v>0.10921052631578899</v>
      </c>
      <c r="H546">
        <v>1.35485736017429E-2</v>
      </c>
      <c r="I546">
        <v>0</v>
      </c>
      <c r="J546">
        <v>3</v>
      </c>
      <c r="K546">
        <v>0</v>
      </c>
      <c r="L546">
        <v>0</v>
      </c>
      <c r="M546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546" cm="1">
        <f t="array" ref="N546">MAX(IF((ProjectInfoTable[ProjectName]=ContinuousStatsTable[[#This Row],[ProjectName]]),(ProjectInfoTable[ProjectName]=ContinuousStatsTable[[#This Row],[ProjectName]])*ProjectInfoTable[NumberOfReplications]))</f>
        <v>30</v>
      </c>
      <c r="O546" cm="1">
        <f t="array" ref="O546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546" cm="1">
        <f t="array" ref="P546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546" cm="1">
        <f t="array" ref="Q546">MAX(IF((ProjectInfoTable[ProjectName]=ContinuousStatsTable[[#This Row],[ProjectName]]),(ProjectInfoTable[ProjectName]=ContinuousStatsTable[[#This Row],[ProjectName]])*ProjectInfoTable[ConfidenceInterval]))</f>
        <v>0.95</v>
      </c>
      <c r="R5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546" cm="1">
        <f t="array" ref="S546">MIN(IF((ContinuousStatsTable[GroupByKey]=ContinuousStatsTable[[#This Row],[GroupByKey]]),(ContinuousStatsTable[GroupByKey]=ContinuousStatsTable[[#This Row],[GroupByKey]])*ContinuousStatsTable[Average]))</f>
        <v>8.9912280701754305E-2</v>
      </c>
      <c r="T546" cm="1">
        <f t="array" ref="T546">MAX(IF((ContinuousStatsTable[GroupByKey]=ContinuousStatsTable[[#This Row],[GroupByKey]]),(ContinuousStatsTable[GroupByKey]=ContinuousStatsTable[[#This Row],[GroupByKey]])*ContinuousStatsTable[Average]))</f>
        <v>0.110964912280702</v>
      </c>
      <c r="U546">
        <f>IF((ContinuousStatsTable[[#This Row],[RepsRequested]]&gt;1),ContinuousStatsTable[[#This Row],[HalfWidth]],ContinuousStatsTable[[#This Row],[BatchMeansHalfWidth]])</f>
        <v>2.0288972945916956E-3</v>
      </c>
    </row>
    <row r="547" spans="1:21" x14ac:dyDescent="0.2">
      <c r="A547" t="s">
        <v>67</v>
      </c>
      <c r="B547" t="s">
        <v>70</v>
      </c>
      <c r="C547">
        <v>23</v>
      </c>
      <c r="D547" t="s">
        <v>102</v>
      </c>
      <c r="E547" t="s">
        <v>97</v>
      </c>
      <c r="F547" t="s">
        <v>95</v>
      </c>
      <c r="G547">
        <v>20</v>
      </c>
      <c r="H547">
        <v>2E+20</v>
      </c>
      <c r="I547">
        <v>20</v>
      </c>
      <c r="J547">
        <v>20</v>
      </c>
      <c r="K547">
        <v>20</v>
      </c>
      <c r="L547">
        <v>0</v>
      </c>
      <c r="M547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547" cm="1">
        <f t="array" ref="N547">MAX(IF((ProjectInfoTable[ProjectName]=ContinuousStatsTable[[#This Row],[ProjectName]]),(ProjectInfoTable[ProjectName]=ContinuousStatsTable[[#This Row],[ProjectName]])*ProjectInfoTable[NumberOfReplications]))</f>
        <v>30</v>
      </c>
      <c r="O547" cm="1">
        <f t="array" ref="O547">IFERROR(AVERAGE(IF((ContinuousStatsTable[GroupByKey]=ContinuousStatsTable[[#This Row],[GroupByKey]]),(ContinuousStatsTable[GroupByKey]=ContinuousStatsTable[[#This Row],[GroupByKey]])*ContinuousStatsTable[Average])),0)</f>
        <v>20</v>
      </c>
      <c r="P547" cm="1">
        <f t="array" ref="P547">IFERROR(_xlfn.STDEV.S(IF((ContinuousStatsTable[GroupByKey]=ContinuousStatsTable[[#This Row],[GroupByKey]]),(ContinuousStatsTable[GroupByKey]=ContinuousStatsTable[[#This Row],[GroupByKey]])*ContinuousStatsTable[Average])),0)</f>
        <v>0</v>
      </c>
      <c r="Q547" cm="1">
        <f t="array" ref="Q547">MAX(IF((ProjectInfoTable[ProjectName]=ContinuousStatsTable[[#This Row],[ProjectName]]),(ProjectInfoTable[ProjectName]=ContinuousStatsTable[[#This Row],[ProjectName]])*ProjectInfoTable[ConfidenceInterval]))</f>
        <v>0.95</v>
      </c>
      <c r="R5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7" cm="1">
        <f t="array" ref="S547">MIN(IF((ContinuousStatsTable[GroupByKey]=ContinuousStatsTable[[#This Row],[GroupByKey]]),(ContinuousStatsTable[GroupByKey]=ContinuousStatsTable[[#This Row],[GroupByKey]])*ContinuousStatsTable[Average]))</f>
        <v>20</v>
      </c>
      <c r="T547" cm="1">
        <f t="array" ref="T547">MAX(IF((ContinuousStatsTable[GroupByKey]=ContinuousStatsTable[[#This Row],[GroupByKey]]),(ContinuousStatsTable[GroupByKey]=ContinuousStatsTable[[#This Row],[GroupByKey]])*ContinuousStatsTable[Average]))</f>
        <v>20</v>
      </c>
      <c r="U547">
        <f>IF((ContinuousStatsTable[[#This Row],[RepsRequested]]&gt;1),ContinuousStatsTable[[#This Row],[HalfWidth]],ContinuousStatsTable[[#This Row],[BatchMeansHalfWidth]])</f>
        <v>0</v>
      </c>
    </row>
    <row r="548" spans="1:21" x14ac:dyDescent="0.2">
      <c r="A548" t="s">
        <v>67</v>
      </c>
      <c r="B548" t="s">
        <v>70</v>
      </c>
      <c r="C548">
        <v>23</v>
      </c>
      <c r="D548" t="s">
        <v>90</v>
      </c>
      <c r="E548" t="s">
        <v>98</v>
      </c>
      <c r="F548" t="s">
        <v>73</v>
      </c>
      <c r="G548">
        <v>0</v>
      </c>
      <c r="H548">
        <v>2E+20</v>
      </c>
      <c r="I548">
        <v>0</v>
      </c>
      <c r="J548">
        <v>0</v>
      </c>
      <c r="K548">
        <v>0</v>
      </c>
      <c r="L548">
        <v>0</v>
      </c>
      <c r="M548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548" cm="1">
        <f t="array" ref="N548">MAX(IF((ProjectInfoTable[ProjectName]=ContinuousStatsTable[[#This Row],[ProjectName]]),(ProjectInfoTable[ProjectName]=ContinuousStatsTable[[#This Row],[ProjectName]])*ProjectInfoTable[NumberOfReplications]))</f>
        <v>30</v>
      </c>
      <c r="O548" cm="1">
        <f t="array" ref="O548">IFERROR(AVERAGE(IF((ContinuousStatsTable[GroupByKey]=ContinuousStatsTable[[#This Row],[GroupByKey]]),(ContinuousStatsTable[GroupByKey]=ContinuousStatsTable[[#This Row],[GroupByKey]])*ContinuousStatsTable[Average])),0)</f>
        <v>0</v>
      </c>
      <c r="P548" cm="1">
        <f t="array" ref="P548">IFERROR(_xlfn.STDEV.S(IF((ContinuousStatsTable[GroupByKey]=ContinuousStatsTable[[#This Row],[GroupByKey]]),(ContinuousStatsTable[GroupByKey]=ContinuousStatsTable[[#This Row],[GroupByKey]])*ContinuousStatsTable[Average])),0)</f>
        <v>0</v>
      </c>
      <c r="Q548" cm="1">
        <f t="array" ref="Q548">MAX(IF((ProjectInfoTable[ProjectName]=ContinuousStatsTable[[#This Row],[ProjectName]]),(ProjectInfoTable[ProjectName]=ContinuousStatsTable[[#This Row],[ProjectName]])*ProjectInfoTable[ConfidenceInterval]))</f>
        <v>0.95</v>
      </c>
      <c r="R5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8" cm="1">
        <f t="array" ref="S548">MIN(IF((ContinuousStatsTable[GroupByKey]=ContinuousStatsTable[[#This Row],[GroupByKey]]),(ContinuousStatsTable[GroupByKey]=ContinuousStatsTable[[#This Row],[GroupByKey]])*ContinuousStatsTable[Average]))</f>
        <v>0</v>
      </c>
      <c r="T548" cm="1">
        <f t="array" ref="T548">MAX(IF((ContinuousStatsTable[GroupByKey]=ContinuousStatsTable[[#This Row],[GroupByKey]]),(ContinuousStatsTable[GroupByKey]=ContinuousStatsTable[[#This Row],[GroupByKey]])*ContinuousStatsTable[Average]))</f>
        <v>0</v>
      </c>
      <c r="U548">
        <f>IF((ContinuousStatsTable[[#This Row],[RepsRequested]]&gt;1),ContinuousStatsTable[[#This Row],[HalfWidth]],ContinuousStatsTable[[#This Row],[BatchMeansHalfWidth]])</f>
        <v>0</v>
      </c>
    </row>
    <row r="549" spans="1:21" x14ac:dyDescent="0.2">
      <c r="A549" t="s">
        <v>67</v>
      </c>
      <c r="B549" t="s">
        <v>70</v>
      </c>
      <c r="C549">
        <v>23</v>
      </c>
      <c r="D549" t="s">
        <v>91</v>
      </c>
      <c r="E549" t="s">
        <v>98</v>
      </c>
      <c r="F549" t="s">
        <v>73</v>
      </c>
      <c r="G549">
        <v>0</v>
      </c>
      <c r="H549">
        <v>2E+20</v>
      </c>
      <c r="I549">
        <v>0</v>
      </c>
      <c r="J549">
        <v>0</v>
      </c>
      <c r="K549">
        <v>0</v>
      </c>
      <c r="L549">
        <v>0</v>
      </c>
      <c r="M549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549" cm="1">
        <f t="array" ref="N549">MAX(IF((ProjectInfoTable[ProjectName]=ContinuousStatsTable[[#This Row],[ProjectName]]),(ProjectInfoTable[ProjectName]=ContinuousStatsTable[[#This Row],[ProjectName]])*ProjectInfoTable[NumberOfReplications]))</f>
        <v>30</v>
      </c>
      <c r="O549" cm="1">
        <f t="array" ref="O549">IFERROR(AVERAGE(IF((ContinuousStatsTable[GroupByKey]=ContinuousStatsTable[[#This Row],[GroupByKey]]),(ContinuousStatsTable[GroupByKey]=ContinuousStatsTable[[#This Row],[GroupByKey]])*ContinuousStatsTable[Average])),0)</f>
        <v>0</v>
      </c>
      <c r="P549" cm="1">
        <f t="array" ref="P549">IFERROR(_xlfn.STDEV.S(IF((ContinuousStatsTable[GroupByKey]=ContinuousStatsTable[[#This Row],[GroupByKey]]),(ContinuousStatsTable[GroupByKey]=ContinuousStatsTable[[#This Row],[GroupByKey]])*ContinuousStatsTable[Average])),0)</f>
        <v>0</v>
      </c>
      <c r="Q549" cm="1">
        <f t="array" ref="Q549">MAX(IF((ProjectInfoTable[ProjectName]=ContinuousStatsTable[[#This Row],[ProjectName]]),(ProjectInfoTable[ProjectName]=ContinuousStatsTable[[#This Row],[ProjectName]])*ProjectInfoTable[ConfidenceInterval]))</f>
        <v>0.95</v>
      </c>
      <c r="R5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9" cm="1">
        <f t="array" ref="S549">MIN(IF((ContinuousStatsTable[GroupByKey]=ContinuousStatsTable[[#This Row],[GroupByKey]]),(ContinuousStatsTable[GroupByKey]=ContinuousStatsTable[[#This Row],[GroupByKey]])*ContinuousStatsTable[Average]))</f>
        <v>0</v>
      </c>
      <c r="T549" cm="1">
        <f t="array" ref="T549">MAX(IF((ContinuousStatsTable[GroupByKey]=ContinuousStatsTable[[#This Row],[GroupByKey]]),(ContinuousStatsTable[GroupByKey]=ContinuousStatsTable[[#This Row],[GroupByKey]])*ContinuousStatsTable[Average]))</f>
        <v>0</v>
      </c>
      <c r="U549">
        <f>IF((ContinuousStatsTable[[#This Row],[RepsRequested]]&gt;1),ContinuousStatsTable[[#This Row],[HalfWidth]],ContinuousStatsTable[[#This Row],[BatchMeansHalfWidth]])</f>
        <v>0</v>
      </c>
    </row>
    <row r="550" spans="1:21" x14ac:dyDescent="0.2">
      <c r="A550" t="s">
        <v>67</v>
      </c>
      <c r="B550" t="s">
        <v>70</v>
      </c>
      <c r="C550">
        <v>23</v>
      </c>
      <c r="D550" t="s">
        <v>92</v>
      </c>
      <c r="E550" t="s">
        <v>98</v>
      </c>
      <c r="F550" t="s">
        <v>73</v>
      </c>
      <c r="G550">
        <v>0</v>
      </c>
      <c r="H550">
        <v>2E+20</v>
      </c>
      <c r="I550">
        <v>0</v>
      </c>
      <c r="J550">
        <v>0</v>
      </c>
      <c r="K550">
        <v>0</v>
      </c>
      <c r="L550">
        <v>0</v>
      </c>
      <c r="M550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550" cm="1">
        <f t="array" ref="N550">MAX(IF((ProjectInfoTable[ProjectName]=ContinuousStatsTable[[#This Row],[ProjectName]]),(ProjectInfoTable[ProjectName]=ContinuousStatsTable[[#This Row],[ProjectName]])*ProjectInfoTable[NumberOfReplications]))</f>
        <v>30</v>
      </c>
      <c r="O550" cm="1">
        <f t="array" ref="O550">IFERROR(AVERAGE(IF((ContinuousStatsTable[GroupByKey]=ContinuousStatsTable[[#This Row],[GroupByKey]]),(ContinuousStatsTable[GroupByKey]=ContinuousStatsTable[[#This Row],[GroupByKey]])*ContinuousStatsTable[Average])),0)</f>
        <v>0</v>
      </c>
      <c r="P550" cm="1">
        <f t="array" ref="P550">IFERROR(_xlfn.STDEV.S(IF((ContinuousStatsTable[GroupByKey]=ContinuousStatsTable[[#This Row],[GroupByKey]]),(ContinuousStatsTable[GroupByKey]=ContinuousStatsTable[[#This Row],[GroupByKey]])*ContinuousStatsTable[Average])),0)</f>
        <v>0</v>
      </c>
      <c r="Q550" cm="1">
        <f t="array" ref="Q550">MAX(IF((ProjectInfoTable[ProjectName]=ContinuousStatsTable[[#This Row],[ProjectName]]),(ProjectInfoTable[ProjectName]=ContinuousStatsTable[[#This Row],[ProjectName]])*ProjectInfoTable[ConfidenceInterval]))</f>
        <v>0.95</v>
      </c>
      <c r="R5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0" cm="1">
        <f t="array" ref="S550">MIN(IF((ContinuousStatsTable[GroupByKey]=ContinuousStatsTable[[#This Row],[GroupByKey]]),(ContinuousStatsTable[GroupByKey]=ContinuousStatsTable[[#This Row],[GroupByKey]])*ContinuousStatsTable[Average]))</f>
        <v>0</v>
      </c>
      <c r="T550" cm="1">
        <f t="array" ref="T550">MAX(IF((ContinuousStatsTable[GroupByKey]=ContinuousStatsTable[[#This Row],[GroupByKey]]),(ContinuousStatsTable[GroupByKey]=ContinuousStatsTable[[#This Row],[GroupByKey]])*ContinuousStatsTable[Average]))</f>
        <v>0</v>
      </c>
      <c r="U550">
        <f>IF((ContinuousStatsTable[[#This Row],[RepsRequested]]&gt;1),ContinuousStatsTable[[#This Row],[HalfWidth]],ContinuousStatsTable[[#This Row],[BatchMeansHalfWidth]])</f>
        <v>0</v>
      </c>
    </row>
    <row r="551" spans="1:21" x14ac:dyDescent="0.2">
      <c r="A551" t="s">
        <v>67</v>
      </c>
      <c r="B551" t="s">
        <v>70</v>
      </c>
      <c r="C551">
        <v>23</v>
      </c>
      <c r="D551" t="s">
        <v>103</v>
      </c>
      <c r="E551" t="s">
        <v>94</v>
      </c>
      <c r="F551" t="s">
        <v>95</v>
      </c>
      <c r="G551">
        <v>8.2013617748435103E-2</v>
      </c>
      <c r="H551">
        <v>2E+20</v>
      </c>
      <c r="I551">
        <v>0</v>
      </c>
      <c r="J551">
        <v>0.66666666666666696</v>
      </c>
      <c r="K551">
        <v>0</v>
      </c>
      <c r="L551">
        <v>0</v>
      </c>
      <c r="M551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551" cm="1">
        <f t="array" ref="N551">MAX(IF((ProjectInfoTable[ProjectName]=ContinuousStatsTable[[#This Row],[ProjectName]]),(ProjectInfoTable[ProjectName]=ContinuousStatsTable[[#This Row],[ProjectName]])*ProjectInfoTable[NumberOfReplications]))</f>
        <v>30</v>
      </c>
      <c r="O551" cm="1">
        <f t="array" ref="O551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551" cm="1">
        <f t="array" ref="P551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551" cm="1">
        <f t="array" ref="Q551">MAX(IF((ProjectInfoTable[ProjectName]=ContinuousStatsTable[[#This Row],[ProjectName]]),(ProjectInfoTable[ProjectName]=ContinuousStatsTable[[#This Row],[ProjectName]])*ProjectInfoTable[ConfidenceInterval]))</f>
        <v>0.95</v>
      </c>
      <c r="R5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551" cm="1">
        <f t="array" ref="S551">MIN(IF((ContinuousStatsTable[GroupByKey]=ContinuousStatsTable[[#This Row],[GroupByKey]]),(ContinuousStatsTable[GroupByKey]=ContinuousStatsTable[[#This Row],[GroupByKey]])*ContinuousStatsTable[Average]))</f>
        <v>7.7176470357846902E-2</v>
      </c>
      <c r="T551" cm="1">
        <f t="array" ref="T551">MAX(IF((ContinuousStatsTable[GroupByKey]=ContinuousStatsTable[[#This Row],[GroupByKey]]),(ContinuousStatsTable[GroupByKey]=ContinuousStatsTable[[#This Row],[GroupByKey]])*ContinuousStatsTable[Average]))</f>
        <v>9.2534326714405896E-2</v>
      </c>
      <c r="U551">
        <f>IF((ContinuousStatsTable[[#This Row],[RepsRequested]]&gt;1),ContinuousStatsTable[[#This Row],[HalfWidth]],ContinuousStatsTable[[#This Row],[BatchMeansHalfWidth]])</f>
        <v>1.3238327186697659E-3</v>
      </c>
    </row>
    <row r="552" spans="1:21" x14ac:dyDescent="0.2">
      <c r="A552" t="s">
        <v>67</v>
      </c>
      <c r="B552" t="s">
        <v>70</v>
      </c>
      <c r="C552">
        <v>23</v>
      </c>
      <c r="D552" t="s">
        <v>103</v>
      </c>
      <c r="E552" t="s">
        <v>96</v>
      </c>
      <c r="F552" t="s">
        <v>95</v>
      </c>
      <c r="G552">
        <v>0.246040853245305</v>
      </c>
      <c r="H552">
        <v>2E+20</v>
      </c>
      <c r="I552">
        <v>0</v>
      </c>
      <c r="J552">
        <v>2</v>
      </c>
      <c r="K552">
        <v>0</v>
      </c>
      <c r="L552">
        <v>0</v>
      </c>
      <c r="M552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552" cm="1">
        <f t="array" ref="N552">MAX(IF((ProjectInfoTable[ProjectName]=ContinuousStatsTable[[#This Row],[ProjectName]]),(ProjectInfoTable[ProjectName]=ContinuousStatsTable[[#This Row],[ProjectName]])*ProjectInfoTable[NumberOfReplications]))</f>
        <v>30</v>
      </c>
      <c r="O552" cm="1">
        <f t="array" ref="O552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552" cm="1">
        <f t="array" ref="P552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552" cm="1">
        <f t="array" ref="Q552">MAX(IF((ProjectInfoTable[ProjectName]=ContinuousStatsTable[[#This Row],[ProjectName]]),(ProjectInfoTable[ProjectName]=ContinuousStatsTable[[#This Row],[ProjectName]])*ProjectInfoTable[ConfidenceInterval]))</f>
        <v>0.95</v>
      </c>
      <c r="R5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552" cm="1">
        <f t="array" ref="S552">MIN(IF((ContinuousStatsTable[GroupByKey]=ContinuousStatsTable[[#This Row],[GroupByKey]]),(ContinuousStatsTable[GroupByKey]=ContinuousStatsTable[[#This Row],[GroupByKey]])*ContinuousStatsTable[Average]))</f>
        <v>0.231529411073541</v>
      </c>
      <c r="T552" cm="1">
        <f t="array" ref="T552">MAX(IF((ContinuousStatsTable[GroupByKey]=ContinuousStatsTable[[#This Row],[GroupByKey]]),(ContinuousStatsTable[GroupByKey]=ContinuousStatsTable[[#This Row],[GroupByKey]])*ContinuousStatsTable[Average]))</f>
        <v>0.27760298014321699</v>
      </c>
      <c r="U552">
        <f>IF((ContinuousStatsTable[[#This Row],[RepsRequested]]&gt;1),ContinuousStatsTable[[#This Row],[HalfWidth]],ContinuousStatsTable[[#This Row],[BatchMeansHalfWidth]])</f>
        <v>3.9714981560092996E-3</v>
      </c>
    </row>
    <row r="553" spans="1:21" x14ac:dyDescent="0.2">
      <c r="A553" t="s">
        <v>67</v>
      </c>
      <c r="B553" t="s">
        <v>70</v>
      </c>
      <c r="C553">
        <v>23</v>
      </c>
      <c r="D553" t="s">
        <v>103</v>
      </c>
      <c r="E553" t="s">
        <v>97</v>
      </c>
      <c r="F553" t="s">
        <v>95</v>
      </c>
      <c r="G553">
        <v>3</v>
      </c>
      <c r="H553">
        <v>2E+20</v>
      </c>
      <c r="I553">
        <v>3</v>
      </c>
      <c r="J553">
        <v>3</v>
      </c>
      <c r="K553">
        <v>3</v>
      </c>
      <c r="L553">
        <v>0</v>
      </c>
      <c r="M553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553" cm="1">
        <f t="array" ref="N553">MAX(IF((ProjectInfoTable[ProjectName]=ContinuousStatsTable[[#This Row],[ProjectName]]),(ProjectInfoTable[ProjectName]=ContinuousStatsTable[[#This Row],[ProjectName]])*ProjectInfoTable[NumberOfReplications]))</f>
        <v>30</v>
      </c>
      <c r="O553" cm="1">
        <f t="array" ref="O553">IFERROR(AVERAGE(IF((ContinuousStatsTable[GroupByKey]=ContinuousStatsTable[[#This Row],[GroupByKey]]),(ContinuousStatsTable[GroupByKey]=ContinuousStatsTable[[#This Row],[GroupByKey]])*ContinuousStatsTable[Average])),0)</f>
        <v>3</v>
      </c>
      <c r="P553" cm="1">
        <f t="array" ref="P553">IFERROR(_xlfn.STDEV.S(IF((ContinuousStatsTable[GroupByKey]=ContinuousStatsTable[[#This Row],[GroupByKey]]),(ContinuousStatsTable[GroupByKey]=ContinuousStatsTable[[#This Row],[GroupByKey]])*ContinuousStatsTable[Average])),0)</f>
        <v>0</v>
      </c>
      <c r="Q553" cm="1">
        <f t="array" ref="Q553">MAX(IF((ProjectInfoTable[ProjectName]=ContinuousStatsTable[[#This Row],[ProjectName]]),(ProjectInfoTable[ProjectName]=ContinuousStatsTable[[#This Row],[ProjectName]])*ProjectInfoTable[ConfidenceInterval]))</f>
        <v>0.95</v>
      </c>
      <c r="R5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3" cm="1">
        <f t="array" ref="S553">MIN(IF((ContinuousStatsTable[GroupByKey]=ContinuousStatsTable[[#This Row],[GroupByKey]]),(ContinuousStatsTable[GroupByKey]=ContinuousStatsTable[[#This Row],[GroupByKey]])*ContinuousStatsTable[Average]))</f>
        <v>3</v>
      </c>
      <c r="T553" cm="1">
        <f t="array" ref="T553">MAX(IF((ContinuousStatsTable[GroupByKey]=ContinuousStatsTable[[#This Row],[GroupByKey]]),(ContinuousStatsTable[GroupByKey]=ContinuousStatsTable[[#This Row],[GroupByKey]])*ContinuousStatsTable[Average]))</f>
        <v>3</v>
      </c>
      <c r="U553">
        <f>IF((ContinuousStatsTable[[#This Row],[RepsRequested]]&gt;1),ContinuousStatsTable[[#This Row],[HalfWidth]],ContinuousStatsTable[[#This Row],[BatchMeansHalfWidth]])</f>
        <v>0</v>
      </c>
    </row>
    <row r="554" spans="1:21" x14ac:dyDescent="0.2">
      <c r="A554" t="s">
        <v>67</v>
      </c>
      <c r="B554" t="s">
        <v>70</v>
      </c>
      <c r="C554">
        <v>24</v>
      </c>
      <c r="D554" t="s">
        <v>93</v>
      </c>
      <c r="E554" t="s">
        <v>94</v>
      </c>
      <c r="F554" t="s">
        <v>95</v>
      </c>
      <c r="G554">
        <v>0.25526315789473702</v>
      </c>
      <c r="H554">
        <v>2.59134890972198E-2</v>
      </c>
      <c r="I554">
        <v>0</v>
      </c>
      <c r="J554">
        <v>1</v>
      </c>
      <c r="K554">
        <v>0</v>
      </c>
      <c r="L554">
        <v>0</v>
      </c>
      <c r="M554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554" cm="1">
        <f t="array" ref="N554">MAX(IF((ProjectInfoTable[ProjectName]=ContinuousStatsTable[[#This Row],[ProjectName]]),(ProjectInfoTable[ProjectName]=ContinuousStatsTable[[#This Row],[ProjectName]])*ProjectInfoTable[NumberOfReplications]))</f>
        <v>30</v>
      </c>
      <c r="O554" cm="1">
        <f t="array" ref="O554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554" cm="1">
        <f t="array" ref="P554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554" cm="1">
        <f t="array" ref="Q554">MAX(IF((ProjectInfoTable[ProjectName]=ContinuousStatsTable[[#This Row],[ProjectName]]),(ProjectInfoTable[ProjectName]=ContinuousStatsTable[[#This Row],[ProjectName]])*ProjectInfoTable[ConfidenceInterval]))</f>
        <v>0.95</v>
      </c>
      <c r="R5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554" cm="1">
        <f t="array" ref="S554">MIN(IF((ContinuousStatsTable[GroupByKey]=ContinuousStatsTable[[#This Row],[GroupByKey]]),(ContinuousStatsTable[GroupByKey]=ContinuousStatsTable[[#This Row],[GroupByKey]])*ContinuousStatsTable[Average]))</f>
        <v>0.233333333333333</v>
      </c>
      <c r="T554" cm="1">
        <f t="array" ref="T554">MAX(IF((ContinuousStatsTable[GroupByKey]=ContinuousStatsTable[[#This Row],[GroupByKey]]),(ContinuousStatsTable[GroupByKey]=ContinuousStatsTable[[#This Row],[GroupByKey]])*ContinuousStatsTable[Average]))</f>
        <v>0.27905535859326402</v>
      </c>
      <c r="U554">
        <f>IF((ContinuousStatsTable[[#This Row],[RepsRequested]]&gt;1),ContinuousStatsTable[[#This Row],[HalfWidth]],ContinuousStatsTable[[#This Row],[BatchMeansHalfWidth]])</f>
        <v>4.2029769261323026E-3</v>
      </c>
    </row>
    <row r="555" spans="1:21" x14ac:dyDescent="0.2">
      <c r="A555" t="s">
        <v>67</v>
      </c>
      <c r="B555" t="s">
        <v>70</v>
      </c>
      <c r="C555">
        <v>24</v>
      </c>
      <c r="D555" t="s">
        <v>93</v>
      </c>
      <c r="E555" t="s">
        <v>96</v>
      </c>
      <c r="F555" t="s">
        <v>95</v>
      </c>
      <c r="G555">
        <v>0.25526315789473702</v>
      </c>
      <c r="H555">
        <v>2.59134890972198E-2</v>
      </c>
      <c r="I555">
        <v>0</v>
      </c>
      <c r="J555">
        <v>1</v>
      </c>
      <c r="K555">
        <v>0</v>
      </c>
      <c r="L555">
        <v>0</v>
      </c>
      <c r="M55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555" cm="1">
        <f t="array" ref="N555">MAX(IF((ProjectInfoTable[ProjectName]=ContinuousStatsTable[[#This Row],[ProjectName]]),(ProjectInfoTable[ProjectName]=ContinuousStatsTable[[#This Row],[ProjectName]])*ProjectInfoTable[NumberOfReplications]))</f>
        <v>30</v>
      </c>
      <c r="O555" cm="1">
        <f t="array" ref="O555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555" cm="1">
        <f t="array" ref="P555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555" cm="1">
        <f t="array" ref="Q555">MAX(IF((ProjectInfoTable[ProjectName]=ContinuousStatsTable[[#This Row],[ProjectName]]),(ProjectInfoTable[ProjectName]=ContinuousStatsTable[[#This Row],[ProjectName]])*ProjectInfoTable[ConfidenceInterval]))</f>
        <v>0.95</v>
      </c>
      <c r="R5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555" cm="1">
        <f t="array" ref="S555">MIN(IF((ContinuousStatsTable[GroupByKey]=ContinuousStatsTable[[#This Row],[GroupByKey]]),(ContinuousStatsTable[GroupByKey]=ContinuousStatsTable[[#This Row],[GroupByKey]])*ContinuousStatsTable[Average]))</f>
        <v>0.233333333333333</v>
      </c>
      <c r="T555" cm="1">
        <f t="array" ref="T555">MAX(IF((ContinuousStatsTable[GroupByKey]=ContinuousStatsTable[[#This Row],[GroupByKey]]),(ContinuousStatsTable[GroupByKey]=ContinuousStatsTable[[#This Row],[GroupByKey]])*ContinuousStatsTable[Average]))</f>
        <v>0.27905535859326402</v>
      </c>
      <c r="U555">
        <f>IF((ContinuousStatsTable[[#This Row],[RepsRequested]]&gt;1),ContinuousStatsTable[[#This Row],[HalfWidth]],ContinuousStatsTable[[#This Row],[BatchMeansHalfWidth]])</f>
        <v>4.2029769261323026E-3</v>
      </c>
    </row>
    <row r="556" spans="1:21" x14ac:dyDescent="0.2">
      <c r="A556" t="s">
        <v>67</v>
      </c>
      <c r="B556" t="s">
        <v>70</v>
      </c>
      <c r="C556">
        <v>24</v>
      </c>
      <c r="D556" t="s">
        <v>93</v>
      </c>
      <c r="E556" t="s">
        <v>97</v>
      </c>
      <c r="F556" t="s">
        <v>95</v>
      </c>
      <c r="G556">
        <v>1</v>
      </c>
      <c r="H556">
        <v>2E+20</v>
      </c>
      <c r="I556">
        <v>1</v>
      </c>
      <c r="J556">
        <v>1</v>
      </c>
      <c r="K556">
        <v>1</v>
      </c>
      <c r="L556">
        <v>0</v>
      </c>
      <c r="M556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556" cm="1">
        <f t="array" ref="N556">MAX(IF((ProjectInfoTable[ProjectName]=ContinuousStatsTable[[#This Row],[ProjectName]]),(ProjectInfoTable[ProjectName]=ContinuousStatsTable[[#This Row],[ProjectName]])*ProjectInfoTable[NumberOfReplications]))</f>
        <v>30</v>
      </c>
      <c r="O556" cm="1">
        <f t="array" ref="O556">IFERROR(AVERAGE(IF((ContinuousStatsTable[GroupByKey]=ContinuousStatsTable[[#This Row],[GroupByKey]]),(ContinuousStatsTable[GroupByKey]=ContinuousStatsTable[[#This Row],[GroupByKey]])*ContinuousStatsTable[Average])),0)</f>
        <v>1</v>
      </c>
      <c r="P556" cm="1">
        <f t="array" ref="P556">IFERROR(_xlfn.STDEV.S(IF((ContinuousStatsTable[GroupByKey]=ContinuousStatsTable[[#This Row],[GroupByKey]]),(ContinuousStatsTable[GroupByKey]=ContinuousStatsTable[[#This Row],[GroupByKey]])*ContinuousStatsTable[Average])),0)</f>
        <v>0</v>
      </c>
      <c r="Q556" cm="1">
        <f t="array" ref="Q556">MAX(IF((ProjectInfoTable[ProjectName]=ContinuousStatsTable[[#This Row],[ProjectName]]),(ProjectInfoTable[ProjectName]=ContinuousStatsTable[[#This Row],[ProjectName]])*ProjectInfoTable[ConfidenceInterval]))</f>
        <v>0.95</v>
      </c>
      <c r="R5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6" cm="1">
        <f t="array" ref="S556">MIN(IF((ContinuousStatsTable[GroupByKey]=ContinuousStatsTable[[#This Row],[GroupByKey]]),(ContinuousStatsTable[GroupByKey]=ContinuousStatsTable[[#This Row],[GroupByKey]])*ContinuousStatsTable[Average]))</f>
        <v>1</v>
      </c>
      <c r="T556" cm="1">
        <f t="array" ref="T556">MAX(IF((ContinuousStatsTable[GroupByKey]=ContinuousStatsTable[[#This Row],[GroupByKey]]),(ContinuousStatsTable[GroupByKey]=ContinuousStatsTable[[#This Row],[GroupByKey]])*ContinuousStatsTable[Average]))</f>
        <v>1</v>
      </c>
      <c r="U556">
        <f>IF((ContinuousStatsTable[[#This Row],[RepsRequested]]&gt;1),ContinuousStatsTable[[#This Row],[HalfWidth]],ContinuousStatsTable[[#This Row],[BatchMeansHalfWidth]])</f>
        <v>0</v>
      </c>
    </row>
    <row r="557" spans="1:21" x14ac:dyDescent="0.2">
      <c r="A557" t="s">
        <v>67</v>
      </c>
      <c r="B557" t="s">
        <v>70</v>
      </c>
      <c r="C557">
        <v>24</v>
      </c>
      <c r="D557" t="s">
        <v>71</v>
      </c>
      <c r="E557" t="s">
        <v>98</v>
      </c>
      <c r="F557" t="s">
        <v>73</v>
      </c>
      <c r="G557">
        <v>3.2742279140577202E-2</v>
      </c>
      <c r="H557">
        <v>2E+20</v>
      </c>
      <c r="I557">
        <v>0</v>
      </c>
      <c r="J557">
        <v>3</v>
      </c>
      <c r="K557">
        <v>0</v>
      </c>
      <c r="L557">
        <v>0</v>
      </c>
      <c r="M557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557" cm="1">
        <f t="array" ref="N557">MAX(IF((ProjectInfoTable[ProjectName]=ContinuousStatsTable[[#This Row],[ProjectName]]),(ProjectInfoTable[ProjectName]=ContinuousStatsTable[[#This Row],[ProjectName]])*ProjectInfoTable[NumberOfReplications]))</f>
        <v>30</v>
      </c>
      <c r="O557" cm="1">
        <f t="array" ref="O557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557" cm="1">
        <f t="array" ref="P557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557" cm="1">
        <f t="array" ref="Q557">MAX(IF((ProjectInfoTable[ProjectName]=ContinuousStatsTable[[#This Row],[ProjectName]]),(ProjectInfoTable[ProjectName]=ContinuousStatsTable[[#This Row],[ProjectName]])*ProjectInfoTable[ConfidenceInterval]))</f>
        <v>0.95</v>
      </c>
      <c r="R5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557" cm="1">
        <f t="array" ref="S557">MIN(IF((ContinuousStatsTable[GroupByKey]=ContinuousStatsTable[[#This Row],[GroupByKey]]),(ContinuousStatsTable[GroupByKey]=ContinuousStatsTable[[#This Row],[GroupByKey]])*ContinuousStatsTable[Average]))</f>
        <v>1.9664517785186901E-2</v>
      </c>
      <c r="T557" cm="1">
        <f t="array" ref="T557">MAX(IF((ContinuousStatsTable[GroupByKey]=ContinuousStatsTable[[#This Row],[GroupByKey]]),(ContinuousStatsTable[GroupByKey]=ContinuousStatsTable[[#This Row],[GroupByKey]])*ContinuousStatsTable[Average]))</f>
        <v>3.9738966906982302E-2</v>
      </c>
      <c r="U557">
        <f>IF((ContinuousStatsTable[[#This Row],[RepsRequested]]&gt;1),ContinuousStatsTable[[#This Row],[HalfWidth]],ContinuousStatsTable[[#This Row],[BatchMeansHalfWidth]])</f>
        <v>1.6627262085570247E-3</v>
      </c>
    </row>
    <row r="558" spans="1:21" x14ac:dyDescent="0.2">
      <c r="A558" t="s">
        <v>67</v>
      </c>
      <c r="B558" t="s">
        <v>70</v>
      </c>
      <c r="C558">
        <v>24</v>
      </c>
      <c r="D558" t="s">
        <v>99</v>
      </c>
      <c r="E558" t="s">
        <v>94</v>
      </c>
      <c r="F558" t="s">
        <v>95</v>
      </c>
      <c r="G558">
        <v>0.66437615485295698</v>
      </c>
      <c r="H558">
        <v>2E+20</v>
      </c>
      <c r="I558">
        <v>0</v>
      </c>
      <c r="J558">
        <v>1</v>
      </c>
      <c r="K558">
        <v>1</v>
      </c>
      <c r="L558">
        <v>0</v>
      </c>
      <c r="M558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558" cm="1">
        <f t="array" ref="N558">MAX(IF((ProjectInfoTable[ProjectName]=ContinuousStatsTable[[#This Row],[ProjectName]]),(ProjectInfoTable[ProjectName]=ContinuousStatsTable[[#This Row],[ProjectName]])*ProjectInfoTable[NumberOfReplications]))</f>
        <v>30</v>
      </c>
      <c r="O558" cm="1">
        <f t="array" ref="O558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558" cm="1">
        <f t="array" ref="P558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558" cm="1">
        <f t="array" ref="Q558">MAX(IF((ProjectInfoTable[ProjectName]=ContinuousStatsTable[[#This Row],[ProjectName]]),(ProjectInfoTable[ProjectName]=ContinuousStatsTable[[#This Row],[ProjectName]])*ProjectInfoTable[ConfidenceInterval]))</f>
        <v>0.95</v>
      </c>
      <c r="R5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558" cm="1">
        <f t="array" ref="S558">MIN(IF((ContinuousStatsTable[GroupByKey]=ContinuousStatsTable[[#This Row],[GroupByKey]]),(ContinuousStatsTable[GroupByKey]=ContinuousStatsTable[[#This Row],[GroupByKey]])*ContinuousStatsTable[Average]))</f>
        <v>0.58256422876290004</v>
      </c>
      <c r="T558" cm="1">
        <f t="array" ref="T558">MAX(IF((ContinuousStatsTable[GroupByKey]=ContinuousStatsTable[[#This Row],[GroupByKey]]),(ContinuousStatsTable[GroupByKey]=ContinuousStatsTable[[#This Row],[GroupByKey]])*ContinuousStatsTable[Average]))</f>
        <v>0.68643238055161704</v>
      </c>
      <c r="U558">
        <f>IF((ContinuousStatsTable[[#This Row],[RepsRequested]]&gt;1),ContinuousStatsTable[[#This Row],[HalfWidth]],ContinuousStatsTable[[#This Row],[BatchMeansHalfWidth]])</f>
        <v>9.8490003000806757E-3</v>
      </c>
    </row>
    <row r="559" spans="1:21" x14ac:dyDescent="0.2">
      <c r="A559" t="s">
        <v>67</v>
      </c>
      <c r="B559" t="s">
        <v>70</v>
      </c>
      <c r="C559">
        <v>24</v>
      </c>
      <c r="D559" t="s">
        <v>99</v>
      </c>
      <c r="E559" t="s">
        <v>96</v>
      </c>
      <c r="F559" t="s">
        <v>95</v>
      </c>
      <c r="G559">
        <v>1.32875230970591</v>
      </c>
      <c r="H559">
        <v>2E+20</v>
      </c>
      <c r="I559">
        <v>0</v>
      </c>
      <c r="J559">
        <v>2</v>
      </c>
      <c r="K559">
        <v>2</v>
      </c>
      <c r="L559">
        <v>0</v>
      </c>
      <c r="M559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559" cm="1">
        <f t="array" ref="N559">MAX(IF((ProjectInfoTable[ProjectName]=ContinuousStatsTable[[#This Row],[ProjectName]]),(ProjectInfoTable[ProjectName]=ContinuousStatsTable[[#This Row],[ProjectName]])*ProjectInfoTable[NumberOfReplications]))</f>
        <v>30</v>
      </c>
      <c r="O559" cm="1">
        <f t="array" ref="O559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559" cm="1">
        <f t="array" ref="P559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559" cm="1">
        <f t="array" ref="Q559">MAX(IF((ProjectInfoTable[ProjectName]=ContinuousStatsTable[[#This Row],[ProjectName]]),(ProjectInfoTable[ProjectName]=ContinuousStatsTable[[#This Row],[ProjectName]])*ProjectInfoTable[ConfidenceInterval]))</f>
        <v>0.95</v>
      </c>
      <c r="R5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559" cm="1">
        <f t="array" ref="S559">MIN(IF((ContinuousStatsTable[GroupByKey]=ContinuousStatsTable[[#This Row],[GroupByKey]]),(ContinuousStatsTable[GroupByKey]=ContinuousStatsTable[[#This Row],[GroupByKey]])*ContinuousStatsTable[Average]))</f>
        <v>1.1651284575258001</v>
      </c>
      <c r="T559" cm="1">
        <f t="array" ref="T559">MAX(IF((ContinuousStatsTable[GroupByKey]=ContinuousStatsTable[[#This Row],[GroupByKey]]),(ContinuousStatsTable[GroupByKey]=ContinuousStatsTable[[#This Row],[GroupByKey]])*ContinuousStatsTable[Average]))</f>
        <v>1.3728647611032301</v>
      </c>
      <c r="U559">
        <f>IF((ContinuousStatsTable[[#This Row],[RepsRequested]]&gt;1),ContinuousStatsTable[[#This Row],[HalfWidth]],ContinuousStatsTable[[#This Row],[BatchMeansHalfWidth]])</f>
        <v>1.9698000600160998E-2</v>
      </c>
    </row>
    <row r="560" spans="1:21" x14ac:dyDescent="0.2">
      <c r="A560" t="s">
        <v>67</v>
      </c>
      <c r="B560" t="s">
        <v>70</v>
      </c>
      <c r="C560">
        <v>24</v>
      </c>
      <c r="D560" t="s">
        <v>99</v>
      </c>
      <c r="E560" t="s">
        <v>97</v>
      </c>
      <c r="F560" t="s">
        <v>95</v>
      </c>
      <c r="G560">
        <v>2</v>
      </c>
      <c r="H560">
        <v>2E+20</v>
      </c>
      <c r="I560">
        <v>2</v>
      </c>
      <c r="J560">
        <v>2</v>
      </c>
      <c r="K560">
        <v>2</v>
      </c>
      <c r="L560">
        <v>0</v>
      </c>
      <c r="M560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560" cm="1">
        <f t="array" ref="N560">MAX(IF((ProjectInfoTable[ProjectName]=ContinuousStatsTable[[#This Row],[ProjectName]]),(ProjectInfoTable[ProjectName]=ContinuousStatsTable[[#This Row],[ProjectName]])*ProjectInfoTable[NumberOfReplications]))</f>
        <v>30</v>
      </c>
      <c r="O560" cm="1">
        <f t="array" ref="O560">IFERROR(AVERAGE(IF((ContinuousStatsTable[GroupByKey]=ContinuousStatsTable[[#This Row],[GroupByKey]]),(ContinuousStatsTable[GroupByKey]=ContinuousStatsTable[[#This Row],[GroupByKey]])*ContinuousStatsTable[Average])),0)</f>
        <v>2</v>
      </c>
      <c r="P560" cm="1">
        <f t="array" ref="P560">IFERROR(_xlfn.STDEV.S(IF((ContinuousStatsTable[GroupByKey]=ContinuousStatsTable[[#This Row],[GroupByKey]]),(ContinuousStatsTable[GroupByKey]=ContinuousStatsTable[[#This Row],[GroupByKey]])*ContinuousStatsTable[Average])),0)</f>
        <v>0</v>
      </c>
      <c r="Q560" cm="1">
        <f t="array" ref="Q560">MAX(IF((ProjectInfoTable[ProjectName]=ContinuousStatsTable[[#This Row],[ProjectName]]),(ProjectInfoTable[ProjectName]=ContinuousStatsTable[[#This Row],[ProjectName]])*ProjectInfoTable[ConfidenceInterval]))</f>
        <v>0.95</v>
      </c>
      <c r="R5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0" cm="1">
        <f t="array" ref="S560">MIN(IF((ContinuousStatsTable[GroupByKey]=ContinuousStatsTable[[#This Row],[GroupByKey]]),(ContinuousStatsTable[GroupByKey]=ContinuousStatsTable[[#This Row],[GroupByKey]])*ContinuousStatsTable[Average]))</f>
        <v>2</v>
      </c>
      <c r="T560" cm="1">
        <f t="array" ref="T560">MAX(IF((ContinuousStatsTable[GroupByKey]=ContinuousStatsTable[[#This Row],[GroupByKey]]),(ContinuousStatsTable[GroupByKey]=ContinuousStatsTable[[#This Row],[GroupByKey]])*ContinuousStatsTable[Average]))</f>
        <v>2</v>
      </c>
      <c r="U560">
        <f>IF((ContinuousStatsTable[[#This Row],[RepsRequested]]&gt;1),ContinuousStatsTable[[#This Row],[HalfWidth]],ContinuousStatsTable[[#This Row],[BatchMeansHalfWidth]])</f>
        <v>0</v>
      </c>
    </row>
    <row r="561" spans="1:21" x14ac:dyDescent="0.2">
      <c r="A561" t="s">
        <v>67</v>
      </c>
      <c r="B561" t="s">
        <v>70</v>
      </c>
      <c r="C561">
        <v>24</v>
      </c>
      <c r="D561" t="s">
        <v>74</v>
      </c>
      <c r="E561" t="s">
        <v>100</v>
      </c>
      <c r="F561" t="s">
        <v>76</v>
      </c>
      <c r="G561">
        <v>16.2374559567882</v>
      </c>
      <c r="H561">
        <v>1.45238362540225</v>
      </c>
      <c r="I561">
        <v>2</v>
      </c>
      <c r="J561">
        <v>32</v>
      </c>
      <c r="K561">
        <v>21</v>
      </c>
      <c r="L561">
        <v>0</v>
      </c>
      <c r="M561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61" cm="1">
        <f t="array" ref="N561">MAX(IF((ProjectInfoTable[ProjectName]=ContinuousStatsTable[[#This Row],[ProjectName]]),(ProjectInfoTable[ProjectName]=ContinuousStatsTable[[#This Row],[ProjectName]])*ProjectInfoTable[NumberOfReplications]))</f>
        <v>30</v>
      </c>
      <c r="O561" cm="1">
        <f t="array" ref="O561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561" cm="1">
        <f t="array" ref="P561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561" cm="1">
        <f t="array" ref="Q561">MAX(IF((ProjectInfoTable[ProjectName]=ContinuousStatsTable[[#This Row],[ProjectName]]),(ProjectInfoTable[ProjectName]=ContinuousStatsTable[[#This Row],[ProjectName]])*ProjectInfoTable[ConfidenceInterval]))</f>
        <v>0.95</v>
      </c>
      <c r="R5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561" cm="1">
        <f t="array" ref="S561">MIN(IF((ContinuousStatsTable[GroupByKey]=ContinuousStatsTable[[#This Row],[GroupByKey]]),(ContinuousStatsTable[GroupByKey]=ContinuousStatsTable[[#This Row],[GroupByKey]])*ContinuousStatsTable[Average]))</f>
        <v>14.4112589759764</v>
      </c>
      <c r="T561" cm="1">
        <f t="array" ref="T561">MAX(IF((ContinuousStatsTable[GroupByKey]=ContinuousStatsTable[[#This Row],[GroupByKey]]),(ContinuousStatsTable[GroupByKey]=ContinuousStatsTable[[#This Row],[GroupByKey]])*ContinuousStatsTable[Average]))</f>
        <v>16.972707717517899</v>
      </c>
      <c r="U561">
        <f>IF((ContinuousStatsTable[[#This Row],[RepsRequested]]&gt;1),ContinuousStatsTable[[#This Row],[HalfWidth]],ContinuousStatsTable[[#This Row],[BatchMeansHalfWidth]])</f>
        <v>0.25870181881670146</v>
      </c>
    </row>
    <row r="562" spans="1:21" x14ac:dyDescent="0.2">
      <c r="A562" t="s">
        <v>67</v>
      </c>
      <c r="B562" t="s">
        <v>70</v>
      </c>
      <c r="C562">
        <v>24</v>
      </c>
      <c r="D562" t="s">
        <v>82</v>
      </c>
      <c r="E562" t="s">
        <v>98</v>
      </c>
      <c r="F562" t="s">
        <v>73</v>
      </c>
      <c r="G562">
        <v>0.24121512835733999</v>
      </c>
      <c r="H562">
        <v>2E+20</v>
      </c>
      <c r="I562">
        <v>0</v>
      </c>
      <c r="J562">
        <v>4</v>
      </c>
      <c r="K562">
        <v>0</v>
      </c>
      <c r="L562">
        <v>0</v>
      </c>
      <c r="M562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562" cm="1">
        <f t="array" ref="N562">MAX(IF((ProjectInfoTable[ProjectName]=ContinuousStatsTable[[#This Row],[ProjectName]]),(ProjectInfoTable[ProjectName]=ContinuousStatsTable[[#This Row],[ProjectName]])*ProjectInfoTable[NumberOfReplications]))</f>
        <v>30</v>
      </c>
      <c r="O562" cm="1">
        <f t="array" ref="O562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562" cm="1">
        <f t="array" ref="P562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562" cm="1">
        <f t="array" ref="Q562">MAX(IF((ProjectInfoTable[ProjectName]=ContinuousStatsTable[[#This Row],[ProjectName]]),(ProjectInfoTable[ProjectName]=ContinuousStatsTable[[#This Row],[ProjectName]])*ProjectInfoTable[ConfidenceInterval]))</f>
        <v>0.95</v>
      </c>
      <c r="R5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562" cm="1">
        <f t="array" ref="S562">MIN(IF((ContinuousStatsTable[GroupByKey]=ContinuousStatsTable[[#This Row],[GroupByKey]]),(ContinuousStatsTable[GroupByKey]=ContinuousStatsTable[[#This Row],[GroupByKey]])*ContinuousStatsTable[Average]))</f>
        <v>7.4406608295854798E-2</v>
      </c>
      <c r="T562" cm="1">
        <f t="array" ref="T562">MAX(IF((ContinuousStatsTable[GroupByKey]=ContinuousStatsTable[[#This Row],[GroupByKey]]),(ContinuousStatsTable[GroupByKey]=ContinuousStatsTable[[#This Row],[GroupByKey]])*ContinuousStatsTable[Average]))</f>
        <v>0.29874320707386398</v>
      </c>
      <c r="U562">
        <f>IF((ContinuousStatsTable[[#This Row],[RepsRequested]]&gt;1),ContinuousStatsTable[[#This Row],[HalfWidth]],ContinuousStatsTable[[#This Row],[BatchMeansHalfWidth]])</f>
        <v>2.0058204231149332E-2</v>
      </c>
    </row>
    <row r="563" spans="1:21" x14ac:dyDescent="0.2">
      <c r="A563" t="s">
        <v>67</v>
      </c>
      <c r="B563" t="s">
        <v>70</v>
      </c>
      <c r="C563">
        <v>24</v>
      </c>
      <c r="D563" t="s">
        <v>101</v>
      </c>
      <c r="E563" t="s">
        <v>94</v>
      </c>
      <c r="F563" t="s">
        <v>95</v>
      </c>
      <c r="G563">
        <v>2.0339912280701801E-3</v>
      </c>
      <c r="H563">
        <v>2.5597688596151801E-4</v>
      </c>
      <c r="I563">
        <v>0</v>
      </c>
      <c r="J563">
        <v>3.7499999999999999E-2</v>
      </c>
      <c r="K563">
        <v>0</v>
      </c>
      <c r="L563">
        <v>0</v>
      </c>
      <c r="M563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563" cm="1">
        <f t="array" ref="N563">MAX(IF((ProjectInfoTable[ProjectName]=ContinuousStatsTable[[#This Row],[ProjectName]]),(ProjectInfoTable[ProjectName]=ContinuousStatsTable[[#This Row],[ProjectName]])*ProjectInfoTable[NumberOfReplications]))</f>
        <v>30</v>
      </c>
      <c r="O563" cm="1">
        <f t="array" ref="O563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563" cm="1">
        <f t="array" ref="P563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563" cm="1">
        <f t="array" ref="Q563">MAX(IF((ProjectInfoTable[ProjectName]=ContinuousStatsTable[[#This Row],[ProjectName]]),(ProjectInfoTable[ProjectName]=ContinuousStatsTable[[#This Row],[ProjectName]])*ProjectInfoTable[ConfidenceInterval]))</f>
        <v>0.95</v>
      </c>
      <c r="R5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563" cm="1">
        <f t="array" ref="S563">MIN(IF((ContinuousStatsTable[GroupByKey]=ContinuousStatsTable[[#This Row],[GroupByKey]]),(ContinuousStatsTable[GroupByKey]=ContinuousStatsTable[[#This Row],[GroupByKey]])*ContinuousStatsTable[Average]))</f>
        <v>1.70504385964912E-3</v>
      </c>
      <c r="T563" cm="1">
        <f t="array" ref="T563">MAX(IF((ContinuousStatsTable[GroupByKey]=ContinuousStatsTable[[#This Row],[GroupByKey]]),(ContinuousStatsTable[GroupByKey]=ContinuousStatsTable[[#This Row],[GroupByKey]])*ContinuousStatsTable[Average]))</f>
        <v>2.17031677925951E-3</v>
      </c>
      <c r="U563">
        <f>IF((ContinuousStatsTable[[#This Row],[RepsRequested]]&gt;1),ContinuousStatsTable[[#This Row],[HalfWidth]],ContinuousStatsTable[[#This Row],[BatchMeansHalfWidth]])</f>
        <v>4.4865881583116605E-5</v>
      </c>
    </row>
    <row r="564" spans="1:21" x14ac:dyDescent="0.2">
      <c r="A564" t="s">
        <v>67</v>
      </c>
      <c r="B564" t="s">
        <v>70</v>
      </c>
      <c r="C564">
        <v>24</v>
      </c>
      <c r="D564" t="s">
        <v>101</v>
      </c>
      <c r="E564" t="s">
        <v>96</v>
      </c>
      <c r="F564" t="s">
        <v>95</v>
      </c>
      <c r="G564">
        <v>0.16271929824561401</v>
      </c>
      <c r="H564">
        <v>2.0478150876921401E-2</v>
      </c>
      <c r="I564">
        <v>0</v>
      </c>
      <c r="J564">
        <v>3</v>
      </c>
      <c r="K564">
        <v>0</v>
      </c>
      <c r="L564">
        <v>0</v>
      </c>
      <c r="M564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564" cm="1">
        <f t="array" ref="N564">MAX(IF((ProjectInfoTable[ProjectName]=ContinuousStatsTable[[#This Row],[ProjectName]]),(ProjectInfoTable[ProjectName]=ContinuousStatsTable[[#This Row],[ProjectName]])*ProjectInfoTable[NumberOfReplications]))</f>
        <v>30</v>
      </c>
      <c r="O564" cm="1">
        <f t="array" ref="O564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564" cm="1">
        <f t="array" ref="P564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564" cm="1">
        <f t="array" ref="Q564">MAX(IF((ProjectInfoTable[ProjectName]=ContinuousStatsTable[[#This Row],[ProjectName]]),(ProjectInfoTable[ProjectName]=ContinuousStatsTable[[#This Row],[ProjectName]])*ProjectInfoTable[ConfidenceInterval]))</f>
        <v>0.95</v>
      </c>
      <c r="R5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564" cm="1">
        <f t="array" ref="S564">MIN(IF((ContinuousStatsTable[GroupByKey]=ContinuousStatsTable[[#This Row],[GroupByKey]]),(ContinuousStatsTable[GroupByKey]=ContinuousStatsTable[[#This Row],[GroupByKey]])*ContinuousStatsTable[Average]))</f>
        <v>0.13640350877193</v>
      </c>
      <c r="T564" cm="1">
        <f t="array" ref="T564">MAX(IF((ContinuousStatsTable[GroupByKey]=ContinuousStatsTable[[#This Row],[GroupByKey]]),(ContinuousStatsTable[GroupByKey]=ContinuousStatsTable[[#This Row],[GroupByKey]])*ContinuousStatsTable[Average]))</f>
        <v>0.17362534234076099</v>
      </c>
      <c r="U564">
        <f>IF((ContinuousStatsTable[[#This Row],[RepsRequested]]&gt;1),ContinuousStatsTable[[#This Row],[HalfWidth]],ContinuousStatsTable[[#This Row],[BatchMeansHalfWidth]])</f>
        <v>3.5892705266493139E-3</v>
      </c>
    </row>
    <row r="565" spans="1:21" x14ac:dyDescent="0.2">
      <c r="A565" t="s">
        <v>67</v>
      </c>
      <c r="B565" t="s">
        <v>70</v>
      </c>
      <c r="C565">
        <v>24</v>
      </c>
      <c r="D565" t="s">
        <v>101</v>
      </c>
      <c r="E565" t="s">
        <v>97</v>
      </c>
      <c r="F565" t="s">
        <v>95</v>
      </c>
      <c r="G565">
        <v>80</v>
      </c>
      <c r="H565">
        <v>2E+20</v>
      </c>
      <c r="I565">
        <v>80</v>
      </c>
      <c r="J565">
        <v>80</v>
      </c>
      <c r="K565">
        <v>80</v>
      </c>
      <c r="L565">
        <v>0</v>
      </c>
      <c r="M565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565" cm="1">
        <f t="array" ref="N565">MAX(IF((ProjectInfoTable[ProjectName]=ContinuousStatsTable[[#This Row],[ProjectName]]),(ProjectInfoTable[ProjectName]=ContinuousStatsTable[[#This Row],[ProjectName]])*ProjectInfoTable[NumberOfReplications]))</f>
        <v>30</v>
      </c>
      <c r="O565" cm="1">
        <f t="array" ref="O565">IFERROR(AVERAGE(IF((ContinuousStatsTable[GroupByKey]=ContinuousStatsTable[[#This Row],[GroupByKey]]),(ContinuousStatsTable[GroupByKey]=ContinuousStatsTable[[#This Row],[GroupByKey]])*ContinuousStatsTable[Average])),0)</f>
        <v>80</v>
      </c>
      <c r="P565" cm="1">
        <f t="array" ref="P565">IFERROR(_xlfn.STDEV.S(IF((ContinuousStatsTable[GroupByKey]=ContinuousStatsTable[[#This Row],[GroupByKey]]),(ContinuousStatsTable[GroupByKey]=ContinuousStatsTable[[#This Row],[GroupByKey]])*ContinuousStatsTable[Average])),0)</f>
        <v>0</v>
      </c>
      <c r="Q565" cm="1">
        <f t="array" ref="Q565">MAX(IF((ProjectInfoTable[ProjectName]=ContinuousStatsTable[[#This Row],[ProjectName]]),(ProjectInfoTable[ProjectName]=ContinuousStatsTable[[#This Row],[ProjectName]])*ProjectInfoTable[ConfidenceInterval]))</f>
        <v>0.95</v>
      </c>
      <c r="R5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5" cm="1">
        <f t="array" ref="S565">MIN(IF((ContinuousStatsTable[GroupByKey]=ContinuousStatsTable[[#This Row],[GroupByKey]]),(ContinuousStatsTable[GroupByKey]=ContinuousStatsTable[[#This Row],[GroupByKey]])*ContinuousStatsTable[Average]))</f>
        <v>80</v>
      </c>
      <c r="T565" cm="1">
        <f t="array" ref="T565">MAX(IF((ContinuousStatsTable[GroupByKey]=ContinuousStatsTable[[#This Row],[GroupByKey]]),(ContinuousStatsTable[GroupByKey]=ContinuousStatsTable[[#This Row],[GroupByKey]])*ContinuousStatsTable[Average]))</f>
        <v>80</v>
      </c>
      <c r="U565">
        <f>IF((ContinuousStatsTable[[#This Row],[RepsRequested]]&gt;1),ContinuousStatsTable[[#This Row],[HalfWidth]],ContinuousStatsTable[[#This Row],[BatchMeansHalfWidth]])</f>
        <v>0</v>
      </c>
    </row>
    <row r="566" spans="1:21" x14ac:dyDescent="0.2">
      <c r="A566" t="s">
        <v>67</v>
      </c>
      <c r="B566" t="s">
        <v>70</v>
      </c>
      <c r="C566">
        <v>24</v>
      </c>
      <c r="D566" t="s">
        <v>86</v>
      </c>
      <c r="E566" t="s">
        <v>98</v>
      </c>
      <c r="F566" t="s">
        <v>73</v>
      </c>
      <c r="G566">
        <v>0</v>
      </c>
      <c r="H566">
        <v>2E+20</v>
      </c>
      <c r="I566">
        <v>0</v>
      </c>
      <c r="J566">
        <v>0</v>
      </c>
      <c r="K566">
        <v>0</v>
      </c>
      <c r="L566">
        <v>0</v>
      </c>
      <c r="M566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566" cm="1">
        <f t="array" ref="N566">MAX(IF((ProjectInfoTable[ProjectName]=ContinuousStatsTable[[#This Row],[ProjectName]]),(ProjectInfoTable[ProjectName]=ContinuousStatsTable[[#This Row],[ProjectName]])*ProjectInfoTable[NumberOfReplications]))</f>
        <v>30</v>
      </c>
      <c r="O566" cm="1">
        <f t="array" ref="O566">IFERROR(AVERAGE(IF((ContinuousStatsTable[GroupByKey]=ContinuousStatsTable[[#This Row],[GroupByKey]]),(ContinuousStatsTable[GroupByKey]=ContinuousStatsTable[[#This Row],[GroupByKey]])*ContinuousStatsTable[Average])),0)</f>
        <v>0</v>
      </c>
      <c r="P566" cm="1">
        <f t="array" ref="P566">IFERROR(_xlfn.STDEV.S(IF((ContinuousStatsTable[GroupByKey]=ContinuousStatsTable[[#This Row],[GroupByKey]]),(ContinuousStatsTable[GroupByKey]=ContinuousStatsTable[[#This Row],[GroupByKey]])*ContinuousStatsTable[Average])),0)</f>
        <v>0</v>
      </c>
      <c r="Q566" cm="1">
        <f t="array" ref="Q566">MAX(IF((ProjectInfoTable[ProjectName]=ContinuousStatsTable[[#This Row],[ProjectName]]),(ProjectInfoTable[ProjectName]=ContinuousStatsTable[[#This Row],[ProjectName]])*ProjectInfoTable[ConfidenceInterval]))</f>
        <v>0.95</v>
      </c>
      <c r="R5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6" cm="1">
        <f t="array" ref="S566">MIN(IF((ContinuousStatsTable[GroupByKey]=ContinuousStatsTable[[#This Row],[GroupByKey]]),(ContinuousStatsTable[GroupByKey]=ContinuousStatsTable[[#This Row],[GroupByKey]])*ContinuousStatsTable[Average]))</f>
        <v>0</v>
      </c>
      <c r="T566" cm="1">
        <f t="array" ref="T566">MAX(IF((ContinuousStatsTable[GroupByKey]=ContinuousStatsTable[[#This Row],[GroupByKey]]),(ContinuousStatsTable[GroupByKey]=ContinuousStatsTable[[#This Row],[GroupByKey]])*ContinuousStatsTable[Average]))</f>
        <v>0</v>
      </c>
      <c r="U566">
        <f>IF((ContinuousStatsTable[[#This Row],[RepsRequested]]&gt;1),ContinuousStatsTable[[#This Row],[HalfWidth]],ContinuousStatsTable[[#This Row],[BatchMeansHalfWidth]])</f>
        <v>0</v>
      </c>
    </row>
    <row r="567" spans="1:21" x14ac:dyDescent="0.2">
      <c r="A567" t="s">
        <v>67</v>
      </c>
      <c r="B567" t="s">
        <v>70</v>
      </c>
      <c r="C567">
        <v>24</v>
      </c>
      <c r="D567" t="s">
        <v>87</v>
      </c>
      <c r="E567" t="s">
        <v>98</v>
      </c>
      <c r="F567" t="s">
        <v>73</v>
      </c>
      <c r="G567">
        <v>0</v>
      </c>
      <c r="H567">
        <v>2E+20</v>
      </c>
      <c r="I567">
        <v>0</v>
      </c>
      <c r="J567">
        <v>0</v>
      </c>
      <c r="K567">
        <v>0</v>
      </c>
      <c r="L567">
        <v>0</v>
      </c>
      <c r="M567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567" cm="1">
        <f t="array" ref="N567">MAX(IF((ProjectInfoTable[ProjectName]=ContinuousStatsTable[[#This Row],[ProjectName]]),(ProjectInfoTable[ProjectName]=ContinuousStatsTable[[#This Row],[ProjectName]])*ProjectInfoTable[NumberOfReplications]))</f>
        <v>30</v>
      </c>
      <c r="O567" cm="1">
        <f t="array" ref="O567">IFERROR(AVERAGE(IF((ContinuousStatsTable[GroupByKey]=ContinuousStatsTable[[#This Row],[GroupByKey]]),(ContinuousStatsTable[GroupByKey]=ContinuousStatsTable[[#This Row],[GroupByKey]])*ContinuousStatsTable[Average])),0)</f>
        <v>0</v>
      </c>
      <c r="P567" cm="1">
        <f t="array" ref="P567">IFERROR(_xlfn.STDEV.S(IF((ContinuousStatsTable[GroupByKey]=ContinuousStatsTable[[#This Row],[GroupByKey]]),(ContinuousStatsTable[GroupByKey]=ContinuousStatsTable[[#This Row],[GroupByKey]])*ContinuousStatsTable[Average])),0)</f>
        <v>0</v>
      </c>
      <c r="Q567" cm="1">
        <f t="array" ref="Q567">MAX(IF((ProjectInfoTable[ProjectName]=ContinuousStatsTable[[#This Row],[ProjectName]]),(ProjectInfoTable[ProjectName]=ContinuousStatsTable[[#This Row],[ProjectName]])*ProjectInfoTable[ConfidenceInterval]))</f>
        <v>0.95</v>
      </c>
      <c r="R5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7" cm="1">
        <f t="array" ref="S567">MIN(IF((ContinuousStatsTable[GroupByKey]=ContinuousStatsTable[[#This Row],[GroupByKey]]),(ContinuousStatsTable[GroupByKey]=ContinuousStatsTable[[#This Row],[GroupByKey]])*ContinuousStatsTable[Average]))</f>
        <v>0</v>
      </c>
      <c r="T567" cm="1">
        <f t="array" ref="T567">MAX(IF((ContinuousStatsTable[GroupByKey]=ContinuousStatsTable[[#This Row],[GroupByKey]]),(ContinuousStatsTable[GroupByKey]=ContinuousStatsTable[[#This Row],[GroupByKey]])*ContinuousStatsTable[Average]))</f>
        <v>0</v>
      </c>
      <c r="U567">
        <f>IF((ContinuousStatsTable[[#This Row],[RepsRequested]]&gt;1),ContinuousStatsTable[[#This Row],[HalfWidth]],ContinuousStatsTable[[#This Row],[BatchMeansHalfWidth]])</f>
        <v>0</v>
      </c>
    </row>
    <row r="568" spans="1:21" x14ac:dyDescent="0.2">
      <c r="A568" t="s">
        <v>67</v>
      </c>
      <c r="B568" t="s">
        <v>70</v>
      </c>
      <c r="C568">
        <v>24</v>
      </c>
      <c r="D568" t="s">
        <v>88</v>
      </c>
      <c r="E568" t="s">
        <v>98</v>
      </c>
      <c r="F568" t="s">
        <v>73</v>
      </c>
      <c r="G568">
        <v>1.51292539827522</v>
      </c>
      <c r="H568">
        <v>9.66830505107968E-2</v>
      </c>
      <c r="I568">
        <v>0</v>
      </c>
      <c r="J568">
        <v>4</v>
      </c>
      <c r="K568">
        <v>3</v>
      </c>
      <c r="L568">
        <v>0</v>
      </c>
      <c r="M568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568" cm="1">
        <f t="array" ref="N568">MAX(IF((ProjectInfoTable[ProjectName]=ContinuousStatsTable[[#This Row],[ProjectName]]),(ProjectInfoTable[ProjectName]=ContinuousStatsTable[[#This Row],[ProjectName]])*ProjectInfoTable[NumberOfReplications]))</f>
        <v>30</v>
      </c>
      <c r="O568" cm="1">
        <f t="array" ref="O568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568" cm="1">
        <f t="array" ref="P568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568" cm="1">
        <f t="array" ref="Q568">MAX(IF((ProjectInfoTable[ProjectName]=ContinuousStatsTable[[#This Row],[ProjectName]]),(ProjectInfoTable[ProjectName]=ContinuousStatsTable[[#This Row],[ProjectName]])*ProjectInfoTable[ConfidenceInterval]))</f>
        <v>0.95</v>
      </c>
      <c r="R5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568" cm="1">
        <f t="array" ref="S568">MIN(IF((ContinuousStatsTable[GroupByKey]=ContinuousStatsTable[[#This Row],[GroupByKey]]),(ContinuousStatsTable[GroupByKey]=ContinuousStatsTable[[#This Row],[GroupByKey]])*ContinuousStatsTable[Average]))</f>
        <v>1.4062336911317099</v>
      </c>
      <c r="T568" cm="1">
        <f t="array" ref="T568">MAX(IF((ContinuousStatsTable[GroupByKey]=ContinuousStatsTable[[#This Row],[GroupByKey]]),(ContinuousStatsTable[GroupByKey]=ContinuousStatsTable[[#This Row],[GroupByKey]])*ContinuousStatsTable[Average]))</f>
        <v>1.5889769030929</v>
      </c>
      <c r="U568">
        <f>IF((ContinuousStatsTable[[#This Row],[RepsRequested]]&gt;1),ContinuousStatsTable[[#This Row],[HalfWidth]],ContinuousStatsTable[[#This Row],[BatchMeansHalfWidth]])</f>
        <v>1.602866983772662E-2</v>
      </c>
    </row>
    <row r="569" spans="1:21" x14ac:dyDescent="0.2">
      <c r="A569" t="s">
        <v>67</v>
      </c>
      <c r="B569" t="s">
        <v>70</v>
      </c>
      <c r="C569">
        <v>24</v>
      </c>
      <c r="D569" t="s">
        <v>102</v>
      </c>
      <c r="E569" t="s">
        <v>94</v>
      </c>
      <c r="F569" t="s">
        <v>95</v>
      </c>
      <c r="G569">
        <v>4.86842105263158E-3</v>
      </c>
      <c r="H569">
        <v>5.4975348943072603E-4</v>
      </c>
      <c r="I569">
        <v>0</v>
      </c>
      <c r="J569">
        <v>0.1</v>
      </c>
      <c r="K569">
        <v>0</v>
      </c>
      <c r="L569">
        <v>0</v>
      </c>
      <c r="M569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569" cm="1">
        <f t="array" ref="N569">MAX(IF((ProjectInfoTable[ProjectName]=ContinuousStatsTable[[#This Row],[ProjectName]]),(ProjectInfoTable[ProjectName]=ContinuousStatsTable[[#This Row],[ProjectName]])*ProjectInfoTable[NumberOfReplications]))</f>
        <v>30</v>
      </c>
      <c r="O569" cm="1">
        <f t="array" ref="O569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569" cm="1">
        <f t="array" ref="P569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569" cm="1">
        <f t="array" ref="Q569">MAX(IF((ProjectInfoTable[ProjectName]=ContinuousStatsTable[[#This Row],[ProjectName]]),(ProjectInfoTable[ProjectName]=ContinuousStatsTable[[#This Row],[ProjectName]])*ProjectInfoTable[ConfidenceInterval]))</f>
        <v>0.95</v>
      </c>
      <c r="R5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569" cm="1">
        <f t="array" ref="S569">MIN(IF((ContinuousStatsTable[GroupByKey]=ContinuousStatsTable[[#This Row],[GroupByKey]]),(ContinuousStatsTable[GroupByKey]=ContinuousStatsTable[[#This Row],[GroupByKey]])*ContinuousStatsTable[Average]))</f>
        <v>4.4956140350877203E-3</v>
      </c>
      <c r="T569" cm="1">
        <f t="array" ref="T569">MAX(IF((ContinuousStatsTable[GroupByKey]=ContinuousStatsTable[[#This Row],[GroupByKey]]),(ContinuousStatsTable[GroupByKey]=ContinuousStatsTable[[#This Row],[GroupByKey]])*ContinuousStatsTable[Average]))</f>
        <v>5.5482456140350904E-3</v>
      </c>
      <c r="U569">
        <f>IF((ContinuousStatsTable[[#This Row],[RepsRequested]]&gt;1),ContinuousStatsTable[[#This Row],[HalfWidth]],ContinuousStatsTable[[#This Row],[BatchMeansHalfWidth]])</f>
        <v>1.0144486472958472E-4</v>
      </c>
    </row>
    <row r="570" spans="1:21" x14ac:dyDescent="0.2">
      <c r="A570" t="s">
        <v>67</v>
      </c>
      <c r="B570" t="s">
        <v>70</v>
      </c>
      <c r="C570">
        <v>24</v>
      </c>
      <c r="D570" t="s">
        <v>102</v>
      </c>
      <c r="E570" t="s">
        <v>96</v>
      </c>
      <c r="F570" t="s">
        <v>95</v>
      </c>
      <c r="G570">
        <v>9.7368421052631604E-2</v>
      </c>
      <c r="H570">
        <v>1.09950697886145E-2</v>
      </c>
      <c r="I570">
        <v>0</v>
      </c>
      <c r="J570">
        <v>2</v>
      </c>
      <c r="K570">
        <v>0</v>
      </c>
      <c r="L570">
        <v>0</v>
      </c>
      <c r="M570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570" cm="1">
        <f t="array" ref="N570">MAX(IF((ProjectInfoTable[ProjectName]=ContinuousStatsTable[[#This Row],[ProjectName]]),(ProjectInfoTable[ProjectName]=ContinuousStatsTable[[#This Row],[ProjectName]])*ProjectInfoTable[NumberOfReplications]))</f>
        <v>30</v>
      </c>
      <c r="O570" cm="1">
        <f t="array" ref="O570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570" cm="1">
        <f t="array" ref="P570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570" cm="1">
        <f t="array" ref="Q570">MAX(IF((ProjectInfoTable[ProjectName]=ContinuousStatsTable[[#This Row],[ProjectName]]),(ProjectInfoTable[ProjectName]=ContinuousStatsTable[[#This Row],[ProjectName]])*ProjectInfoTable[ConfidenceInterval]))</f>
        <v>0.95</v>
      </c>
      <c r="R5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570" cm="1">
        <f t="array" ref="S570">MIN(IF((ContinuousStatsTable[GroupByKey]=ContinuousStatsTable[[#This Row],[GroupByKey]]),(ContinuousStatsTable[GroupByKey]=ContinuousStatsTable[[#This Row],[GroupByKey]])*ContinuousStatsTable[Average]))</f>
        <v>8.9912280701754305E-2</v>
      </c>
      <c r="T570" cm="1">
        <f t="array" ref="T570">MAX(IF((ContinuousStatsTable[GroupByKey]=ContinuousStatsTable[[#This Row],[GroupByKey]]),(ContinuousStatsTable[GroupByKey]=ContinuousStatsTable[[#This Row],[GroupByKey]])*ContinuousStatsTable[Average]))</f>
        <v>0.110964912280702</v>
      </c>
      <c r="U570">
        <f>IF((ContinuousStatsTable[[#This Row],[RepsRequested]]&gt;1),ContinuousStatsTable[[#This Row],[HalfWidth]],ContinuousStatsTable[[#This Row],[BatchMeansHalfWidth]])</f>
        <v>2.0288972945916956E-3</v>
      </c>
    </row>
    <row r="571" spans="1:21" x14ac:dyDescent="0.2">
      <c r="A571" t="s">
        <v>67</v>
      </c>
      <c r="B571" t="s">
        <v>70</v>
      </c>
      <c r="C571">
        <v>24</v>
      </c>
      <c r="D571" t="s">
        <v>102</v>
      </c>
      <c r="E571" t="s">
        <v>97</v>
      </c>
      <c r="F571" t="s">
        <v>95</v>
      </c>
      <c r="G571">
        <v>20</v>
      </c>
      <c r="H571">
        <v>2E+20</v>
      </c>
      <c r="I571">
        <v>20</v>
      </c>
      <c r="J571">
        <v>20</v>
      </c>
      <c r="K571">
        <v>20</v>
      </c>
      <c r="L571">
        <v>0</v>
      </c>
      <c r="M571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571" cm="1">
        <f t="array" ref="N571">MAX(IF((ProjectInfoTable[ProjectName]=ContinuousStatsTable[[#This Row],[ProjectName]]),(ProjectInfoTable[ProjectName]=ContinuousStatsTable[[#This Row],[ProjectName]])*ProjectInfoTable[NumberOfReplications]))</f>
        <v>30</v>
      </c>
      <c r="O571" cm="1">
        <f t="array" ref="O571">IFERROR(AVERAGE(IF((ContinuousStatsTable[GroupByKey]=ContinuousStatsTable[[#This Row],[GroupByKey]]),(ContinuousStatsTable[GroupByKey]=ContinuousStatsTable[[#This Row],[GroupByKey]])*ContinuousStatsTable[Average])),0)</f>
        <v>20</v>
      </c>
      <c r="P571" cm="1">
        <f t="array" ref="P571">IFERROR(_xlfn.STDEV.S(IF((ContinuousStatsTable[GroupByKey]=ContinuousStatsTable[[#This Row],[GroupByKey]]),(ContinuousStatsTable[GroupByKey]=ContinuousStatsTable[[#This Row],[GroupByKey]])*ContinuousStatsTable[Average])),0)</f>
        <v>0</v>
      </c>
      <c r="Q571" cm="1">
        <f t="array" ref="Q571">MAX(IF((ProjectInfoTable[ProjectName]=ContinuousStatsTable[[#This Row],[ProjectName]]),(ProjectInfoTable[ProjectName]=ContinuousStatsTable[[#This Row],[ProjectName]])*ProjectInfoTable[ConfidenceInterval]))</f>
        <v>0.95</v>
      </c>
      <c r="R5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1" cm="1">
        <f t="array" ref="S571">MIN(IF((ContinuousStatsTable[GroupByKey]=ContinuousStatsTable[[#This Row],[GroupByKey]]),(ContinuousStatsTable[GroupByKey]=ContinuousStatsTable[[#This Row],[GroupByKey]])*ContinuousStatsTable[Average]))</f>
        <v>20</v>
      </c>
      <c r="T571" cm="1">
        <f t="array" ref="T571">MAX(IF((ContinuousStatsTable[GroupByKey]=ContinuousStatsTable[[#This Row],[GroupByKey]]),(ContinuousStatsTable[GroupByKey]=ContinuousStatsTable[[#This Row],[GroupByKey]])*ContinuousStatsTable[Average]))</f>
        <v>20</v>
      </c>
      <c r="U571">
        <f>IF((ContinuousStatsTable[[#This Row],[RepsRequested]]&gt;1),ContinuousStatsTable[[#This Row],[HalfWidth]],ContinuousStatsTable[[#This Row],[BatchMeansHalfWidth]])</f>
        <v>0</v>
      </c>
    </row>
    <row r="572" spans="1:21" x14ac:dyDescent="0.2">
      <c r="A572" t="s">
        <v>67</v>
      </c>
      <c r="B572" t="s">
        <v>70</v>
      </c>
      <c r="C572">
        <v>24</v>
      </c>
      <c r="D572" t="s">
        <v>90</v>
      </c>
      <c r="E572" t="s">
        <v>98</v>
      </c>
      <c r="F572" t="s">
        <v>73</v>
      </c>
      <c r="G572">
        <v>0</v>
      </c>
      <c r="H572">
        <v>2E+20</v>
      </c>
      <c r="I572">
        <v>0</v>
      </c>
      <c r="J572">
        <v>0</v>
      </c>
      <c r="K572">
        <v>0</v>
      </c>
      <c r="L572">
        <v>0</v>
      </c>
      <c r="M572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572" cm="1">
        <f t="array" ref="N572">MAX(IF((ProjectInfoTable[ProjectName]=ContinuousStatsTable[[#This Row],[ProjectName]]),(ProjectInfoTable[ProjectName]=ContinuousStatsTable[[#This Row],[ProjectName]])*ProjectInfoTable[NumberOfReplications]))</f>
        <v>30</v>
      </c>
      <c r="O572" cm="1">
        <f t="array" ref="O572">IFERROR(AVERAGE(IF((ContinuousStatsTable[GroupByKey]=ContinuousStatsTable[[#This Row],[GroupByKey]]),(ContinuousStatsTable[GroupByKey]=ContinuousStatsTable[[#This Row],[GroupByKey]])*ContinuousStatsTable[Average])),0)</f>
        <v>0</v>
      </c>
      <c r="P572" cm="1">
        <f t="array" ref="P572">IFERROR(_xlfn.STDEV.S(IF((ContinuousStatsTable[GroupByKey]=ContinuousStatsTable[[#This Row],[GroupByKey]]),(ContinuousStatsTable[GroupByKey]=ContinuousStatsTable[[#This Row],[GroupByKey]])*ContinuousStatsTable[Average])),0)</f>
        <v>0</v>
      </c>
      <c r="Q572" cm="1">
        <f t="array" ref="Q572">MAX(IF((ProjectInfoTable[ProjectName]=ContinuousStatsTable[[#This Row],[ProjectName]]),(ProjectInfoTable[ProjectName]=ContinuousStatsTable[[#This Row],[ProjectName]])*ProjectInfoTable[ConfidenceInterval]))</f>
        <v>0.95</v>
      </c>
      <c r="R5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2" cm="1">
        <f t="array" ref="S572">MIN(IF((ContinuousStatsTable[GroupByKey]=ContinuousStatsTable[[#This Row],[GroupByKey]]),(ContinuousStatsTable[GroupByKey]=ContinuousStatsTable[[#This Row],[GroupByKey]])*ContinuousStatsTable[Average]))</f>
        <v>0</v>
      </c>
      <c r="T572" cm="1">
        <f t="array" ref="T572">MAX(IF((ContinuousStatsTable[GroupByKey]=ContinuousStatsTable[[#This Row],[GroupByKey]]),(ContinuousStatsTable[GroupByKey]=ContinuousStatsTable[[#This Row],[GroupByKey]])*ContinuousStatsTable[Average]))</f>
        <v>0</v>
      </c>
      <c r="U572">
        <f>IF((ContinuousStatsTable[[#This Row],[RepsRequested]]&gt;1),ContinuousStatsTable[[#This Row],[HalfWidth]],ContinuousStatsTable[[#This Row],[BatchMeansHalfWidth]])</f>
        <v>0</v>
      </c>
    </row>
    <row r="573" spans="1:21" x14ac:dyDescent="0.2">
      <c r="A573" t="s">
        <v>67</v>
      </c>
      <c r="B573" t="s">
        <v>70</v>
      </c>
      <c r="C573">
        <v>24</v>
      </c>
      <c r="D573" t="s">
        <v>91</v>
      </c>
      <c r="E573" t="s">
        <v>98</v>
      </c>
      <c r="F573" t="s">
        <v>73</v>
      </c>
      <c r="G573">
        <v>0</v>
      </c>
      <c r="H573">
        <v>2E+20</v>
      </c>
      <c r="I573">
        <v>0</v>
      </c>
      <c r="J573">
        <v>0</v>
      </c>
      <c r="K573">
        <v>0</v>
      </c>
      <c r="L573">
        <v>0</v>
      </c>
      <c r="M573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573" cm="1">
        <f t="array" ref="N573">MAX(IF((ProjectInfoTable[ProjectName]=ContinuousStatsTable[[#This Row],[ProjectName]]),(ProjectInfoTable[ProjectName]=ContinuousStatsTable[[#This Row],[ProjectName]])*ProjectInfoTable[NumberOfReplications]))</f>
        <v>30</v>
      </c>
      <c r="O573" cm="1">
        <f t="array" ref="O573">IFERROR(AVERAGE(IF((ContinuousStatsTable[GroupByKey]=ContinuousStatsTable[[#This Row],[GroupByKey]]),(ContinuousStatsTable[GroupByKey]=ContinuousStatsTable[[#This Row],[GroupByKey]])*ContinuousStatsTable[Average])),0)</f>
        <v>0</v>
      </c>
      <c r="P573" cm="1">
        <f t="array" ref="P573">IFERROR(_xlfn.STDEV.S(IF((ContinuousStatsTable[GroupByKey]=ContinuousStatsTable[[#This Row],[GroupByKey]]),(ContinuousStatsTable[GroupByKey]=ContinuousStatsTable[[#This Row],[GroupByKey]])*ContinuousStatsTable[Average])),0)</f>
        <v>0</v>
      </c>
      <c r="Q573" cm="1">
        <f t="array" ref="Q573">MAX(IF((ProjectInfoTable[ProjectName]=ContinuousStatsTable[[#This Row],[ProjectName]]),(ProjectInfoTable[ProjectName]=ContinuousStatsTable[[#This Row],[ProjectName]])*ProjectInfoTable[ConfidenceInterval]))</f>
        <v>0.95</v>
      </c>
      <c r="R5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3" cm="1">
        <f t="array" ref="S573">MIN(IF((ContinuousStatsTable[GroupByKey]=ContinuousStatsTable[[#This Row],[GroupByKey]]),(ContinuousStatsTable[GroupByKey]=ContinuousStatsTable[[#This Row],[GroupByKey]])*ContinuousStatsTable[Average]))</f>
        <v>0</v>
      </c>
      <c r="T573" cm="1">
        <f t="array" ref="T573">MAX(IF((ContinuousStatsTable[GroupByKey]=ContinuousStatsTable[[#This Row],[GroupByKey]]),(ContinuousStatsTable[GroupByKey]=ContinuousStatsTable[[#This Row],[GroupByKey]])*ContinuousStatsTable[Average]))</f>
        <v>0</v>
      </c>
      <c r="U573">
        <f>IF((ContinuousStatsTable[[#This Row],[RepsRequested]]&gt;1),ContinuousStatsTable[[#This Row],[HalfWidth]],ContinuousStatsTable[[#This Row],[BatchMeansHalfWidth]])</f>
        <v>0</v>
      </c>
    </row>
    <row r="574" spans="1:21" x14ac:dyDescent="0.2">
      <c r="A574" t="s">
        <v>67</v>
      </c>
      <c r="B574" t="s">
        <v>70</v>
      </c>
      <c r="C574">
        <v>24</v>
      </c>
      <c r="D574" t="s">
        <v>92</v>
      </c>
      <c r="E574" t="s">
        <v>98</v>
      </c>
      <c r="F574" t="s">
        <v>73</v>
      </c>
      <c r="G574">
        <v>0</v>
      </c>
      <c r="H574">
        <v>2E+20</v>
      </c>
      <c r="I574">
        <v>0</v>
      </c>
      <c r="J574">
        <v>0</v>
      </c>
      <c r="K574">
        <v>0</v>
      </c>
      <c r="L574">
        <v>0</v>
      </c>
      <c r="M574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574" cm="1">
        <f t="array" ref="N574">MAX(IF((ProjectInfoTable[ProjectName]=ContinuousStatsTable[[#This Row],[ProjectName]]),(ProjectInfoTable[ProjectName]=ContinuousStatsTable[[#This Row],[ProjectName]])*ProjectInfoTable[NumberOfReplications]))</f>
        <v>30</v>
      </c>
      <c r="O574" cm="1">
        <f t="array" ref="O574">IFERROR(AVERAGE(IF((ContinuousStatsTable[GroupByKey]=ContinuousStatsTable[[#This Row],[GroupByKey]]),(ContinuousStatsTable[GroupByKey]=ContinuousStatsTable[[#This Row],[GroupByKey]])*ContinuousStatsTable[Average])),0)</f>
        <v>0</v>
      </c>
      <c r="P574" cm="1">
        <f t="array" ref="P574">IFERROR(_xlfn.STDEV.S(IF((ContinuousStatsTable[GroupByKey]=ContinuousStatsTable[[#This Row],[GroupByKey]]),(ContinuousStatsTable[GroupByKey]=ContinuousStatsTable[[#This Row],[GroupByKey]])*ContinuousStatsTable[Average])),0)</f>
        <v>0</v>
      </c>
      <c r="Q574" cm="1">
        <f t="array" ref="Q574">MAX(IF((ProjectInfoTable[ProjectName]=ContinuousStatsTable[[#This Row],[ProjectName]]),(ProjectInfoTable[ProjectName]=ContinuousStatsTable[[#This Row],[ProjectName]])*ProjectInfoTable[ConfidenceInterval]))</f>
        <v>0.95</v>
      </c>
      <c r="R5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4" cm="1">
        <f t="array" ref="S574">MIN(IF((ContinuousStatsTable[GroupByKey]=ContinuousStatsTable[[#This Row],[GroupByKey]]),(ContinuousStatsTable[GroupByKey]=ContinuousStatsTable[[#This Row],[GroupByKey]])*ContinuousStatsTable[Average]))</f>
        <v>0</v>
      </c>
      <c r="T574" cm="1">
        <f t="array" ref="T574">MAX(IF((ContinuousStatsTable[GroupByKey]=ContinuousStatsTable[[#This Row],[GroupByKey]]),(ContinuousStatsTable[GroupByKey]=ContinuousStatsTable[[#This Row],[GroupByKey]])*ContinuousStatsTable[Average]))</f>
        <v>0</v>
      </c>
      <c r="U574">
        <f>IF((ContinuousStatsTable[[#This Row],[RepsRequested]]&gt;1),ContinuousStatsTable[[#This Row],[HalfWidth]],ContinuousStatsTable[[#This Row],[BatchMeansHalfWidth]])</f>
        <v>0</v>
      </c>
    </row>
    <row r="575" spans="1:21" x14ac:dyDescent="0.2">
      <c r="A575" t="s">
        <v>67</v>
      </c>
      <c r="B575" t="s">
        <v>70</v>
      </c>
      <c r="C575">
        <v>24</v>
      </c>
      <c r="D575" t="s">
        <v>103</v>
      </c>
      <c r="E575" t="s">
        <v>94</v>
      </c>
      <c r="F575" t="s">
        <v>95</v>
      </c>
      <c r="G575">
        <v>8.8212885028186597E-2</v>
      </c>
      <c r="H575">
        <v>2E+20</v>
      </c>
      <c r="I575">
        <v>0</v>
      </c>
      <c r="J575">
        <v>0.66666666666666696</v>
      </c>
      <c r="K575">
        <v>0</v>
      </c>
      <c r="L575">
        <v>0</v>
      </c>
      <c r="M575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575" cm="1">
        <f t="array" ref="N575">MAX(IF((ProjectInfoTable[ProjectName]=ContinuousStatsTable[[#This Row],[ProjectName]]),(ProjectInfoTable[ProjectName]=ContinuousStatsTable[[#This Row],[ProjectName]])*ProjectInfoTable[NumberOfReplications]))</f>
        <v>30</v>
      </c>
      <c r="O575" cm="1">
        <f t="array" ref="O575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575" cm="1">
        <f t="array" ref="P575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575" cm="1">
        <f t="array" ref="Q575">MAX(IF((ProjectInfoTable[ProjectName]=ContinuousStatsTable[[#This Row],[ProjectName]]),(ProjectInfoTable[ProjectName]=ContinuousStatsTable[[#This Row],[ProjectName]])*ProjectInfoTable[ConfidenceInterval]))</f>
        <v>0.95</v>
      </c>
      <c r="R5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575" cm="1">
        <f t="array" ref="S575">MIN(IF((ContinuousStatsTable[GroupByKey]=ContinuousStatsTable[[#This Row],[GroupByKey]]),(ContinuousStatsTable[GroupByKey]=ContinuousStatsTable[[#This Row],[GroupByKey]])*ContinuousStatsTable[Average]))</f>
        <v>7.7176470357846902E-2</v>
      </c>
      <c r="T575" cm="1">
        <f t="array" ref="T575">MAX(IF((ContinuousStatsTable[GroupByKey]=ContinuousStatsTable[[#This Row],[GroupByKey]]),(ContinuousStatsTable[GroupByKey]=ContinuousStatsTable[[#This Row],[GroupByKey]])*ContinuousStatsTable[Average]))</f>
        <v>9.2534326714405896E-2</v>
      </c>
      <c r="U575">
        <f>IF((ContinuousStatsTable[[#This Row],[RepsRequested]]&gt;1),ContinuousStatsTable[[#This Row],[HalfWidth]],ContinuousStatsTable[[#This Row],[BatchMeansHalfWidth]])</f>
        <v>1.3238327186697659E-3</v>
      </c>
    </row>
    <row r="576" spans="1:21" x14ac:dyDescent="0.2">
      <c r="A576" t="s">
        <v>67</v>
      </c>
      <c r="B576" t="s">
        <v>70</v>
      </c>
      <c r="C576">
        <v>24</v>
      </c>
      <c r="D576" t="s">
        <v>103</v>
      </c>
      <c r="E576" t="s">
        <v>96</v>
      </c>
      <c r="F576" t="s">
        <v>95</v>
      </c>
      <c r="G576">
        <v>0.26463865508456003</v>
      </c>
      <c r="H576">
        <v>2E+20</v>
      </c>
      <c r="I576">
        <v>0</v>
      </c>
      <c r="J576">
        <v>2</v>
      </c>
      <c r="K576">
        <v>0</v>
      </c>
      <c r="L576">
        <v>0</v>
      </c>
      <c r="M576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576" cm="1">
        <f t="array" ref="N576">MAX(IF((ProjectInfoTable[ProjectName]=ContinuousStatsTable[[#This Row],[ProjectName]]),(ProjectInfoTable[ProjectName]=ContinuousStatsTable[[#This Row],[ProjectName]])*ProjectInfoTable[NumberOfReplications]))</f>
        <v>30</v>
      </c>
      <c r="O576" cm="1">
        <f t="array" ref="O576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576" cm="1">
        <f t="array" ref="P576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576" cm="1">
        <f t="array" ref="Q576">MAX(IF((ProjectInfoTable[ProjectName]=ContinuousStatsTable[[#This Row],[ProjectName]]),(ProjectInfoTable[ProjectName]=ContinuousStatsTable[[#This Row],[ProjectName]])*ProjectInfoTable[ConfidenceInterval]))</f>
        <v>0.95</v>
      </c>
      <c r="R5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576" cm="1">
        <f t="array" ref="S576">MIN(IF((ContinuousStatsTable[GroupByKey]=ContinuousStatsTable[[#This Row],[GroupByKey]]),(ContinuousStatsTable[GroupByKey]=ContinuousStatsTable[[#This Row],[GroupByKey]])*ContinuousStatsTable[Average]))</f>
        <v>0.231529411073541</v>
      </c>
      <c r="T576" cm="1">
        <f t="array" ref="T576">MAX(IF((ContinuousStatsTable[GroupByKey]=ContinuousStatsTable[[#This Row],[GroupByKey]]),(ContinuousStatsTable[GroupByKey]=ContinuousStatsTable[[#This Row],[GroupByKey]])*ContinuousStatsTable[Average]))</f>
        <v>0.27760298014321699</v>
      </c>
      <c r="U576">
        <f>IF((ContinuousStatsTable[[#This Row],[RepsRequested]]&gt;1),ContinuousStatsTable[[#This Row],[HalfWidth]],ContinuousStatsTable[[#This Row],[BatchMeansHalfWidth]])</f>
        <v>3.9714981560092996E-3</v>
      </c>
    </row>
    <row r="577" spans="1:21" x14ac:dyDescent="0.2">
      <c r="A577" t="s">
        <v>67</v>
      </c>
      <c r="B577" t="s">
        <v>70</v>
      </c>
      <c r="C577">
        <v>24</v>
      </c>
      <c r="D577" t="s">
        <v>103</v>
      </c>
      <c r="E577" t="s">
        <v>97</v>
      </c>
      <c r="F577" t="s">
        <v>95</v>
      </c>
      <c r="G577">
        <v>3</v>
      </c>
      <c r="H577">
        <v>2E+20</v>
      </c>
      <c r="I577">
        <v>3</v>
      </c>
      <c r="J577">
        <v>3</v>
      </c>
      <c r="K577">
        <v>3</v>
      </c>
      <c r="L577">
        <v>0</v>
      </c>
      <c r="M577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577" cm="1">
        <f t="array" ref="N577">MAX(IF((ProjectInfoTable[ProjectName]=ContinuousStatsTable[[#This Row],[ProjectName]]),(ProjectInfoTable[ProjectName]=ContinuousStatsTable[[#This Row],[ProjectName]])*ProjectInfoTable[NumberOfReplications]))</f>
        <v>30</v>
      </c>
      <c r="O577" cm="1">
        <f t="array" ref="O577">IFERROR(AVERAGE(IF((ContinuousStatsTable[GroupByKey]=ContinuousStatsTable[[#This Row],[GroupByKey]]),(ContinuousStatsTable[GroupByKey]=ContinuousStatsTable[[#This Row],[GroupByKey]])*ContinuousStatsTable[Average])),0)</f>
        <v>3</v>
      </c>
      <c r="P577" cm="1">
        <f t="array" ref="P577">IFERROR(_xlfn.STDEV.S(IF((ContinuousStatsTable[GroupByKey]=ContinuousStatsTable[[#This Row],[GroupByKey]]),(ContinuousStatsTable[GroupByKey]=ContinuousStatsTable[[#This Row],[GroupByKey]])*ContinuousStatsTable[Average])),0)</f>
        <v>0</v>
      </c>
      <c r="Q577" cm="1">
        <f t="array" ref="Q577">MAX(IF((ProjectInfoTable[ProjectName]=ContinuousStatsTable[[#This Row],[ProjectName]]),(ProjectInfoTable[ProjectName]=ContinuousStatsTable[[#This Row],[ProjectName]])*ProjectInfoTable[ConfidenceInterval]))</f>
        <v>0.95</v>
      </c>
      <c r="R5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7" cm="1">
        <f t="array" ref="S577">MIN(IF((ContinuousStatsTable[GroupByKey]=ContinuousStatsTable[[#This Row],[GroupByKey]]),(ContinuousStatsTable[GroupByKey]=ContinuousStatsTable[[#This Row],[GroupByKey]])*ContinuousStatsTable[Average]))</f>
        <v>3</v>
      </c>
      <c r="T577" cm="1">
        <f t="array" ref="T577">MAX(IF((ContinuousStatsTable[GroupByKey]=ContinuousStatsTable[[#This Row],[GroupByKey]]),(ContinuousStatsTable[GroupByKey]=ContinuousStatsTable[[#This Row],[GroupByKey]])*ContinuousStatsTable[Average]))</f>
        <v>3</v>
      </c>
      <c r="U577">
        <f>IF((ContinuousStatsTable[[#This Row],[RepsRequested]]&gt;1),ContinuousStatsTable[[#This Row],[HalfWidth]],ContinuousStatsTable[[#This Row],[BatchMeansHalfWidth]])</f>
        <v>0</v>
      </c>
    </row>
    <row r="578" spans="1:21" x14ac:dyDescent="0.2">
      <c r="A578" t="s">
        <v>67</v>
      </c>
      <c r="B578" t="s">
        <v>70</v>
      </c>
      <c r="C578">
        <v>25</v>
      </c>
      <c r="D578" t="s">
        <v>93</v>
      </c>
      <c r="E578" t="s">
        <v>94</v>
      </c>
      <c r="F578" t="s">
        <v>95</v>
      </c>
      <c r="G578">
        <v>0.26491228070175399</v>
      </c>
      <c r="H578">
        <v>2.1570039275284902E-2</v>
      </c>
      <c r="I578">
        <v>0</v>
      </c>
      <c r="J578">
        <v>1</v>
      </c>
      <c r="K578">
        <v>0</v>
      </c>
      <c r="L578">
        <v>0</v>
      </c>
      <c r="M578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578" cm="1">
        <f t="array" ref="N578">MAX(IF((ProjectInfoTable[ProjectName]=ContinuousStatsTable[[#This Row],[ProjectName]]),(ProjectInfoTable[ProjectName]=ContinuousStatsTable[[#This Row],[ProjectName]])*ProjectInfoTable[NumberOfReplications]))</f>
        <v>30</v>
      </c>
      <c r="O578" cm="1">
        <f t="array" ref="O578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578" cm="1">
        <f t="array" ref="P578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578" cm="1">
        <f t="array" ref="Q578">MAX(IF((ProjectInfoTable[ProjectName]=ContinuousStatsTable[[#This Row],[ProjectName]]),(ProjectInfoTable[ProjectName]=ContinuousStatsTable[[#This Row],[ProjectName]])*ProjectInfoTable[ConfidenceInterval]))</f>
        <v>0.95</v>
      </c>
      <c r="R5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578" cm="1">
        <f t="array" ref="S578">MIN(IF((ContinuousStatsTable[GroupByKey]=ContinuousStatsTable[[#This Row],[GroupByKey]]),(ContinuousStatsTable[GroupByKey]=ContinuousStatsTable[[#This Row],[GroupByKey]])*ContinuousStatsTable[Average]))</f>
        <v>0.233333333333333</v>
      </c>
      <c r="T578" cm="1">
        <f t="array" ref="T578">MAX(IF((ContinuousStatsTable[GroupByKey]=ContinuousStatsTable[[#This Row],[GroupByKey]]),(ContinuousStatsTable[GroupByKey]=ContinuousStatsTable[[#This Row],[GroupByKey]])*ContinuousStatsTable[Average]))</f>
        <v>0.27905535859326402</v>
      </c>
      <c r="U578">
        <f>IF((ContinuousStatsTable[[#This Row],[RepsRequested]]&gt;1),ContinuousStatsTable[[#This Row],[HalfWidth]],ContinuousStatsTable[[#This Row],[BatchMeansHalfWidth]])</f>
        <v>4.2029769261323026E-3</v>
      </c>
    </row>
    <row r="579" spans="1:21" x14ac:dyDescent="0.2">
      <c r="A579" t="s">
        <v>67</v>
      </c>
      <c r="B579" t="s">
        <v>70</v>
      </c>
      <c r="C579">
        <v>25</v>
      </c>
      <c r="D579" t="s">
        <v>93</v>
      </c>
      <c r="E579" t="s">
        <v>96</v>
      </c>
      <c r="F579" t="s">
        <v>95</v>
      </c>
      <c r="G579">
        <v>0.26491228070175399</v>
      </c>
      <c r="H579">
        <v>2.1570039275284902E-2</v>
      </c>
      <c r="I579">
        <v>0</v>
      </c>
      <c r="J579">
        <v>1</v>
      </c>
      <c r="K579">
        <v>0</v>
      </c>
      <c r="L579">
        <v>0</v>
      </c>
      <c r="M579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579" cm="1">
        <f t="array" ref="N579">MAX(IF((ProjectInfoTable[ProjectName]=ContinuousStatsTable[[#This Row],[ProjectName]]),(ProjectInfoTable[ProjectName]=ContinuousStatsTable[[#This Row],[ProjectName]])*ProjectInfoTable[NumberOfReplications]))</f>
        <v>30</v>
      </c>
      <c r="O579" cm="1">
        <f t="array" ref="O579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579" cm="1">
        <f t="array" ref="P579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579" cm="1">
        <f t="array" ref="Q579">MAX(IF((ProjectInfoTable[ProjectName]=ContinuousStatsTable[[#This Row],[ProjectName]]),(ProjectInfoTable[ProjectName]=ContinuousStatsTable[[#This Row],[ProjectName]])*ProjectInfoTable[ConfidenceInterval]))</f>
        <v>0.95</v>
      </c>
      <c r="R5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579" cm="1">
        <f t="array" ref="S579">MIN(IF((ContinuousStatsTable[GroupByKey]=ContinuousStatsTable[[#This Row],[GroupByKey]]),(ContinuousStatsTable[GroupByKey]=ContinuousStatsTable[[#This Row],[GroupByKey]])*ContinuousStatsTable[Average]))</f>
        <v>0.233333333333333</v>
      </c>
      <c r="T579" cm="1">
        <f t="array" ref="T579">MAX(IF((ContinuousStatsTable[GroupByKey]=ContinuousStatsTable[[#This Row],[GroupByKey]]),(ContinuousStatsTable[GroupByKey]=ContinuousStatsTable[[#This Row],[GroupByKey]])*ContinuousStatsTable[Average]))</f>
        <v>0.27905535859326402</v>
      </c>
      <c r="U579">
        <f>IF((ContinuousStatsTable[[#This Row],[RepsRequested]]&gt;1),ContinuousStatsTable[[#This Row],[HalfWidth]],ContinuousStatsTable[[#This Row],[BatchMeansHalfWidth]])</f>
        <v>4.2029769261323026E-3</v>
      </c>
    </row>
    <row r="580" spans="1:21" x14ac:dyDescent="0.2">
      <c r="A580" t="s">
        <v>67</v>
      </c>
      <c r="B580" t="s">
        <v>70</v>
      </c>
      <c r="C580">
        <v>25</v>
      </c>
      <c r="D580" t="s">
        <v>93</v>
      </c>
      <c r="E580" t="s">
        <v>97</v>
      </c>
      <c r="F580" t="s">
        <v>95</v>
      </c>
      <c r="G580">
        <v>1</v>
      </c>
      <c r="H580">
        <v>2E+20</v>
      </c>
      <c r="I580">
        <v>1</v>
      </c>
      <c r="J580">
        <v>1</v>
      </c>
      <c r="K580">
        <v>1</v>
      </c>
      <c r="L580">
        <v>0</v>
      </c>
      <c r="M580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580" cm="1">
        <f t="array" ref="N580">MAX(IF((ProjectInfoTable[ProjectName]=ContinuousStatsTable[[#This Row],[ProjectName]]),(ProjectInfoTable[ProjectName]=ContinuousStatsTable[[#This Row],[ProjectName]])*ProjectInfoTable[NumberOfReplications]))</f>
        <v>30</v>
      </c>
      <c r="O580" cm="1">
        <f t="array" ref="O580">IFERROR(AVERAGE(IF((ContinuousStatsTable[GroupByKey]=ContinuousStatsTable[[#This Row],[GroupByKey]]),(ContinuousStatsTable[GroupByKey]=ContinuousStatsTable[[#This Row],[GroupByKey]])*ContinuousStatsTable[Average])),0)</f>
        <v>1</v>
      </c>
      <c r="P580" cm="1">
        <f t="array" ref="P580">IFERROR(_xlfn.STDEV.S(IF((ContinuousStatsTable[GroupByKey]=ContinuousStatsTable[[#This Row],[GroupByKey]]),(ContinuousStatsTable[GroupByKey]=ContinuousStatsTable[[#This Row],[GroupByKey]])*ContinuousStatsTable[Average])),0)</f>
        <v>0</v>
      </c>
      <c r="Q580" cm="1">
        <f t="array" ref="Q580">MAX(IF((ProjectInfoTable[ProjectName]=ContinuousStatsTable[[#This Row],[ProjectName]]),(ProjectInfoTable[ProjectName]=ContinuousStatsTable[[#This Row],[ProjectName]])*ProjectInfoTable[ConfidenceInterval]))</f>
        <v>0.95</v>
      </c>
      <c r="R5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0" cm="1">
        <f t="array" ref="S580">MIN(IF((ContinuousStatsTable[GroupByKey]=ContinuousStatsTable[[#This Row],[GroupByKey]]),(ContinuousStatsTable[GroupByKey]=ContinuousStatsTable[[#This Row],[GroupByKey]])*ContinuousStatsTable[Average]))</f>
        <v>1</v>
      </c>
      <c r="T580" cm="1">
        <f t="array" ref="T580">MAX(IF((ContinuousStatsTable[GroupByKey]=ContinuousStatsTable[[#This Row],[GroupByKey]]),(ContinuousStatsTable[GroupByKey]=ContinuousStatsTable[[#This Row],[GroupByKey]])*ContinuousStatsTable[Average]))</f>
        <v>1</v>
      </c>
      <c r="U580">
        <f>IF((ContinuousStatsTable[[#This Row],[RepsRequested]]&gt;1),ContinuousStatsTable[[#This Row],[HalfWidth]],ContinuousStatsTable[[#This Row],[BatchMeansHalfWidth]])</f>
        <v>0</v>
      </c>
    </row>
    <row r="581" spans="1:21" x14ac:dyDescent="0.2">
      <c r="A581" t="s">
        <v>67</v>
      </c>
      <c r="B581" t="s">
        <v>70</v>
      </c>
      <c r="C581">
        <v>25</v>
      </c>
      <c r="D581" t="s">
        <v>71</v>
      </c>
      <c r="E581" t="s">
        <v>98</v>
      </c>
      <c r="F581" t="s">
        <v>73</v>
      </c>
      <c r="G581">
        <v>3.2587626572766697E-2</v>
      </c>
      <c r="H581">
        <v>2E+20</v>
      </c>
      <c r="I581">
        <v>0</v>
      </c>
      <c r="J581">
        <v>2</v>
      </c>
      <c r="K581">
        <v>0</v>
      </c>
      <c r="L581">
        <v>0</v>
      </c>
      <c r="M581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581" cm="1">
        <f t="array" ref="N581">MAX(IF((ProjectInfoTable[ProjectName]=ContinuousStatsTable[[#This Row],[ProjectName]]),(ProjectInfoTable[ProjectName]=ContinuousStatsTable[[#This Row],[ProjectName]])*ProjectInfoTable[NumberOfReplications]))</f>
        <v>30</v>
      </c>
      <c r="O581" cm="1">
        <f t="array" ref="O581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581" cm="1">
        <f t="array" ref="P581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581" cm="1">
        <f t="array" ref="Q581">MAX(IF((ProjectInfoTable[ProjectName]=ContinuousStatsTable[[#This Row],[ProjectName]]),(ProjectInfoTable[ProjectName]=ContinuousStatsTable[[#This Row],[ProjectName]])*ProjectInfoTable[ConfidenceInterval]))</f>
        <v>0.95</v>
      </c>
      <c r="R5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581" cm="1">
        <f t="array" ref="S581">MIN(IF((ContinuousStatsTable[GroupByKey]=ContinuousStatsTable[[#This Row],[GroupByKey]]),(ContinuousStatsTable[GroupByKey]=ContinuousStatsTable[[#This Row],[GroupByKey]])*ContinuousStatsTable[Average]))</f>
        <v>1.9664517785186901E-2</v>
      </c>
      <c r="T581" cm="1">
        <f t="array" ref="T581">MAX(IF((ContinuousStatsTable[GroupByKey]=ContinuousStatsTable[[#This Row],[GroupByKey]]),(ContinuousStatsTable[GroupByKey]=ContinuousStatsTable[[#This Row],[GroupByKey]])*ContinuousStatsTable[Average]))</f>
        <v>3.9738966906982302E-2</v>
      </c>
      <c r="U581">
        <f>IF((ContinuousStatsTable[[#This Row],[RepsRequested]]&gt;1),ContinuousStatsTable[[#This Row],[HalfWidth]],ContinuousStatsTable[[#This Row],[BatchMeansHalfWidth]])</f>
        <v>1.6627262085570247E-3</v>
      </c>
    </row>
    <row r="582" spans="1:21" x14ac:dyDescent="0.2">
      <c r="A582" t="s">
        <v>67</v>
      </c>
      <c r="B582" t="s">
        <v>70</v>
      </c>
      <c r="C582">
        <v>25</v>
      </c>
      <c r="D582" t="s">
        <v>99</v>
      </c>
      <c r="E582" t="s">
        <v>94</v>
      </c>
      <c r="F582" t="s">
        <v>95</v>
      </c>
      <c r="G582">
        <v>0.64931189821143598</v>
      </c>
      <c r="H582">
        <v>5.4002131155758498E-2</v>
      </c>
      <c r="I582">
        <v>0</v>
      </c>
      <c r="J582">
        <v>1</v>
      </c>
      <c r="K582">
        <v>0</v>
      </c>
      <c r="L582">
        <v>0</v>
      </c>
      <c r="M582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582" cm="1">
        <f t="array" ref="N582">MAX(IF((ProjectInfoTable[ProjectName]=ContinuousStatsTable[[#This Row],[ProjectName]]),(ProjectInfoTable[ProjectName]=ContinuousStatsTable[[#This Row],[ProjectName]])*ProjectInfoTable[NumberOfReplications]))</f>
        <v>30</v>
      </c>
      <c r="O582" cm="1">
        <f t="array" ref="O582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582" cm="1">
        <f t="array" ref="P582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582" cm="1">
        <f t="array" ref="Q582">MAX(IF((ProjectInfoTable[ProjectName]=ContinuousStatsTable[[#This Row],[ProjectName]]),(ProjectInfoTable[ProjectName]=ContinuousStatsTable[[#This Row],[ProjectName]])*ProjectInfoTable[ConfidenceInterval]))</f>
        <v>0.95</v>
      </c>
      <c r="R5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582" cm="1">
        <f t="array" ref="S582">MIN(IF((ContinuousStatsTable[GroupByKey]=ContinuousStatsTable[[#This Row],[GroupByKey]]),(ContinuousStatsTable[GroupByKey]=ContinuousStatsTable[[#This Row],[GroupByKey]])*ContinuousStatsTable[Average]))</f>
        <v>0.58256422876290004</v>
      </c>
      <c r="T582" cm="1">
        <f t="array" ref="T582">MAX(IF((ContinuousStatsTable[GroupByKey]=ContinuousStatsTable[[#This Row],[GroupByKey]]),(ContinuousStatsTable[GroupByKey]=ContinuousStatsTable[[#This Row],[GroupByKey]])*ContinuousStatsTable[Average]))</f>
        <v>0.68643238055161704</v>
      </c>
      <c r="U582">
        <f>IF((ContinuousStatsTable[[#This Row],[RepsRequested]]&gt;1),ContinuousStatsTable[[#This Row],[HalfWidth]],ContinuousStatsTable[[#This Row],[BatchMeansHalfWidth]])</f>
        <v>9.8490003000806757E-3</v>
      </c>
    </row>
    <row r="583" spans="1:21" x14ac:dyDescent="0.2">
      <c r="A583" t="s">
        <v>67</v>
      </c>
      <c r="B583" t="s">
        <v>70</v>
      </c>
      <c r="C583">
        <v>25</v>
      </c>
      <c r="D583" t="s">
        <v>99</v>
      </c>
      <c r="E583" t="s">
        <v>96</v>
      </c>
      <c r="F583" t="s">
        <v>95</v>
      </c>
      <c r="G583">
        <v>1.29862379642287</v>
      </c>
      <c r="H583">
        <v>0.108004262311517</v>
      </c>
      <c r="I583">
        <v>0</v>
      </c>
      <c r="J583">
        <v>2</v>
      </c>
      <c r="K583">
        <v>0</v>
      </c>
      <c r="L583">
        <v>0</v>
      </c>
      <c r="M583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583" cm="1">
        <f t="array" ref="N583">MAX(IF((ProjectInfoTable[ProjectName]=ContinuousStatsTable[[#This Row],[ProjectName]]),(ProjectInfoTable[ProjectName]=ContinuousStatsTable[[#This Row],[ProjectName]])*ProjectInfoTable[NumberOfReplications]))</f>
        <v>30</v>
      </c>
      <c r="O583" cm="1">
        <f t="array" ref="O583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583" cm="1">
        <f t="array" ref="P583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583" cm="1">
        <f t="array" ref="Q583">MAX(IF((ProjectInfoTable[ProjectName]=ContinuousStatsTable[[#This Row],[ProjectName]]),(ProjectInfoTable[ProjectName]=ContinuousStatsTable[[#This Row],[ProjectName]])*ProjectInfoTable[ConfidenceInterval]))</f>
        <v>0.95</v>
      </c>
      <c r="R5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583" cm="1">
        <f t="array" ref="S583">MIN(IF((ContinuousStatsTable[GroupByKey]=ContinuousStatsTable[[#This Row],[GroupByKey]]),(ContinuousStatsTable[GroupByKey]=ContinuousStatsTable[[#This Row],[GroupByKey]])*ContinuousStatsTable[Average]))</f>
        <v>1.1651284575258001</v>
      </c>
      <c r="T583" cm="1">
        <f t="array" ref="T583">MAX(IF((ContinuousStatsTable[GroupByKey]=ContinuousStatsTable[[#This Row],[GroupByKey]]),(ContinuousStatsTable[GroupByKey]=ContinuousStatsTable[[#This Row],[GroupByKey]])*ContinuousStatsTable[Average]))</f>
        <v>1.3728647611032301</v>
      </c>
      <c r="U583">
        <f>IF((ContinuousStatsTable[[#This Row],[RepsRequested]]&gt;1),ContinuousStatsTable[[#This Row],[HalfWidth]],ContinuousStatsTable[[#This Row],[BatchMeansHalfWidth]])</f>
        <v>1.9698000600160998E-2</v>
      </c>
    </row>
    <row r="584" spans="1:21" x14ac:dyDescent="0.2">
      <c r="A584" t="s">
        <v>67</v>
      </c>
      <c r="B584" t="s">
        <v>70</v>
      </c>
      <c r="C584">
        <v>25</v>
      </c>
      <c r="D584" t="s">
        <v>99</v>
      </c>
      <c r="E584" t="s">
        <v>97</v>
      </c>
      <c r="F584" t="s">
        <v>95</v>
      </c>
      <c r="G584">
        <v>2</v>
      </c>
      <c r="H584">
        <v>2E+20</v>
      </c>
      <c r="I584">
        <v>2</v>
      </c>
      <c r="J584">
        <v>2</v>
      </c>
      <c r="K584">
        <v>2</v>
      </c>
      <c r="L584">
        <v>0</v>
      </c>
      <c r="M584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584" cm="1">
        <f t="array" ref="N584">MAX(IF((ProjectInfoTable[ProjectName]=ContinuousStatsTable[[#This Row],[ProjectName]]),(ProjectInfoTable[ProjectName]=ContinuousStatsTable[[#This Row],[ProjectName]])*ProjectInfoTable[NumberOfReplications]))</f>
        <v>30</v>
      </c>
      <c r="O584" cm="1">
        <f t="array" ref="O584">IFERROR(AVERAGE(IF((ContinuousStatsTable[GroupByKey]=ContinuousStatsTable[[#This Row],[GroupByKey]]),(ContinuousStatsTable[GroupByKey]=ContinuousStatsTable[[#This Row],[GroupByKey]])*ContinuousStatsTable[Average])),0)</f>
        <v>2</v>
      </c>
      <c r="P584" cm="1">
        <f t="array" ref="P584">IFERROR(_xlfn.STDEV.S(IF((ContinuousStatsTable[GroupByKey]=ContinuousStatsTable[[#This Row],[GroupByKey]]),(ContinuousStatsTable[GroupByKey]=ContinuousStatsTable[[#This Row],[GroupByKey]])*ContinuousStatsTable[Average])),0)</f>
        <v>0</v>
      </c>
      <c r="Q584" cm="1">
        <f t="array" ref="Q584">MAX(IF((ProjectInfoTable[ProjectName]=ContinuousStatsTable[[#This Row],[ProjectName]]),(ProjectInfoTable[ProjectName]=ContinuousStatsTable[[#This Row],[ProjectName]])*ProjectInfoTable[ConfidenceInterval]))</f>
        <v>0.95</v>
      </c>
      <c r="R5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4" cm="1">
        <f t="array" ref="S584">MIN(IF((ContinuousStatsTable[GroupByKey]=ContinuousStatsTable[[#This Row],[GroupByKey]]),(ContinuousStatsTable[GroupByKey]=ContinuousStatsTable[[#This Row],[GroupByKey]])*ContinuousStatsTable[Average]))</f>
        <v>2</v>
      </c>
      <c r="T584" cm="1">
        <f t="array" ref="T584">MAX(IF((ContinuousStatsTable[GroupByKey]=ContinuousStatsTable[[#This Row],[GroupByKey]]),(ContinuousStatsTable[GroupByKey]=ContinuousStatsTable[[#This Row],[GroupByKey]])*ContinuousStatsTable[Average]))</f>
        <v>2</v>
      </c>
      <c r="U584">
        <f>IF((ContinuousStatsTable[[#This Row],[RepsRequested]]&gt;1),ContinuousStatsTable[[#This Row],[HalfWidth]],ContinuousStatsTable[[#This Row],[BatchMeansHalfWidth]])</f>
        <v>0</v>
      </c>
    </row>
    <row r="585" spans="1:21" x14ac:dyDescent="0.2">
      <c r="A585" t="s">
        <v>67</v>
      </c>
      <c r="B585" t="s">
        <v>70</v>
      </c>
      <c r="C585">
        <v>25</v>
      </c>
      <c r="D585" t="s">
        <v>74</v>
      </c>
      <c r="E585" t="s">
        <v>100</v>
      </c>
      <c r="F585" t="s">
        <v>76</v>
      </c>
      <c r="G585">
        <v>15.9925089885575</v>
      </c>
      <c r="H585">
        <v>1.26564170775184</v>
      </c>
      <c r="I585">
        <v>0</v>
      </c>
      <c r="J585">
        <v>32</v>
      </c>
      <c r="K585">
        <v>8</v>
      </c>
      <c r="L585">
        <v>0</v>
      </c>
      <c r="M58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85" cm="1">
        <f t="array" ref="N585">MAX(IF((ProjectInfoTable[ProjectName]=ContinuousStatsTable[[#This Row],[ProjectName]]),(ProjectInfoTable[ProjectName]=ContinuousStatsTable[[#This Row],[ProjectName]])*ProjectInfoTable[NumberOfReplications]))</f>
        <v>30</v>
      </c>
      <c r="O585" cm="1">
        <f t="array" ref="O585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585" cm="1">
        <f t="array" ref="P585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585" cm="1">
        <f t="array" ref="Q585">MAX(IF((ProjectInfoTable[ProjectName]=ContinuousStatsTable[[#This Row],[ProjectName]]),(ProjectInfoTable[ProjectName]=ContinuousStatsTable[[#This Row],[ProjectName]])*ProjectInfoTable[ConfidenceInterval]))</f>
        <v>0.95</v>
      </c>
      <c r="R5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585" cm="1">
        <f t="array" ref="S585">MIN(IF((ContinuousStatsTable[GroupByKey]=ContinuousStatsTable[[#This Row],[GroupByKey]]),(ContinuousStatsTable[GroupByKey]=ContinuousStatsTable[[#This Row],[GroupByKey]])*ContinuousStatsTable[Average]))</f>
        <v>14.4112589759764</v>
      </c>
      <c r="T585" cm="1">
        <f t="array" ref="T585">MAX(IF((ContinuousStatsTable[GroupByKey]=ContinuousStatsTable[[#This Row],[GroupByKey]]),(ContinuousStatsTable[GroupByKey]=ContinuousStatsTable[[#This Row],[GroupByKey]])*ContinuousStatsTable[Average]))</f>
        <v>16.972707717517899</v>
      </c>
      <c r="U585">
        <f>IF((ContinuousStatsTable[[#This Row],[RepsRequested]]&gt;1),ContinuousStatsTable[[#This Row],[HalfWidth]],ContinuousStatsTable[[#This Row],[BatchMeansHalfWidth]])</f>
        <v>0.25870181881670146</v>
      </c>
    </row>
    <row r="586" spans="1:21" x14ac:dyDescent="0.2">
      <c r="A586" t="s">
        <v>67</v>
      </c>
      <c r="B586" t="s">
        <v>70</v>
      </c>
      <c r="C586">
        <v>25</v>
      </c>
      <c r="D586" t="s">
        <v>82</v>
      </c>
      <c r="E586" t="s">
        <v>98</v>
      </c>
      <c r="F586" t="s">
        <v>73</v>
      </c>
      <c r="G586">
        <v>0.19801322029419299</v>
      </c>
      <c r="H586">
        <v>2E+20</v>
      </c>
      <c r="I586">
        <v>0</v>
      </c>
      <c r="J586">
        <v>4</v>
      </c>
      <c r="K586">
        <v>0</v>
      </c>
      <c r="L586">
        <v>0</v>
      </c>
      <c r="M586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586" cm="1">
        <f t="array" ref="N586">MAX(IF((ProjectInfoTable[ProjectName]=ContinuousStatsTable[[#This Row],[ProjectName]]),(ProjectInfoTable[ProjectName]=ContinuousStatsTable[[#This Row],[ProjectName]])*ProjectInfoTable[NumberOfReplications]))</f>
        <v>30</v>
      </c>
      <c r="O586" cm="1">
        <f t="array" ref="O586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586" cm="1">
        <f t="array" ref="P586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586" cm="1">
        <f t="array" ref="Q586">MAX(IF((ProjectInfoTable[ProjectName]=ContinuousStatsTable[[#This Row],[ProjectName]]),(ProjectInfoTable[ProjectName]=ContinuousStatsTable[[#This Row],[ProjectName]])*ProjectInfoTable[ConfidenceInterval]))</f>
        <v>0.95</v>
      </c>
      <c r="R5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586" cm="1">
        <f t="array" ref="S586">MIN(IF((ContinuousStatsTable[GroupByKey]=ContinuousStatsTable[[#This Row],[GroupByKey]]),(ContinuousStatsTable[GroupByKey]=ContinuousStatsTable[[#This Row],[GroupByKey]])*ContinuousStatsTable[Average]))</f>
        <v>7.4406608295854798E-2</v>
      </c>
      <c r="T586" cm="1">
        <f t="array" ref="T586">MAX(IF((ContinuousStatsTable[GroupByKey]=ContinuousStatsTable[[#This Row],[GroupByKey]]),(ContinuousStatsTable[GroupByKey]=ContinuousStatsTable[[#This Row],[GroupByKey]])*ContinuousStatsTable[Average]))</f>
        <v>0.29874320707386398</v>
      </c>
      <c r="U586">
        <f>IF((ContinuousStatsTable[[#This Row],[RepsRequested]]&gt;1),ContinuousStatsTable[[#This Row],[HalfWidth]],ContinuousStatsTable[[#This Row],[BatchMeansHalfWidth]])</f>
        <v>2.0058204231149332E-2</v>
      </c>
    </row>
    <row r="587" spans="1:21" x14ac:dyDescent="0.2">
      <c r="A587" t="s">
        <v>67</v>
      </c>
      <c r="B587" t="s">
        <v>70</v>
      </c>
      <c r="C587">
        <v>25</v>
      </c>
      <c r="D587" t="s">
        <v>101</v>
      </c>
      <c r="E587" t="s">
        <v>94</v>
      </c>
      <c r="F587" t="s">
        <v>95</v>
      </c>
      <c r="G587">
        <v>2.05043859649123E-3</v>
      </c>
      <c r="H587">
        <v>2.03922587966642E-4</v>
      </c>
      <c r="I587">
        <v>0</v>
      </c>
      <c r="J587">
        <v>3.7499999999999999E-2</v>
      </c>
      <c r="K587">
        <v>0</v>
      </c>
      <c r="L587">
        <v>0</v>
      </c>
      <c r="M587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587" cm="1">
        <f t="array" ref="N587">MAX(IF((ProjectInfoTable[ProjectName]=ContinuousStatsTable[[#This Row],[ProjectName]]),(ProjectInfoTable[ProjectName]=ContinuousStatsTable[[#This Row],[ProjectName]])*ProjectInfoTable[NumberOfReplications]))</f>
        <v>30</v>
      </c>
      <c r="O587" cm="1">
        <f t="array" ref="O587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587" cm="1">
        <f t="array" ref="P587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587" cm="1">
        <f t="array" ref="Q587">MAX(IF((ProjectInfoTable[ProjectName]=ContinuousStatsTable[[#This Row],[ProjectName]]),(ProjectInfoTable[ProjectName]=ContinuousStatsTable[[#This Row],[ProjectName]])*ProjectInfoTable[ConfidenceInterval]))</f>
        <v>0.95</v>
      </c>
      <c r="R5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587" cm="1">
        <f t="array" ref="S587">MIN(IF((ContinuousStatsTable[GroupByKey]=ContinuousStatsTable[[#This Row],[GroupByKey]]),(ContinuousStatsTable[GroupByKey]=ContinuousStatsTable[[#This Row],[GroupByKey]])*ContinuousStatsTable[Average]))</f>
        <v>1.70504385964912E-3</v>
      </c>
      <c r="T587" cm="1">
        <f t="array" ref="T587">MAX(IF((ContinuousStatsTable[GroupByKey]=ContinuousStatsTable[[#This Row],[GroupByKey]]),(ContinuousStatsTable[GroupByKey]=ContinuousStatsTable[[#This Row],[GroupByKey]])*ContinuousStatsTable[Average]))</f>
        <v>2.17031677925951E-3</v>
      </c>
      <c r="U587">
        <f>IF((ContinuousStatsTable[[#This Row],[RepsRequested]]&gt;1),ContinuousStatsTable[[#This Row],[HalfWidth]],ContinuousStatsTable[[#This Row],[BatchMeansHalfWidth]])</f>
        <v>4.4865881583116605E-5</v>
      </c>
    </row>
    <row r="588" spans="1:21" x14ac:dyDescent="0.2">
      <c r="A588" t="s">
        <v>67</v>
      </c>
      <c r="B588" t="s">
        <v>70</v>
      </c>
      <c r="C588">
        <v>25</v>
      </c>
      <c r="D588" t="s">
        <v>101</v>
      </c>
      <c r="E588" t="s">
        <v>96</v>
      </c>
      <c r="F588" t="s">
        <v>95</v>
      </c>
      <c r="G588">
        <v>0.16403508771929801</v>
      </c>
      <c r="H588">
        <v>1.6313807037331401E-2</v>
      </c>
      <c r="I588">
        <v>0</v>
      </c>
      <c r="J588">
        <v>3</v>
      </c>
      <c r="K588">
        <v>0</v>
      </c>
      <c r="L588">
        <v>0</v>
      </c>
      <c r="M588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588" cm="1">
        <f t="array" ref="N588">MAX(IF((ProjectInfoTable[ProjectName]=ContinuousStatsTable[[#This Row],[ProjectName]]),(ProjectInfoTable[ProjectName]=ContinuousStatsTable[[#This Row],[ProjectName]])*ProjectInfoTable[NumberOfReplications]))</f>
        <v>30</v>
      </c>
      <c r="O588" cm="1">
        <f t="array" ref="O588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588" cm="1">
        <f t="array" ref="P588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588" cm="1">
        <f t="array" ref="Q588">MAX(IF((ProjectInfoTable[ProjectName]=ContinuousStatsTable[[#This Row],[ProjectName]]),(ProjectInfoTable[ProjectName]=ContinuousStatsTable[[#This Row],[ProjectName]])*ProjectInfoTable[ConfidenceInterval]))</f>
        <v>0.95</v>
      </c>
      <c r="R5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588" cm="1">
        <f t="array" ref="S588">MIN(IF((ContinuousStatsTable[GroupByKey]=ContinuousStatsTable[[#This Row],[GroupByKey]]),(ContinuousStatsTable[GroupByKey]=ContinuousStatsTable[[#This Row],[GroupByKey]])*ContinuousStatsTable[Average]))</f>
        <v>0.13640350877193</v>
      </c>
      <c r="T588" cm="1">
        <f t="array" ref="T588">MAX(IF((ContinuousStatsTable[GroupByKey]=ContinuousStatsTable[[#This Row],[GroupByKey]]),(ContinuousStatsTable[GroupByKey]=ContinuousStatsTable[[#This Row],[GroupByKey]])*ContinuousStatsTable[Average]))</f>
        <v>0.17362534234076099</v>
      </c>
      <c r="U588">
        <f>IF((ContinuousStatsTable[[#This Row],[RepsRequested]]&gt;1),ContinuousStatsTable[[#This Row],[HalfWidth]],ContinuousStatsTable[[#This Row],[BatchMeansHalfWidth]])</f>
        <v>3.5892705266493139E-3</v>
      </c>
    </row>
    <row r="589" spans="1:21" x14ac:dyDescent="0.2">
      <c r="A589" t="s">
        <v>67</v>
      </c>
      <c r="B589" t="s">
        <v>70</v>
      </c>
      <c r="C589">
        <v>25</v>
      </c>
      <c r="D589" t="s">
        <v>101</v>
      </c>
      <c r="E589" t="s">
        <v>97</v>
      </c>
      <c r="F589" t="s">
        <v>95</v>
      </c>
      <c r="G589">
        <v>80</v>
      </c>
      <c r="H589">
        <v>2E+20</v>
      </c>
      <c r="I589">
        <v>80</v>
      </c>
      <c r="J589">
        <v>80</v>
      </c>
      <c r="K589">
        <v>80</v>
      </c>
      <c r="L589">
        <v>0</v>
      </c>
      <c r="M589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589" cm="1">
        <f t="array" ref="N589">MAX(IF((ProjectInfoTable[ProjectName]=ContinuousStatsTable[[#This Row],[ProjectName]]),(ProjectInfoTable[ProjectName]=ContinuousStatsTable[[#This Row],[ProjectName]])*ProjectInfoTable[NumberOfReplications]))</f>
        <v>30</v>
      </c>
      <c r="O589" cm="1">
        <f t="array" ref="O589">IFERROR(AVERAGE(IF((ContinuousStatsTable[GroupByKey]=ContinuousStatsTable[[#This Row],[GroupByKey]]),(ContinuousStatsTable[GroupByKey]=ContinuousStatsTable[[#This Row],[GroupByKey]])*ContinuousStatsTable[Average])),0)</f>
        <v>80</v>
      </c>
      <c r="P589" cm="1">
        <f t="array" ref="P589">IFERROR(_xlfn.STDEV.S(IF((ContinuousStatsTable[GroupByKey]=ContinuousStatsTable[[#This Row],[GroupByKey]]),(ContinuousStatsTable[GroupByKey]=ContinuousStatsTable[[#This Row],[GroupByKey]])*ContinuousStatsTable[Average])),0)</f>
        <v>0</v>
      </c>
      <c r="Q589" cm="1">
        <f t="array" ref="Q589">MAX(IF((ProjectInfoTable[ProjectName]=ContinuousStatsTable[[#This Row],[ProjectName]]),(ProjectInfoTable[ProjectName]=ContinuousStatsTable[[#This Row],[ProjectName]])*ProjectInfoTable[ConfidenceInterval]))</f>
        <v>0.95</v>
      </c>
      <c r="R5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89" cm="1">
        <f t="array" ref="S589">MIN(IF((ContinuousStatsTable[GroupByKey]=ContinuousStatsTable[[#This Row],[GroupByKey]]),(ContinuousStatsTable[GroupByKey]=ContinuousStatsTable[[#This Row],[GroupByKey]])*ContinuousStatsTable[Average]))</f>
        <v>80</v>
      </c>
      <c r="T589" cm="1">
        <f t="array" ref="T589">MAX(IF((ContinuousStatsTable[GroupByKey]=ContinuousStatsTable[[#This Row],[GroupByKey]]),(ContinuousStatsTable[GroupByKey]=ContinuousStatsTable[[#This Row],[GroupByKey]])*ContinuousStatsTable[Average]))</f>
        <v>80</v>
      </c>
      <c r="U589">
        <f>IF((ContinuousStatsTable[[#This Row],[RepsRequested]]&gt;1),ContinuousStatsTable[[#This Row],[HalfWidth]],ContinuousStatsTable[[#This Row],[BatchMeansHalfWidth]])</f>
        <v>0</v>
      </c>
    </row>
    <row r="590" spans="1:21" x14ac:dyDescent="0.2">
      <c r="A590" t="s">
        <v>67</v>
      </c>
      <c r="B590" t="s">
        <v>70</v>
      </c>
      <c r="C590">
        <v>25</v>
      </c>
      <c r="D590" t="s">
        <v>86</v>
      </c>
      <c r="E590" t="s">
        <v>98</v>
      </c>
      <c r="F590" t="s">
        <v>73</v>
      </c>
      <c r="G590">
        <v>0</v>
      </c>
      <c r="H590">
        <v>2E+20</v>
      </c>
      <c r="I590">
        <v>0</v>
      </c>
      <c r="J590">
        <v>0</v>
      </c>
      <c r="K590">
        <v>0</v>
      </c>
      <c r="L590">
        <v>0</v>
      </c>
      <c r="M590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590" cm="1">
        <f t="array" ref="N590">MAX(IF((ProjectInfoTable[ProjectName]=ContinuousStatsTable[[#This Row],[ProjectName]]),(ProjectInfoTable[ProjectName]=ContinuousStatsTable[[#This Row],[ProjectName]])*ProjectInfoTable[NumberOfReplications]))</f>
        <v>30</v>
      </c>
      <c r="O590" cm="1">
        <f t="array" ref="O590">IFERROR(AVERAGE(IF((ContinuousStatsTable[GroupByKey]=ContinuousStatsTable[[#This Row],[GroupByKey]]),(ContinuousStatsTable[GroupByKey]=ContinuousStatsTable[[#This Row],[GroupByKey]])*ContinuousStatsTable[Average])),0)</f>
        <v>0</v>
      </c>
      <c r="P590" cm="1">
        <f t="array" ref="P590">IFERROR(_xlfn.STDEV.S(IF((ContinuousStatsTable[GroupByKey]=ContinuousStatsTable[[#This Row],[GroupByKey]]),(ContinuousStatsTable[GroupByKey]=ContinuousStatsTable[[#This Row],[GroupByKey]])*ContinuousStatsTable[Average])),0)</f>
        <v>0</v>
      </c>
      <c r="Q590" cm="1">
        <f t="array" ref="Q590">MAX(IF((ProjectInfoTable[ProjectName]=ContinuousStatsTable[[#This Row],[ProjectName]]),(ProjectInfoTable[ProjectName]=ContinuousStatsTable[[#This Row],[ProjectName]])*ProjectInfoTable[ConfidenceInterval]))</f>
        <v>0.95</v>
      </c>
      <c r="R5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0" cm="1">
        <f t="array" ref="S590">MIN(IF((ContinuousStatsTable[GroupByKey]=ContinuousStatsTable[[#This Row],[GroupByKey]]),(ContinuousStatsTable[GroupByKey]=ContinuousStatsTable[[#This Row],[GroupByKey]])*ContinuousStatsTable[Average]))</f>
        <v>0</v>
      </c>
      <c r="T590" cm="1">
        <f t="array" ref="T590">MAX(IF((ContinuousStatsTable[GroupByKey]=ContinuousStatsTable[[#This Row],[GroupByKey]]),(ContinuousStatsTable[GroupByKey]=ContinuousStatsTable[[#This Row],[GroupByKey]])*ContinuousStatsTable[Average]))</f>
        <v>0</v>
      </c>
      <c r="U590">
        <f>IF((ContinuousStatsTable[[#This Row],[RepsRequested]]&gt;1),ContinuousStatsTable[[#This Row],[HalfWidth]],ContinuousStatsTable[[#This Row],[BatchMeansHalfWidth]])</f>
        <v>0</v>
      </c>
    </row>
    <row r="591" spans="1:21" x14ac:dyDescent="0.2">
      <c r="A591" t="s">
        <v>67</v>
      </c>
      <c r="B591" t="s">
        <v>70</v>
      </c>
      <c r="C591">
        <v>25</v>
      </c>
      <c r="D591" t="s">
        <v>87</v>
      </c>
      <c r="E591" t="s">
        <v>98</v>
      </c>
      <c r="F591" t="s">
        <v>73</v>
      </c>
      <c r="G591">
        <v>0</v>
      </c>
      <c r="H591">
        <v>2E+20</v>
      </c>
      <c r="I591">
        <v>0</v>
      </c>
      <c r="J591">
        <v>0</v>
      </c>
      <c r="K591">
        <v>0</v>
      </c>
      <c r="L591">
        <v>0</v>
      </c>
      <c r="M591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591" cm="1">
        <f t="array" ref="N591">MAX(IF((ProjectInfoTable[ProjectName]=ContinuousStatsTable[[#This Row],[ProjectName]]),(ProjectInfoTable[ProjectName]=ContinuousStatsTable[[#This Row],[ProjectName]])*ProjectInfoTable[NumberOfReplications]))</f>
        <v>30</v>
      </c>
      <c r="O591" cm="1">
        <f t="array" ref="O591">IFERROR(AVERAGE(IF((ContinuousStatsTable[GroupByKey]=ContinuousStatsTable[[#This Row],[GroupByKey]]),(ContinuousStatsTable[GroupByKey]=ContinuousStatsTable[[#This Row],[GroupByKey]])*ContinuousStatsTable[Average])),0)</f>
        <v>0</v>
      </c>
      <c r="P591" cm="1">
        <f t="array" ref="P591">IFERROR(_xlfn.STDEV.S(IF((ContinuousStatsTable[GroupByKey]=ContinuousStatsTable[[#This Row],[GroupByKey]]),(ContinuousStatsTable[GroupByKey]=ContinuousStatsTable[[#This Row],[GroupByKey]])*ContinuousStatsTable[Average])),0)</f>
        <v>0</v>
      </c>
      <c r="Q591" cm="1">
        <f t="array" ref="Q591">MAX(IF((ProjectInfoTable[ProjectName]=ContinuousStatsTable[[#This Row],[ProjectName]]),(ProjectInfoTable[ProjectName]=ContinuousStatsTable[[#This Row],[ProjectName]])*ProjectInfoTable[ConfidenceInterval]))</f>
        <v>0.95</v>
      </c>
      <c r="R5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1" cm="1">
        <f t="array" ref="S591">MIN(IF((ContinuousStatsTable[GroupByKey]=ContinuousStatsTable[[#This Row],[GroupByKey]]),(ContinuousStatsTable[GroupByKey]=ContinuousStatsTable[[#This Row],[GroupByKey]])*ContinuousStatsTable[Average]))</f>
        <v>0</v>
      </c>
      <c r="T591" cm="1">
        <f t="array" ref="T591">MAX(IF((ContinuousStatsTable[GroupByKey]=ContinuousStatsTable[[#This Row],[GroupByKey]]),(ContinuousStatsTable[GroupByKey]=ContinuousStatsTable[[#This Row],[GroupByKey]])*ContinuousStatsTable[Average]))</f>
        <v>0</v>
      </c>
      <c r="U591">
        <f>IF((ContinuousStatsTable[[#This Row],[RepsRequested]]&gt;1),ContinuousStatsTable[[#This Row],[HalfWidth]],ContinuousStatsTable[[#This Row],[BatchMeansHalfWidth]])</f>
        <v>0</v>
      </c>
    </row>
    <row r="592" spans="1:21" x14ac:dyDescent="0.2">
      <c r="A592" t="s">
        <v>67</v>
      </c>
      <c r="B592" t="s">
        <v>70</v>
      </c>
      <c r="C592">
        <v>25</v>
      </c>
      <c r="D592" t="s">
        <v>88</v>
      </c>
      <c r="E592" t="s">
        <v>98</v>
      </c>
      <c r="F592" t="s">
        <v>73</v>
      </c>
      <c r="G592">
        <v>1.4257652224751201</v>
      </c>
      <c r="H592">
        <v>0.105763051249747</v>
      </c>
      <c r="I592">
        <v>0</v>
      </c>
      <c r="J592">
        <v>4</v>
      </c>
      <c r="K592">
        <v>1</v>
      </c>
      <c r="L592">
        <v>0</v>
      </c>
      <c r="M592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592" cm="1">
        <f t="array" ref="N592">MAX(IF((ProjectInfoTable[ProjectName]=ContinuousStatsTable[[#This Row],[ProjectName]]),(ProjectInfoTable[ProjectName]=ContinuousStatsTable[[#This Row],[ProjectName]])*ProjectInfoTable[NumberOfReplications]))</f>
        <v>30</v>
      </c>
      <c r="O592" cm="1">
        <f t="array" ref="O592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592" cm="1">
        <f t="array" ref="P592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592" cm="1">
        <f t="array" ref="Q592">MAX(IF((ProjectInfoTable[ProjectName]=ContinuousStatsTable[[#This Row],[ProjectName]]),(ProjectInfoTable[ProjectName]=ContinuousStatsTable[[#This Row],[ProjectName]])*ProjectInfoTable[ConfidenceInterval]))</f>
        <v>0.95</v>
      </c>
      <c r="R5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592" cm="1">
        <f t="array" ref="S592">MIN(IF((ContinuousStatsTable[GroupByKey]=ContinuousStatsTable[[#This Row],[GroupByKey]]),(ContinuousStatsTable[GroupByKey]=ContinuousStatsTable[[#This Row],[GroupByKey]])*ContinuousStatsTable[Average]))</f>
        <v>1.4062336911317099</v>
      </c>
      <c r="T592" cm="1">
        <f t="array" ref="T592">MAX(IF((ContinuousStatsTable[GroupByKey]=ContinuousStatsTable[[#This Row],[GroupByKey]]),(ContinuousStatsTable[GroupByKey]=ContinuousStatsTable[[#This Row],[GroupByKey]])*ContinuousStatsTable[Average]))</f>
        <v>1.5889769030929</v>
      </c>
      <c r="U592">
        <f>IF((ContinuousStatsTable[[#This Row],[RepsRequested]]&gt;1),ContinuousStatsTable[[#This Row],[HalfWidth]],ContinuousStatsTable[[#This Row],[BatchMeansHalfWidth]])</f>
        <v>1.602866983772662E-2</v>
      </c>
    </row>
    <row r="593" spans="1:21" x14ac:dyDescent="0.2">
      <c r="A593" t="s">
        <v>67</v>
      </c>
      <c r="B593" t="s">
        <v>70</v>
      </c>
      <c r="C593">
        <v>25</v>
      </c>
      <c r="D593" t="s">
        <v>102</v>
      </c>
      <c r="E593" t="s">
        <v>94</v>
      </c>
      <c r="F593" t="s">
        <v>95</v>
      </c>
      <c r="G593">
        <v>4.9780701754385901E-3</v>
      </c>
      <c r="H593">
        <v>6.7740439036212505E-4</v>
      </c>
      <c r="I593">
        <v>0</v>
      </c>
      <c r="J593">
        <v>0.15</v>
      </c>
      <c r="K593">
        <v>0</v>
      </c>
      <c r="L593">
        <v>0</v>
      </c>
      <c r="M593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593" cm="1">
        <f t="array" ref="N593">MAX(IF((ProjectInfoTable[ProjectName]=ContinuousStatsTable[[#This Row],[ProjectName]]),(ProjectInfoTable[ProjectName]=ContinuousStatsTable[[#This Row],[ProjectName]])*ProjectInfoTable[NumberOfReplications]))</f>
        <v>30</v>
      </c>
      <c r="O593" cm="1">
        <f t="array" ref="O593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593" cm="1">
        <f t="array" ref="P593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593" cm="1">
        <f t="array" ref="Q593">MAX(IF((ProjectInfoTable[ProjectName]=ContinuousStatsTable[[#This Row],[ProjectName]]),(ProjectInfoTable[ProjectName]=ContinuousStatsTable[[#This Row],[ProjectName]])*ProjectInfoTable[ConfidenceInterval]))</f>
        <v>0.95</v>
      </c>
      <c r="R5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593" cm="1">
        <f t="array" ref="S593">MIN(IF((ContinuousStatsTable[GroupByKey]=ContinuousStatsTable[[#This Row],[GroupByKey]]),(ContinuousStatsTable[GroupByKey]=ContinuousStatsTable[[#This Row],[GroupByKey]])*ContinuousStatsTable[Average]))</f>
        <v>4.4956140350877203E-3</v>
      </c>
      <c r="T593" cm="1">
        <f t="array" ref="T593">MAX(IF((ContinuousStatsTable[GroupByKey]=ContinuousStatsTable[[#This Row],[GroupByKey]]),(ContinuousStatsTable[GroupByKey]=ContinuousStatsTable[[#This Row],[GroupByKey]])*ContinuousStatsTable[Average]))</f>
        <v>5.5482456140350904E-3</v>
      </c>
      <c r="U593">
        <f>IF((ContinuousStatsTable[[#This Row],[RepsRequested]]&gt;1),ContinuousStatsTable[[#This Row],[HalfWidth]],ContinuousStatsTable[[#This Row],[BatchMeansHalfWidth]])</f>
        <v>1.0144486472958472E-4</v>
      </c>
    </row>
    <row r="594" spans="1:21" x14ac:dyDescent="0.2">
      <c r="A594" t="s">
        <v>67</v>
      </c>
      <c r="B594" t="s">
        <v>70</v>
      </c>
      <c r="C594">
        <v>25</v>
      </c>
      <c r="D594" t="s">
        <v>102</v>
      </c>
      <c r="E594" t="s">
        <v>96</v>
      </c>
      <c r="F594" t="s">
        <v>95</v>
      </c>
      <c r="G594">
        <v>9.9561403508771906E-2</v>
      </c>
      <c r="H594">
        <v>1.3548087807242501E-2</v>
      </c>
      <c r="I594">
        <v>0</v>
      </c>
      <c r="J594">
        <v>3</v>
      </c>
      <c r="K594">
        <v>0</v>
      </c>
      <c r="L594">
        <v>0</v>
      </c>
      <c r="M594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594" cm="1">
        <f t="array" ref="N594">MAX(IF((ProjectInfoTable[ProjectName]=ContinuousStatsTable[[#This Row],[ProjectName]]),(ProjectInfoTable[ProjectName]=ContinuousStatsTable[[#This Row],[ProjectName]])*ProjectInfoTable[NumberOfReplications]))</f>
        <v>30</v>
      </c>
      <c r="O594" cm="1">
        <f t="array" ref="O594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594" cm="1">
        <f t="array" ref="P594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594" cm="1">
        <f t="array" ref="Q594">MAX(IF((ProjectInfoTable[ProjectName]=ContinuousStatsTable[[#This Row],[ProjectName]]),(ProjectInfoTable[ProjectName]=ContinuousStatsTable[[#This Row],[ProjectName]])*ProjectInfoTable[ConfidenceInterval]))</f>
        <v>0.95</v>
      </c>
      <c r="R5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594" cm="1">
        <f t="array" ref="S594">MIN(IF((ContinuousStatsTable[GroupByKey]=ContinuousStatsTable[[#This Row],[GroupByKey]]),(ContinuousStatsTable[GroupByKey]=ContinuousStatsTable[[#This Row],[GroupByKey]])*ContinuousStatsTable[Average]))</f>
        <v>8.9912280701754305E-2</v>
      </c>
      <c r="T594" cm="1">
        <f t="array" ref="T594">MAX(IF((ContinuousStatsTable[GroupByKey]=ContinuousStatsTable[[#This Row],[GroupByKey]]),(ContinuousStatsTable[GroupByKey]=ContinuousStatsTable[[#This Row],[GroupByKey]])*ContinuousStatsTable[Average]))</f>
        <v>0.110964912280702</v>
      </c>
      <c r="U594">
        <f>IF((ContinuousStatsTable[[#This Row],[RepsRequested]]&gt;1),ContinuousStatsTable[[#This Row],[HalfWidth]],ContinuousStatsTable[[#This Row],[BatchMeansHalfWidth]])</f>
        <v>2.0288972945916956E-3</v>
      </c>
    </row>
    <row r="595" spans="1:21" x14ac:dyDescent="0.2">
      <c r="A595" t="s">
        <v>67</v>
      </c>
      <c r="B595" t="s">
        <v>70</v>
      </c>
      <c r="C595">
        <v>25</v>
      </c>
      <c r="D595" t="s">
        <v>102</v>
      </c>
      <c r="E595" t="s">
        <v>97</v>
      </c>
      <c r="F595" t="s">
        <v>95</v>
      </c>
      <c r="G595">
        <v>20</v>
      </c>
      <c r="H595">
        <v>2E+20</v>
      </c>
      <c r="I595">
        <v>20</v>
      </c>
      <c r="J595">
        <v>20</v>
      </c>
      <c r="K595">
        <v>20</v>
      </c>
      <c r="L595">
        <v>0</v>
      </c>
      <c r="M595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595" cm="1">
        <f t="array" ref="N595">MAX(IF((ProjectInfoTable[ProjectName]=ContinuousStatsTable[[#This Row],[ProjectName]]),(ProjectInfoTable[ProjectName]=ContinuousStatsTable[[#This Row],[ProjectName]])*ProjectInfoTable[NumberOfReplications]))</f>
        <v>30</v>
      </c>
      <c r="O595" cm="1">
        <f t="array" ref="O595">IFERROR(AVERAGE(IF((ContinuousStatsTable[GroupByKey]=ContinuousStatsTable[[#This Row],[GroupByKey]]),(ContinuousStatsTable[GroupByKey]=ContinuousStatsTable[[#This Row],[GroupByKey]])*ContinuousStatsTable[Average])),0)</f>
        <v>20</v>
      </c>
      <c r="P595" cm="1">
        <f t="array" ref="P595">IFERROR(_xlfn.STDEV.S(IF((ContinuousStatsTable[GroupByKey]=ContinuousStatsTable[[#This Row],[GroupByKey]]),(ContinuousStatsTable[GroupByKey]=ContinuousStatsTable[[#This Row],[GroupByKey]])*ContinuousStatsTable[Average])),0)</f>
        <v>0</v>
      </c>
      <c r="Q595" cm="1">
        <f t="array" ref="Q595">MAX(IF((ProjectInfoTable[ProjectName]=ContinuousStatsTable[[#This Row],[ProjectName]]),(ProjectInfoTable[ProjectName]=ContinuousStatsTable[[#This Row],[ProjectName]])*ProjectInfoTable[ConfidenceInterval]))</f>
        <v>0.95</v>
      </c>
      <c r="R5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5" cm="1">
        <f t="array" ref="S595">MIN(IF((ContinuousStatsTable[GroupByKey]=ContinuousStatsTable[[#This Row],[GroupByKey]]),(ContinuousStatsTable[GroupByKey]=ContinuousStatsTable[[#This Row],[GroupByKey]])*ContinuousStatsTable[Average]))</f>
        <v>20</v>
      </c>
      <c r="T595" cm="1">
        <f t="array" ref="T595">MAX(IF((ContinuousStatsTable[GroupByKey]=ContinuousStatsTable[[#This Row],[GroupByKey]]),(ContinuousStatsTable[GroupByKey]=ContinuousStatsTable[[#This Row],[GroupByKey]])*ContinuousStatsTable[Average]))</f>
        <v>20</v>
      </c>
      <c r="U595">
        <f>IF((ContinuousStatsTable[[#This Row],[RepsRequested]]&gt;1),ContinuousStatsTable[[#This Row],[HalfWidth]],ContinuousStatsTable[[#This Row],[BatchMeansHalfWidth]])</f>
        <v>0</v>
      </c>
    </row>
    <row r="596" spans="1:21" x14ac:dyDescent="0.2">
      <c r="A596" t="s">
        <v>67</v>
      </c>
      <c r="B596" t="s">
        <v>70</v>
      </c>
      <c r="C596">
        <v>25</v>
      </c>
      <c r="D596" t="s">
        <v>90</v>
      </c>
      <c r="E596" t="s">
        <v>98</v>
      </c>
      <c r="F596" t="s">
        <v>73</v>
      </c>
      <c r="G596">
        <v>0</v>
      </c>
      <c r="H596">
        <v>2E+20</v>
      </c>
      <c r="I596">
        <v>0</v>
      </c>
      <c r="J596">
        <v>0</v>
      </c>
      <c r="K596">
        <v>0</v>
      </c>
      <c r="L596">
        <v>0</v>
      </c>
      <c r="M596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596" cm="1">
        <f t="array" ref="N596">MAX(IF((ProjectInfoTable[ProjectName]=ContinuousStatsTable[[#This Row],[ProjectName]]),(ProjectInfoTable[ProjectName]=ContinuousStatsTable[[#This Row],[ProjectName]])*ProjectInfoTable[NumberOfReplications]))</f>
        <v>30</v>
      </c>
      <c r="O596" cm="1">
        <f t="array" ref="O596">IFERROR(AVERAGE(IF((ContinuousStatsTable[GroupByKey]=ContinuousStatsTable[[#This Row],[GroupByKey]]),(ContinuousStatsTable[GroupByKey]=ContinuousStatsTable[[#This Row],[GroupByKey]])*ContinuousStatsTable[Average])),0)</f>
        <v>0</v>
      </c>
      <c r="P596" cm="1">
        <f t="array" ref="P596">IFERROR(_xlfn.STDEV.S(IF((ContinuousStatsTable[GroupByKey]=ContinuousStatsTable[[#This Row],[GroupByKey]]),(ContinuousStatsTable[GroupByKey]=ContinuousStatsTable[[#This Row],[GroupByKey]])*ContinuousStatsTable[Average])),0)</f>
        <v>0</v>
      </c>
      <c r="Q596" cm="1">
        <f t="array" ref="Q596">MAX(IF((ProjectInfoTable[ProjectName]=ContinuousStatsTable[[#This Row],[ProjectName]]),(ProjectInfoTable[ProjectName]=ContinuousStatsTable[[#This Row],[ProjectName]])*ProjectInfoTable[ConfidenceInterval]))</f>
        <v>0.95</v>
      </c>
      <c r="R5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6" cm="1">
        <f t="array" ref="S596">MIN(IF((ContinuousStatsTable[GroupByKey]=ContinuousStatsTable[[#This Row],[GroupByKey]]),(ContinuousStatsTable[GroupByKey]=ContinuousStatsTable[[#This Row],[GroupByKey]])*ContinuousStatsTable[Average]))</f>
        <v>0</v>
      </c>
      <c r="T596" cm="1">
        <f t="array" ref="T596">MAX(IF((ContinuousStatsTable[GroupByKey]=ContinuousStatsTable[[#This Row],[GroupByKey]]),(ContinuousStatsTable[GroupByKey]=ContinuousStatsTable[[#This Row],[GroupByKey]])*ContinuousStatsTable[Average]))</f>
        <v>0</v>
      </c>
      <c r="U596">
        <f>IF((ContinuousStatsTable[[#This Row],[RepsRequested]]&gt;1),ContinuousStatsTable[[#This Row],[HalfWidth]],ContinuousStatsTable[[#This Row],[BatchMeansHalfWidth]])</f>
        <v>0</v>
      </c>
    </row>
    <row r="597" spans="1:21" x14ac:dyDescent="0.2">
      <c r="A597" t="s">
        <v>67</v>
      </c>
      <c r="B597" t="s">
        <v>70</v>
      </c>
      <c r="C597">
        <v>25</v>
      </c>
      <c r="D597" t="s">
        <v>91</v>
      </c>
      <c r="E597" t="s">
        <v>98</v>
      </c>
      <c r="F597" t="s">
        <v>73</v>
      </c>
      <c r="G597">
        <v>0</v>
      </c>
      <c r="H597">
        <v>2E+20</v>
      </c>
      <c r="I597">
        <v>0</v>
      </c>
      <c r="J597">
        <v>0</v>
      </c>
      <c r="K597">
        <v>0</v>
      </c>
      <c r="L597">
        <v>0</v>
      </c>
      <c r="M597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597" cm="1">
        <f t="array" ref="N597">MAX(IF((ProjectInfoTable[ProjectName]=ContinuousStatsTable[[#This Row],[ProjectName]]),(ProjectInfoTable[ProjectName]=ContinuousStatsTable[[#This Row],[ProjectName]])*ProjectInfoTable[NumberOfReplications]))</f>
        <v>30</v>
      </c>
      <c r="O597" cm="1">
        <f t="array" ref="O597">IFERROR(AVERAGE(IF((ContinuousStatsTable[GroupByKey]=ContinuousStatsTable[[#This Row],[GroupByKey]]),(ContinuousStatsTable[GroupByKey]=ContinuousStatsTable[[#This Row],[GroupByKey]])*ContinuousStatsTable[Average])),0)</f>
        <v>0</v>
      </c>
      <c r="P597" cm="1">
        <f t="array" ref="P597">IFERROR(_xlfn.STDEV.S(IF((ContinuousStatsTable[GroupByKey]=ContinuousStatsTable[[#This Row],[GroupByKey]]),(ContinuousStatsTable[GroupByKey]=ContinuousStatsTable[[#This Row],[GroupByKey]])*ContinuousStatsTable[Average])),0)</f>
        <v>0</v>
      </c>
      <c r="Q597" cm="1">
        <f t="array" ref="Q597">MAX(IF((ProjectInfoTable[ProjectName]=ContinuousStatsTable[[#This Row],[ProjectName]]),(ProjectInfoTable[ProjectName]=ContinuousStatsTable[[#This Row],[ProjectName]])*ProjectInfoTable[ConfidenceInterval]))</f>
        <v>0.95</v>
      </c>
      <c r="R5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7" cm="1">
        <f t="array" ref="S597">MIN(IF((ContinuousStatsTable[GroupByKey]=ContinuousStatsTable[[#This Row],[GroupByKey]]),(ContinuousStatsTable[GroupByKey]=ContinuousStatsTable[[#This Row],[GroupByKey]])*ContinuousStatsTable[Average]))</f>
        <v>0</v>
      </c>
      <c r="T597" cm="1">
        <f t="array" ref="T597">MAX(IF((ContinuousStatsTable[GroupByKey]=ContinuousStatsTable[[#This Row],[GroupByKey]]),(ContinuousStatsTable[GroupByKey]=ContinuousStatsTable[[#This Row],[GroupByKey]])*ContinuousStatsTable[Average]))</f>
        <v>0</v>
      </c>
      <c r="U597">
        <f>IF((ContinuousStatsTable[[#This Row],[RepsRequested]]&gt;1),ContinuousStatsTable[[#This Row],[HalfWidth]],ContinuousStatsTable[[#This Row],[BatchMeansHalfWidth]])</f>
        <v>0</v>
      </c>
    </row>
    <row r="598" spans="1:21" x14ac:dyDescent="0.2">
      <c r="A598" t="s">
        <v>67</v>
      </c>
      <c r="B598" t="s">
        <v>70</v>
      </c>
      <c r="C598">
        <v>25</v>
      </c>
      <c r="D598" t="s">
        <v>92</v>
      </c>
      <c r="E598" t="s">
        <v>98</v>
      </c>
      <c r="F598" t="s">
        <v>73</v>
      </c>
      <c r="G598">
        <v>0</v>
      </c>
      <c r="H598">
        <v>2E+20</v>
      </c>
      <c r="I598">
        <v>0</v>
      </c>
      <c r="J598">
        <v>0</v>
      </c>
      <c r="K598">
        <v>0</v>
      </c>
      <c r="L598">
        <v>0</v>
      </c>
      <c r="M598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598" cm="1">
        <f t="array" ref="N598">MAX(IF((ProjectInfoTable[ProjectName]=ContinuousStatsTable[[#This Row],[ProjectName]]),(ProjectInfoTable[ProjectName]=ContinuousStatsTable[[#This Row],[ProjectName]])*ProjectInfoTable[NumberOfReplications]))</f>
        <v>30</v>
      </c>
      <c r="O598" cm="1">
        <f t="array" ref="O598">IFERROR(AVERAGE(IF((ContinuousStatsTable[GroupByKey]=ContinuousStatsTable[[#This Row],[GroupByKey]]),(ContinuousStatsTable[GroupByKey]=ContinuousStatsTable[[#This Row],[GroupByKey]])*ContinuousStatsTable[Average])),0)</f>
        <v>0</v>
      </c>
      <c r="P598" cm="1">
        <f t="array" ref="P598">IFERROR(_xlfn.STDEV.S(IF((ContinuousStatsTable[GroupByKey]=ContinuousStatsTable[[#This Row],[GroupByKey]]),(ContinuousStatsTable[GroupByKey]=ContinuousStatsTable[[#This Row],[GroupByKey]])*ContinuousStatsTable[Average])),0)</f>
        <v>0</v>
      </c>
      <c r="Q598" cm="1">
        <f t="array" ref="Q598">MAX(IF((ProjectInfoTable[ProjectName]=ContinuousStatsTable[[#This Row],[ProjectName]]),(ProjectInfoTable[ProjectName]=ContinuousStatsTable[[#This Row],[ProjectName]])*ProjectInfoTable[ConfidenceInterval]))</f>
        <v>0.95</v>
      </c>
      <c r="R5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98" cm="1">
        <f t="array" ref="S598">MIN(IF((ContinuousStatsTable[GroupByKey]=ContinuousStatsTable[[#This Row],[GroupByKey]]),(ContinuousStatsTable[GroupByKey]=ContinuousStatsTable[[#This Row],[GroupByKey]])*ContinuousStatsTable[Average]))</f>
        <v>0</v>
      </c>
      <c r="T598" cm="1">
        <f t="array" ref="T598">MAX(IF((ContinuousStatsTable[GroupByKey]=ContinuousStatsTable[[#This Row],[GroupByKey]]),(ContinuousStatsTable[GroupByKey]=ContinuousStatsTable[[#This Row],[GroupByKey]])*ContinuousStatsTable[Average]))</f>
        <v>0</v>
      </c>
      <c r="U598">
        <f>IF((ContinuousStatsTable[[#This Row],[RepsRequested]]&gt;1),ContinuousStatsTable[[#This Row],[HalfWidth]],ContinuousStatsTable[[#This Row],[BatchMeansHalfWidth]])</f>
        <v>0</v>
      </c>
    </row>
    <row r="599" spans="1:21" x14ac:dyDescent="0.2">
      <c r="A599" t="s">
        <v>67</v>
      </c>
      <c r="B599" t="s">
        <v>70</v>
      </c>
      <c r="C599">
        <v>25</v>
      </c>
      <c r="D599" t="s">
        <v>103</v>
      </c>
      <c r="E599" t="s">
        <v>94</v>
      </c>
      <c r="F599" t="s">
        <v>95</v>
      </c>
      <c r="G599">
        <v>8.4245022667114894E-2</v>
      </c>
      <c r="H599">
        <v>2E+20</v>
      </c>
      <c r="I599">
        <v>0</v>
      </c>
      <c r="J599">
        <v>0.66666666666666696</v>
      </c>
      <c r="K599">
        <v>0</v>
      </c>
      <c r="L599">
        <v>0</v>
      </c>
      <c r="M599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599" cm="1">
        <f t="array" ref="N599">MAX(IF((ProjectInfoTable[ProjectName]=ContinuousStatsTable[[#This Row],[ProjectName]]),(ProjectInfoTable[ProjectName]=ContinuousStatsTable[[#This Row],[ProjectName]])*ProjectInfoTable[NumberOfReplications]))</f>
        <v>30</v>
      </c>
      <c r="O599" cm="1">
        <f t="array" ref="O599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599" cm="1">
        <f t="array" ref="P599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599" cm="1">
        <f t="array" ref="Q599">MAX(IF((ProjectInfoTable[ProjectName]=ContinuousStatsTable[[#This Row],[ProjectName]]),(ProjectInfoTable[ProjectName]=ContinuousStatsTable[[#This Row],[ProjectName]])*ProjectInfoTable[ConfidenceInterval]))</f>
        <v>0.95</v>
      </c>
      <c r="R5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599" cm="1">
        <f t="array" ref="S599">MIN(IF((ContinuousStatsTable[GroupByKey]=ContinuousStatsTable[[#This Row],[GroupByKey]]),(ContinuousStatsTable[GroupByKey]=ContinuousStatsTable[[#This Row],[GroupByKey]])*ContinuousStatsTable[Average]))</f>
        <v>7.7176470357846902E-2</v>
      </c>
      <c r="T599" cm="1">
        <f t="array" ref="T599">MAX(IF((ContinuousStatsTable[GroupByKey]=ContinuousStatsTable[[#This Row],[GroupByKey]]),(ContinuousStatsTable[GroupByKey]=ContinuousStatsTable[[#This Row],[GroupByKey]])*ContinuousStatsTable[Average]))</f>
        <v>9.2534326714405896E-2</v>
      </c>
      <c r="U599">
        <f>IF((ContinuousStatsTable[[#This Row],[RepsRequested]]&gt;1),ContinuousStatsTable[[#This Row],[HalfWidth]],ContinuousStatsTable[[#This Row],[BatchMeansHalfWidth]])</f>
        <v>1.3238327186697659E-3</v>
      </c>
    </row>
    <row r="600" spans="1:21" x14ac:dyDescent="0.2">
      <c r="A600" t="s">
        <v>67</v>
      </c>
      <c r="B600" t="s">
        <v>70</v>
      </c>
      <c r="C600">
        <v>25</v>
      </c>
      <c r="D600" t="s">
        <v>103</v>
      </c>
      <c r="E600" t="s">
        <v>96</v>
      </c>
      <c r="F600" t="s">
        <v>95</v>
      </c>
      <c r="G600">
        <v>0.25273506800134499</v>
      </c>
      <c r="H600">
        <v>2E+20</v>
      </c>
      <c r="I600">
        <v>0</v>
      </c>
      <c r="J600">
        <v>2</v>
      </c>
      <c r="K600">
        <v>0</v>
      </c>
      <c r="L600">
        <v>0</v>
      </c>
      <c r="M600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600" cm="1">
        <f t="array" ref="N600">MAX(IF((ProjectInfoTable[ProjectName]=ContinuousStatsTable[[#This Row],[ProjectName]]),(ProjectInfoTable[ProjectName]=ContinuousStatsTable[[#This Row],[ProjectName]])*ProjectInfoTable[NumberOfReplications]))</f>
        <v>30</v>
      </c>
      <c r="O600" cm="1">
        <f t="array" ref="O600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600" cm="1">
        <f t="array" ref="P600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600" cm="1">
        <f t="array" ref="Q600">MAX(IF((ProjectInfoTable[ProjectName]=ContinuousStatsTable[[#This Row],[ProjectName]]),(ProjectInfoTable[ProjectName]=ContinuousStatsTable[[#This Row],[ProjectName]])*ProjectInfoTable[ConfidenceInterval]))</f>
        <v>0.95</v>
      </c>
      <c r="R6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600" cm="1">
        <f t="array" ref="S600">MIN(IF((ContinuousStatsTable[GroupByKey]=ContinuousStatsTable[[#This Row],[GroupByKey]]),(ContinuousStatsTable[GroupByKey]=ContinuousStatsTable[[#This Row],[GroupByKey]])*ContinuousStatsTable[Average]))</f>
        <v>0.231529411073541</v>
      </c>
      <c r="T600" cm="1">
        <f t="array" ref="T600">MAX(IF((ContinuousStatsTable[GroupByKey]=ContinuousStatsTable[[#This Row],[GroupByKey]]),(ContinuousStatsTable[GroupByKey]=ContinuousStatsTable[[#This Row],[GroupByKey]])*ContinuousStatsTable[Average]))</f>
        <v>0.27760298014321699</v>
      </c>
      <c r="U600">
        <f>IF((ContinuousStatsTable[[#This Row],[RepsRequested]]&gt;1),ContinuousStatsTable[[#This Row],[HalfWidth]],ContinuousStatsTable[[#This Row],[BatchMeansHalfWidth]])</f>
        <v>3.9714981560092996E-3</v>
      </c>
    </row>
    <row r="601" spans="1:21" x14ac:dyDescent="0.2">
      <c r="A601" t="s">
        <v>67</v>
      </c>
      <c r="B601" t="s">
        <v>70</v>
      </c>
      <c r="C601">
        <v>25</v>
      </c>
      <c r="D601" t="s">
        <v>103</v>
      </c>
      <c r="E601" t="s">
        <v>97</v>
      </c>
      <c r="F601" t="s">
        <v>95</v>
      </c>
      <c r="G601">
        <v>3</v>
      </c>
      <c r="H601">
        <v>2E+20</v>
      </c>
      <c r="I601">
        <v>3</v>
      </c>
      <c r="J601">
        <v>3</v>
      </c>
      <c r="K601">
        <v>3</v>
      </c>
      <c r="L601">
        <v>0</v>
      </c>
      <c r="M601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601" cm="1">
        <f t="array" ref="N601">MAX(IF((ProjectInfoTable[ProjectName]=ContinuousStatsTable[[#This Row],[ProjectName]]),(ProjectInfoTable[ProjectName]=ContinuousStatsTable[[#This Row],[ProjectName]])*ProjectInfoTable[NumberOfReplications]))</f>
        <v>30</v>
      </c>
      <c r="O601" cm="1">
        <f t="array" ref="O601">IFERROR(AVERAGE(IF((ContinuousStatsTable[GroupByKey]=ContinuousStatsTable[[#This Row],[GroupByKey]]),(ContinuousStatsTable[GroupByKey]=ContinuousStatsTable[[#This Row],[GroupByKey]])*ContinuousStatsTable[Average])),0)</f>
        <v>3</v>
      </c>
      <c r="P601" cm="1">
        <f t="array" ref="P601">IFERROR(_xlfn.STDEV.S(IF((ContinuousStatsTable[GroupByKey]=ContinuousStatsTable[[#This Row],[GroupByKey]]),(ContinuousStatsTable[GroupByKey]=ContinuousStatsTable[[#This Row],[GroupByKey]])*ContinuousStatsTable[Average])),0)</f>
        <v>0</v>
      </c>
      <c r="Q601" cm="1">
        <f t="array" ref="Q601">MAX(IF((ProjectInfoTable[ProjectName]=ContinuousStatsTable[[#This Row],[ProjectName]]),(ProjectInfoTable[ProjectName]=ContinuousStatsTable[[#This Row],[ProjectName]])*ProjectInfoTable[ConfidenceInterval]))</f>
        <v>0.95</v>
      </c>
      <c r="R6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1" cm="1">
        <f t="array" ref="S601">MIN(IF((ContinuousStatsTable[GroupByKey]=ContinuousStatsTable[[#This Row],[GroupByKey]]),(ContinuousStatsTable[GroupByKey]=ContinuousStatsTable[[#This Row],[GroupByKey]])*ContinuousStatsTable[Average]))</f>
        <v>3</v>
      </c>
      <c r="T601" cm="1">
        <f t="array" ref="T601">MAX(IF((ContinuousStatsTable[GroupByKey]=ContinuousStatsTable[[#This Row],[GroupByKey]]),(ContinuousStatsTable[GroupByKey]=ContinuousStatsTable[[#This Row],[GroupByKey]])*ContinuousStatsTable[Average]))</f>
        <v>3</v>
      </c>
      <c r="U601">
        <f>IF((ContinuousStatsTable[[#This Row],[RepsRequested]]&gt;1),ContinuousStatsTable[[#This Row],[HalfWidth]],ContinuousStatsTable[[#This Row],[BatchMeansHalfWidth]])</f>
        <v>0</v>
      </c>
    </row>
    <row r="602" spans="1:21" x14ac:dyDescent="0.2">
      <c r="A602" t="s">
        <v>67</v>
      </c>
      <c r="B602" t="s">
        <v>70</v>
      </c>
      <c r="C602">
        <v>26</v>
      </c>
      <c r="D602" t="s">
        <v>93</v>
      </c>
      <c r="E602" t="s">
        <v>94</v>
      </c>
      <c r="F602" t="s">
        <v>95</v>
      </c>
      <c r="G602">
        <v>0.23859649122807</v>
      </c>
      <c r="H602">
        <v>1.8791529969830498E-2</v>
      </c>
      <c r="I602">
        <v>0</v>
      </c>
      <c r="J602">
        <v>1</v>
      </c>
      <c r="K602">
        <v>0</v>
      </c>
      <c r="L602">
        <v>0</v>
      </c>
      <c r="M602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602" cm="1">
        <f t="array" ref="N602">MAX(IF((ProjectInfoTable[ProjectName]=ContinuousStatsTable[[#This Row],[ProjectName]]),(ProjectInfoTable[ProjectName]=ContinuousStatsTable[[#This Row],[ProjectName]])*ProjectInfoTable[NumberOfReplications]))</f>
        <v>30</v>
      </c>
      <c r="O602" cm="1">
        <f t="array" ref="O602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602" cm="1">
        <f t="array" ref="P602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602" cm="1">
        <f t="array" ref="Q602">MAX(IF((ProjectInfoTable[ProjectName]=ContinuousStatsTable[[#This Row],[ProjectName]]),(ProjectInfoTable[ProjectName]=ContinuousStatsTable[[#This Row],[ProjectName]])*ProjectInfoTable[ConfidenceInterval]))</f>
        <v>0.95</v>
      </c>
      <c r="R6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602" cm="1">
        <f t="array" ref="S602">MIN(IF((ContinuousStatsTable[GroupByKey]=ContinuousStatsTable[[#This Row],[GroupByKey]]),(ContinuousStatsTable[GroupByKey]=ContinuousStatsTable[[#This Row],[GroupByKey]])*ContinuousStatsTable[Average]))</f>
        <v>0.233333333333333</v>
      </c>
      <c r="T602" cm="1">
        <f t="array" ref="T602">MAX(IF((ContinuousStatsTable[GroupByKey]=ContinuousStatsTable[[#This Row],[GroupByKey]]),(ContinuousStatsTable[GroupByKey]=ContinuousStatsTable[[#This Row],[GroupByKey]])*ContinuousStatsTable[Average]))</f>
        <v>0.27905535859326402</v>
      </c>
      <c r="U602">
        <f>IF((ContinuousStatsTable[[#This Row],[RepsRequested]]&gt;1),ContinuousStatsTable[[#This Row],[HalfWidth]],ContinuousStatsTable[[#This Row],[BatchMeansHalfWidth]])</f>
        <v>4.2029769261323026E-3</v>
      </c>
    </row>
    <row r="603" spans="1:21" x14ac:dyDescent="0.2">
      <c r="A603" t="s">
        <v>67</v>
      </c>
      <c r="B603" t="s">
        <v>70</v>
      </c>
      <c r="C603">
        <v>26</v>
      </c>
      <c r="D603" t="s">
        <v>93</v>
      </c>
      <c r="E603" t="s">
        <v>96</v>
      </c>
      <c r="F603" t="s">
        <v>95</v>
      </c>
      <c r="G603">
        <v>0.23859649122807</v>
      </c>
      <c r="H603">
        <v>1.8791529969830498E-2</v>
      </c>
      <c r="I603">
        <v>0</v>
      </c>
      <c r="J603">
        <v>1</v>
      </c>
      <c r="K603">
        <v>0</v>
      </c>
      <c r="L603">
        <v>0</v>
      </c>
      <c r="M603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603" cm="1">
        <f t="array" ref="N603">MAX(IF((ProjectInfoTable[ProjectName]=ContinuousStatsTable[[#This Row],[ProjectName]]),(ProjectInfoTable[ProjectName]=ContinuousStatsTable[[#This Row],[ProjectName]])*ProjectInfoTable[NumberOfReplications]))</f>
        <v>30</v>
      </c>
      <c r="O603" cm="1">
        <f t="array" ref="O603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603" cm="1">
        <f t="array" ref="P603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603" cm="1">
        <f t="array" ref="Q603">MAX(IF((ProjectInfoTable[ProjectName]=ContinuousStatsTable[[#This Row],[ProjectName]]),(ProjectInfoTable[ProjectName]=ContinuousStatsTable[[#This Row],[ProjectName]])*ProjectInfoTable[ConfidenceInterval]))</f>
        <v>0.95</v>
      </c>
      <c r="R6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603" cm="1">
        <f t="array" ref="S603">MIN(IF((ContinuousStatsTable[GroupByKey]=ContinuousStatsTable[[#This Row],[GroupByKey]]),(ContinuousStatsTable[GroupByKey]=ContinuousStatsTable[[#This Row],[GroupByKey]])*ContinuousStatsTable[Average]))</f>
        <v>0.233333333333333</v>
      </c>
      <c r="T603" cm="1">
        <f t="array" ref="T603">MAX(IF((ContinuousStatsTable[GroupByKey]=ContinuousStatsTable[[#This Row],[GroupByKey]]),(ContinuousStatsTable[GroupByKey]=ContinuousStatsTable[[#This Row],[GroupByKey]])*ContinuousStatsTable[Average]))</f>
        <v>0.27905535859326402</v>
      </c>
      <c r="U603">
        <f>IF((ContinuousStatsTable[[#This Row],[RepsRequested]]&gt;1),ContinuousStatsTable[[#This Row],[HalfWidth]],ContinuousStatsTable[[#This Row],[BatchMeansHalfWidth]])</f>
        <v>4.2029769261323026E-3</v>
      </c>
    </row>
    <row r="604" spans="1:21" x14ac:dyDescent="0.2">
      <c r="A604" t="s">
        <v>67</v>
      </c>
      <c r="B604" t="s">
        <v>70</v>
      </c>
      <c r="C604">
        <v>26</v>
      </c>
      <c r="D604" t="s">
        <v>93</v>
      </c>
      <c r="E604" t="s">
        <v>97</v>
      </c>
      <c r="F604" t="s">
        <v>95</v>
      </c>
      <c r="G604">
        <v>1</v>
      </c>
      <c r="H604">
        <v>2E+20</v>
      </c>
      <c r="I604">
        <v>1</v>
      </c>
      <c r="J604">
        <v>1</v>
      </c>
      <c r="K604">
        <v>1</v>
      </c>
      <c r="L604">
        <v>0</v>
      </c>
      <c r="M604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604" cm="1">
        <f t="array" ref="N604">MAX(IF((ProjectInfoTable[ProjectName]=ContinuousStatsTable[[#This Row],[ProjectName]]),(ProjectInfoTable[ProjectName]=ContinuousStatsTable[[#This Row],[ProjectName]])*ProjectInfoTable[NumberOfReplications]))</f>
        <v>30</v>
      </c>
      <c r="O604" cm="1">
        <f t="array" ref="O604">IFERROR(AVERAGE(IF((ContinuousStatsTable[GroupByKey]=ContinuousStatsTable[[#This Row],[GroupByKey]]),(ContinuousStatsTable[GroupByKey]=ContinuousStatsTable[[#This Row],[GroupByKey]])*ContinuousStatsTable[Average])),0)</f>
        <v>1</v>
      </c>
      <c r="P604" cm="1">
        <f t="array" ref="P604">IFERROR(_xlfn.STDEV.S(IF((ContinuousStatsTable[GroupByKey]=ContinuousStatsTable[[#This Row],[GroupByKey]]),(ContinuousStatsTable[GroupByKey]=ContinuousStatsTable[[#This Row],[GroupByKey]])*ContinuousStatsTable[Average])),0)</f>
        <v>0</v>
      </c>
      <c r="Q604" cm="1">
        <f t="array" ref="Q604">MAX(IF((ProjectInfoTable[ProjectName]=ContinuousStatsTable[[#This Row],[ProjectName]]),(ProjectInfoTable[ProjectName]=ContinuousStatsTable[[#This Row],[ProjectName]])*ProjectInfoTable[ConfidenceInterval]))</f>
        <v>0.95</v>
      </c>
      <c r="R6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4" cm="1">
        <f t="array" ref="S604">MIN(IF((ContinuousStatsTable[GroupByKey]=ContinuousStatsTable[[#This Row],[GroupByKey]]),(ContinuousStatsTable[GroupByKey]=ContinuousStatsTable[[#This Row],[GroupByKey]])*ContinuousStatsTable[Average]))</f>
        <v>1</v>
      </c>
      <c r="T604" cm="1">
        <f t="array" ref="T604">MAX(IF((ContinuousStatsTable[GroupByKey]=ContinuousStatsTable[[#This Row],[GroupByKey]]),(ContinuousStatsTable[GroupByKey]=ContinuousStatsTable[[#This Row],[GroupByKey]])*ContinuousStatsTable[Average]))</f>
        <v>1</v>
      </c>
      <c r="U604">
        <f>IF((ContinuousStatsTable[[#This Row],[RepsRequested]]&gt;1),ContinuousStatsTable[[#This Row],[HalfWidth]],ContinuousStatsTable[[#This Row],[BatchMeansHalfWidth]])</f>
        <v>0</v>
      </c>
    </row>
    <row r="605" spans="1:21" x14ac:dyDescent="0.2">
      <c r="A605" t="s">
        <v>67</v>
      </c>
      <c r="B605" t="s">
        <v>70</v>
      </c>
      <c r="C605">
        <v>26</v>
      </c>
      <c r="D605" t="s">
        <v>71</v>
      </c>
      <c r="E605" t="s">
        <v>98</v>
      </c>
      <c r="F605" t="s">
        <v>73</v>
      </c>
      <c r="G605">
        <v>2.79125311816537E-2</v>
      </c>
      <c r="H605">
        <v>2E+20</v>
      </c>
      <c r="I605">
        <v>0</v>
      </c>
      <c r="J605">
        <v>2</v>
      </c>
      <c r="K605">
        <v>0</v>
      </c>
      <c r="L605">
        <v>0</v>
      </c>
      <c r="M605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605" cm="1">
        <f t="array" ref="N605">MAX(IF((ProjectInfoTable[ProjectName]=ContinuousStatsTable[[#This Row],[ProjectName]]),(ProjectInfoTable[ProjectName]=ContinuousStatsTable[[#This Row],[ProjectName]])*ProjectInfoTable[NumberOfReplications]))</f>
        <v>30</v>
      </c>
      <c r="O605" cm="1">
        <f t="array" ref="O605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605" cm="1">
        <f t="array" ref="P605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605" cm="1">
        <f t="array" ref="Q605">MAX(IF((ProjectInfoTable[ProjectName]=ContinuousStatsTable[[#This Row],[ProjectName]]),(ProjectInfoTable[ProjectName]=ContinuousStatsTable[[#This Row],[ProjectName]])*ProjectInfoTable[ConfidenceInterval]))</f>
        <v>0.95</v>
      </c>
      <c r="R6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605" cm="1">
        <f t="array" ref="S605">MIN(IF((ContinuousStatsTable[GroupByKey]=ContinuousStatsTable[[#This Row],[GroupByKey]]),(ContinuousStatsTable[GroupByKey]=ContinuousStatsTable[[#This Row],[GroupByKey]])*ContinuousStatsTable[Average]))</f>
        <v>1.9664517785186901E-2</v>
      </c>
      <c r="T605" cm="1">
        <f t="array" ref="T605">MAX(IF((ContinuousStatsTable[GroupByKey]=ContinuousStatsTable[[#This Row],[GroupByKey]]),(ContinuousStatsTable[GroupByKey]=ContinuousStatsTable[[#This Row],[GroupByKey]])*ContinuousStatsTable[Average]))</f>
        <v>3.9738966906982302E-2</v>
      </c>
      <c r="U605">
        <f>IF((ContinuousStatsTable[[#This Row],[RepsRequested]]&gt;1),ContinuousStatsTable[[#This Row],[HalfWidth]],ContinuousStatsTable[[#This Row],[BatchMeansHalfWidth]])</f>
        <v>1.6627262085570247E-3</v>
      </c>
    </row>
    <row r="606" spans="1:21" x14ac:dyDescent="0.2">
      <c r="A606" t="s">
        <v>67</v>
      </c>
      <c r="B606" t="s">
        <v>70</v>
      </c>
      <c r="C606">
        <v>26</v>
      </c>
      <c r="D606" t="s">
        <v>99</v>
      </c>
      <c r="E606" t="s">
        <v>94</v>
      </c>
      <c r="F606" t="s">
        <v>95</v>
      </c>
      <c r="G606">
        <v>0.59867913678398399</v>
      </c>
      <c r="H606">
        <v>2E+20</v>
      </c>
      <c r="I606">
        <v>0</v>
      </c>
      <c r="J606">
        <v>1</v>
      </c>
      <c r="K606">
        <v>1</v>
      </c>
      <c r="L606">
        <v>0</v>
      </c>
      <c r="M606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606" cm="1">
        <f t="array" ref="N606">MAX(IF((ProjectInfoTable[ProjectName]=ContinuousStatsTable[[#This Row],[ProjectName]]),(ProjectInfoTable[ProjectName]=ContinuousStatsTable[[#This Row],[ProjectName]])*ProjectInfoTable[NumberOfReplications]))</f>
        <v>30</v>
      </c>
      <c r="O606" cm="1">
        <f t="array" ref="O606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606" cm="1">
        <f t="array" ref="P606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606" cm="1">
        <f t="array" ref="Q606">MAX(IF((ProjectInfoTable[ProjectName]=ContinuousStatsTable[[#This Row],[ProjectName]]),(ProjectInfoTable[ProjectName]=ContinuousStatsTable[[#This Row],[ProjectName]])*ProjectInfoTable[ConfidenceInterval]))</f>
        <v>0.95</v>
      </c>
      <c r="R6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606" cm="1">
        <f t="array" ref="S606">MIN(IF((ContinuousStatsTable[GroupByKey]=ContinuousStatsTable[[#This Row],[GroupByKey]]),(ContinuousStatsTable[GroupByKey]=ContinuousStatsTable[[#This Row],[GroupByKey]])*ContinuousStatsTable[Average]))</f>
        <v>0.58256422876290004</v>
      </c>
      <c r="T606" cm="1">
        <f t="array" ref="T606">MAX(IF((ContinuousStatsTable[GroupByKey]=ContinuousStatsTable[[#This Row],[GroupByKey]]),(ContinuousStatsTable[GroupByKey]=ContinuousStatsTable[[#This Row],[GroupByKey]])*ContinuousStatsTable[Average]))</f>
        <v>0.68643238055161704</v>
      </c>
      <c r="U606">
        <f>IF((ContinuousStatsTable[[#This Row],[RepsRequested]]&gt;1),ContinuousStatsTable[[#This Row],[HalfWidth]],ContinuousStatsTable[[#This Row],[BatchMeansHalfWidth]])</f>
        <v>9.8490003000806757E-3</v>
      </c>
    </row>
    <row r="607" spans="1:21" x14ac:dyDescent="0.2">
      <c r="A607" t="s">
        <v>67</v>
      </c>
      <c r="B607" t="s">
        <v>70</v>
      </c>
      <c r="C607">
        <v>26</v>
      </c>
      <c r="D607" t="s">
        <v>99</v>
      </c>
      <c r="E607" t="s">
        <v>96</v>
      </c>
      <c r="F607" t="s">
        <v>95</v>
      </c>
      <c r="G607">
        <v>1.19735827356797</v>
      </c>
      <c r="H607">
        <v>2E+20</v>
      </c>
      <c r="I607">
        <v>0</v>
      </c>
      <c r="J607">
        <v>2</v>
      </c>
      <c r="K607">
        <v>2</v>
      </c>
      <c r="L607">
        <v>0</v>
      </c>
      <c r="M607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607" cm="1">
        <f t="array" ref="N607">MAX(IF((ProjectInfoTable[ProjectName]=ContinuousStatsTable[[#This Row],[ProjectName]]),(ProjectInfoTable[ProjectName]=ContinuousStatsTable[[#This Row],[ProjectName]])*ProjectInfoTable[NumberOfReplications]))</f>
        <v>30</v>
      </c>
      <c r="O607" cm="1">
        <f t="array" ref="O607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607" cm="1">
        <f t="array" ref="P607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607" cm="1">
        <f t="array" ref="Q607">MAX(IF((ProjectInfoTable[ProjectName]=ContinuousStatsTable[[#This Row],[ProjectName]]),(ProjectInfoTable[ProjectName]=ContinuousStatsTable[[#This Row],[ProjectName]])*ProjectInfoTable[ConfidenceInterval]))</f>
        <v>0.95</v>
      </c>
      <c r="R6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607" cm="1">
        <f t="array" ref="S607">MIN(IF((ContinuousStatsTable[GroupByKey]=ContinuousStatsTable[[#This Row],[GroupByKey]]),(ContinuousStatsTable[GroupByKey]=ContinuousStatsTable[[#This Row],[GroupByKey]])*ContinuousStatsTable[Average]))</f>
        <v>1.1651284575258001</v>
      </c>
      <c r="T607" cm="1">
        <f t="array" ref="T607">MAX(IF((ContinuousStatsTable[GroupByKey]=ContinuousStatsTable[[#This Row],[GroupByKey]]),(ContinuousStatsTable[GroupByKey]=ContinuousStatsTable[[#This Row],[GroupByKey]])*ContinuousStatsTable[Average]))</f>
        <v>1.3728647611032301</v>
      </c>
      <c r="U607">
        <f>IF((ContinuousStatsTable[[#This Row],[RepsRequested]]&gt;1),ContinuousStatsTable[[#This Row],[HalfWidth]],ContinuousStatsTable[[#This Row],[BatchMeansHalfWidth]])</f>
        <v>1.9698000600160998E-2</v>
      </c>
    </row>
    <row r="608" spans="1:21" x14ac:dyDescent="0.2">
      <c r="A608" t="s">
        <v>67</v>
      </c>
      <c r="B608" t="s">
        <v>70</v>
      </c>
      <c r="C608">
        <v>26</v>
      </c>
      <c r="D608" t="s">
        <v>99</v>
      </c>
      <c r="E608" t="s">
        <v>97</v>
      </c>
      <c r="F608" t="s">
        <v>95</v>
      </c>
      <c r="G608">
        <v>2</v>
      </c>
      <c r="H608">
        <v>2E+20</v>
      </c>
      <c r="I608">
        <v>2</v>
      </c>
      <c r="J608">
        <v>2</v>
      </c>
      <c r="K608">
        <v>2</v>
      </c>
      <c r="L608">
        <v>0</v>
      </c>
      <c r="M608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608" cm="1">
        <f t="array" ref="N608">MAX(IF((ProjectInfoTable[ProjectName]=ContinuousStatsTable[[#This Row],[ProjectName]]),(ProjectInfoTable[ProjectName]=ContinuousStatsTable[[#This Row],[ProjectName]])*ProjectInfoTable[NumberOfReplications]))</f>
        <v>30</v>
      </c>
      <c r="O608" cm="1">
        <f t="array" ref="O608">IFERROR(AVERAGE(IF((ContinuousStatsTable[GroupByKey]=ContinuousStatsTable[[#This Row],[GroupByKey]]),(ContinuousStatsTable[GroupByKey]=ContinuousStatsTable[[#This Row],[GroupByKey]])*ContinuousStatsTable[Average])),0)</f>
        <v>2</v>
      </c>
      <c r="P608" cm="1">
        <f t="array" ref="P608">IFERROR(_xlfn.STDEV.S(IF((ContinuousStatsTable[GroupByKey]=ContinuousStatsTable[[#This Row],[GroupByKey]]),(ContinuousStatsTable[GroupByKey]=ContinuousStatsTable[[#This Row],[GroupByKey]])*ContinuousStatsTable[Average])),0)</f>
        <v>0</v>
      </c>
      <c r="Q608" cm="1">
        <f t="array" ref="Q608">MAX(IF((ProjectInfoTable[ProjectName]=ContinuousStatsTable[[#This Row],[ProjectName]]),(ProjectInfoTable[ProjectName]=ContinuousStatsTable[[#This Row],[ProjectName]])*ProjectInfoTable[ConfidenceInterval]))</f>
        <v>0.95</v>
      </c>
      <c r="R6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8" cm="1">
        <f t="array" ref="S608">MIN(IF((ContinuousStatsTable[GroupByKey]=ContinuousStatsTable[[#This Row],[GroupByKey]]),(ContinuousStatsTable[GroupByKey]=ContinuousStatsTable[[#This Row],[GroupByKey]])*ContinuousStatsTable[Average]))</f>
        <v>2</v>
      </c>
      <c r="T608" cm="1">
        <f t="array" ref="T608">MAX(IF((ContinuousStatsTable[GroupByKey]=ContinuousStatsTable[[#This Row],[GroupByKey]]),(ContinuousStatsTable[GroupByKey]=ContinuousStatsTable[[#This Row],[GroupByKey]])*ContinuousStatsTable[Average]))</f>
        <v>2</v>
      </c>
      <c r="U608">
        <f>IF((ContinuousStatsTable[[#This Row],[RepsRequested]]&gt;1),ContinuousStatsTable[[#This Row],[HalfWidth]],ContinuousStatsTable[[#This Row],[BatchMeansHalfWidth]])</f>
        <v>0</v>
      </c>
    </row>
    <row r="609" spans="1:21" x14ac:dyDescent="0.2">
      <c r="A609" t="s">
        <v>67</v>
      </c>
      <c r="B609" t="s">
        <v>70</v>
      </c>
      <c r="C609">
        <v>26</v>
      </c>
      <c r="D609" t="s">
        <v>74</v>
      </c>
      <c r="E609" t="s">
        <v>100</v>
      </c>
      <c r="F609" t="s">
        <v>76</v>
      </c>
      <c r="G609">
        <v>14.8241928181828</v>
      </c>
      <c r="H609">
        <v>3E+20</v>
      </c>
      <c r="I609">
        <v>2</v>
      </c>
      <c r="J609">
        <v>29</v>
      </c>
      <c r="K609">
        <v>19</v>
      </c>
      <c r="L609">
        <v>0</v>
      </c>
      <c r="M609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09" cm="1">
        <f t="array" ref="N609">MAX(IF((ProjectInfoTable[ProjectName]=ContinuousStatsTable[[#This Row],[ProjectName]]),(ProjectInfoTable[ProjectName]=ContinuousStatsTable[[#This Row],[ProjectName]])*ProjectInfoTable[NumberOfReplications]))</f>
        <v>30</v>
      </c>
      <c r="O609" cm="1">
        <f t="array" ref="O609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609" cm="1">
        <f t="array" ref="P609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609" cm="1">
        <f t="array" ref="Q609">MAX(IF((ProjectInfoTable[ProjectName]=ContinuousStatsTable[[#This Row],[ProjectName]]),(ProjectInfoTable[ProjectName]=ContinuousStatsTable[[#This Row],[ProjectName]])*ProjectInfoTable[ConfidenceInterval]))</f>
        <v>0.95</v>
      </c>
      <c r="R6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609" cm="1">
        <f t="array" ref="S609">MIN(IF((ContinuousStatsTable[GroupByKey]=ContinuousStatsTable[[#This Row],[GroupByKey]]),(ContinuousStatsTable[GroupByKey]=ContinuousStatsTable[[#This Row],[GroupByKey]])*ContinuousStatsTable[Average]))</f>
        <v>14.4112589759764</v>
      </c>
      <c r="T609" cm="1">
        <f t="array" ref="T609">MAX(IF((ContinuousStatsTable[GroupByKey]=ContinuousStatsTable[[#This Row],[GroupByKey]]),(ContinuousStatsTable[GroupByKey]=ContinuousStatsTable[[#This Row],[GroupByKey]])*ContinuousStatsTable[Average]))</f>
        <v>16.972707717517899</v>
      </c>
      <c r="U609">
        <f>IF((ContinuousStatsTable[[#This Row],[RepsRequested]]&gt;1),ContinuousStatsTable[[#This Row],[HalfWidth]],ContinuousStatsTable[[#This Row],[BatchMeansHalfWidth]])</f>
        <v>0.25870181881670146</v>
      </c>
    </row>
    <row r="610" spans="1:21" x14ac:dyDescent="0.2">
      <c r="A610" t="s">
        <v>67</v>
      </c>
      <c r="B610" t="s">
        <v>70</v>
      </c>
      <c r="C610">
        <v>26</v>
      </c>
      <c r="D610" t="s">
        <v>82</v>
      </c>
      <c r="E610" t="s">
        <v>98</v>
      </c>
      <c r="F610" t="s">
        <v>73</v>
      </c>
      <c r="G610">
        <v>0.10504003837506</v>
      </c>
      <c r="H610">
        <v>2E+20</v>
      </c>
      <c r="I610">
        <v>0</v>
      </c>
      <c r="J610">
        <v>2</v>
      </c>
      <c r="K610">
        <v>0</v>
      </c>
      <c r="L610">
        <v>0</v>
      </c>
      <c r="M610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610" cm="1">
        <f t="array" ref="N610">MAX(IF((ProjectInfoTable[ProjectName]=ContinuousStatsTable[[#This Row],[ProjectName]]),(ProjectInfoTable[ProjectName]=ContinuousStatsTable[[#This Row],[ProjectName]])*ProjectInfoTable[NumberOfReplications]))</f>
        <v>30</v>
      </c>
      <c r="O610" cm="1">
        <f t="array" ref="O610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610" cm="1">
        <f t="array" ref="P610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610" cm="1">
        <f t="array" ref="Q610">MAX(IF((ProjectInfoTable[ProjectName]=ContinuousStatsTable[[#This Row],[ProjectName]]),(ProjectInfoTable[ProjectName]=ContinuousStatsTable[[#This Row],[ProjectName]])*ProjectInfoTable[ConfidenceInterval]))</f>
        <v>0.95</v>
      </c>
      <c r="R6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610" cm="1">
        <f t="array" ref="S610">MIN(IF((ContinuousStatsTable[GroupByKey]=ContinuousStatsTable[[#This Row],[GroupByKey]]),(ContinuousStatsTable[GroupByKey]=ContinuousStatsTable[[#This Row],[GroupByKey]])*ContinuousStatsTable[Average]))</f>
        <v>7.4406608295854798E-2</v>
      </c>
      <c r="T610" cm="1">
        <f t="array" ref="T610">MAX(IF((ContinuousStatsTable[GroupByKey]=ContinuousStatsTable[[#This Row],[GroupByKey]]),(ContinuousStatsTable[GroupByKey]=ContinuousStatsTable[[#This Row],[GroupByKey]])*ContinuousStatsTable[Average]))</f>
        <v>0.29874320707386398</v>
      </c>
      <c r="U610">
        <f>IF((ContinuousStatsTable[[#This Row],[RepsRequested]]&gt;1),ContinuousStatsTable[[#This Row],[HalfWidth]],ContinuousStatsTable[[#This Row],[BatchMeansHalfWidth]])</f>
        <v>2.0058204231149332E-2</v>
      </c>
    </row>
    <row r="611" spans="1:21" x14ac:dyDescent="0.2">
      <c r="A611" t="s">
        <v>67</v>
      </c>
      <c r="B611" t="s">
        <v>70</v>
      </c>
      <c r="C611">
        <v>26</v>
      </c>
      <c r="D611" t="s">
        <v>101</v>
      </c>
      <c r="E611" t="s">
        <v>94</v>
      </c>
      <c r="F611" t="s">
        <v>95</v>
      </c>
      <c r="G611">
        <v>1.8857889340883E-3</v>
      </c>
      <c r="H611">
        <v>1.89612009826013E-4</v>
      </c>
      <c r="I611">
        <v>0</v>
      </c>
      <c r="J611">
        <v>3.7499999999999999E-2</v>
      </c>
      <c r="K611">
        <v>1.2500000000000001E-2</v>
      </c>
      <c r="L611">
        <v>0</v>
      </c>
      <c r="M611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611" cm="1">
        <f t="array" ref="N611">MAX(IF((ProjectInfoTable[ProjectName]=ContinuousStatsTable[[#This Row],[ProjectName]]),(ProjectInfoTable[ProjectName]=ContinuousStatsTable[[#This Row],[ProjectName]])*ProjectInfoTable[NumberOfReplications]))</f>
        <v>30</v>
      </c>
      <c r="O611" cm="1">
        <f t="array" ref="O611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611" cm="1">
        <f t="array" ref="P611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611" cm="1">
        <f t="array" ref="Q611">MAX(IF((ProjectInfoTable[ProjectName]=ContinuousStatsTable[[#This Row],[ProjectName]]),(ProjectInfoTable[ProjectName]=ContinuousStatsTable[[#This Row],[ProjectName]])*ProjectInfoTable[ConfidenceInterval]))</f>
        <v>0.95</v>
      </c>
      <c r="R6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611" cm="1">
        <f t="array" ref="S611">MIN(IF((ContinuousStatsTable[GroupByKey]=ContinuousStatsTable[[#This Row],[GroupByKey]]),(ContinuousStatsTable[GroupByKey]=ContinuousStatsTable[[#This Row],[GroupByKey]])*ContinuousStatsTable[Average]))</f>
        <v>1.70504385964912E-3</v>
      </c>
      <c r="T611" cm="1">
        <f t="array" ref="T611">MAX(IF((ContinuousStatsTable[GroupByKey]=ContinuousStatsTable[[#This Row],[GroupByKey]]),(ContinuousStatsTable[GroupByKey]=ContinuousStatsTable[[#This Row],[GroupByKey]])*ContinuousStatsTable[Average]))</f>
        <v>2.17031677925951E-3</v>
      </c>
      <c r="U611">
        <f>IF((ContinuousStatsTable[[#This Row],[RepsRequested]]&gt;1),ContinuousStatsTable[[#This Row],[HalfWidth]],ContinuousStatsTable[[#This Row],[BatchMeansHalfWidth]])</f>
        <v>4.4865881583116605E-5</v>
      </c>
    </row>
    <row r="612" spans="1:21" x14ac:dyDescent="0.2">
      <c r="A612" t="s">
        <v>67</v>
      </c>
      <c r="B612" t="s">
        <v>70</v>
      </c>
      <c r="C612">
        <v>26</v>
      </c>
      <c r="D612" t="s">
        <v>101</v>
      </c>
      <c r="E612" t="s">
        <v>96</v>
      </c>
      <c r="F612" t="s">
        <v>95</v>
      </c>
      <c r="G612">
        <v>0.15086311472706401</v>
      </c>
      <c r="H612">
        <v>1.51689607860811E-2</v>
      </c>
      <c r="I612">
        <v>0</v>
      </c>
      <c r="J612">
        <v>3</v>
      </c>
      <c r="K612">
        <v>1</v>
      </c>
      <c r="L612">
        <v>0</v>
      </c>
      <c r="M612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612" cm="1">
        <f t="array" ref="N612">MAX(IF((ProjectInfoTable[ProjectName]=ContinuousStatsTable[[#This Row],[ProjectName]]),(ProjectInfoTable[ProjectName]=ContinuousStatsTable[[#This Row],[ProjectName]])*ProjectInfoTable[NumberOfReplications]))</f>
        <v>30</v>
      </c>
      <c r="O612" cm="1">
        <f t="array" ref="O612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612" cm="1">
        <f t="array" ref="P612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612" cm="1">
        <f t="array" ref="Q612">MAX(IF((ProjectInfoTable[ProjectName]=ContinuousStatsTable[[#This Row],[ProjectName]]),(ProjectInfoTable[ProjectName]=ContinuousStatsTable[[#This Row],[ProjectName]])*ProjectInfoTable[ConfidenceInterval]))</f>
        <v>0.95</v>
      </c>
      <c r="R6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612" cm="1">
        <f t="array" ref="S612">MIN(IF((ContinuousStatsTable[GroupByKey]=ContinuousStatsTable[[#This Row],[GroupByKey]]),(ContinuousStatsTable[GroupByKey]=ContinuousStatsTable[[#This Row],[GroupByKey]])*ContinuousStatsTable[Average]))</f>
        <v>0.13640350877193</v>
      </c>
      <c r="T612" cm="1">
        <f t="array" ref="T612">MAX(IF((ContinuousStatsTable[GroupByKey]=ContinuousStatsTable[[#This Row],[GroupByKey]]),(ContinuousStatsTable[GroupByKey]=ContinuousStatsTable[[#This Row],[GroupByKey]])*ContinuousStatsTable[Average]))</f>
        <v>0.17362534234076099</v>
      </c>
      <c r="U612">
        <f>IF((ContinuousStatsTable[[#This Row],[RepsRequested]]&gt;1),ContinuousStatsTable[[#This Row],[HalfWidth]],ContinuousStatsTable[[#This Row],[BatchMeansHalfWidth]])</f>
        <v>3.5892705266493139E-3</v>
      </c>
    </row>
    <row r="613" spans="1:21" x14ac:dyDescent="0.2">
      <c r="A613" t="s">
        <v>67</v>
      </c>
      <c r="B613" t="s">
        <v>70</v>
      </c>
      <c r="C613">
        <v>26</v>
      </c>
      <c r="D613" t="s">
        <v>101</v>
      </c>
      <c r="E613" t="s">
        <v>97</v>
      </c>
      <c r="F613" t="s">
        <v>95</v>
      </c>
      <c r="G613">
        <v>80</v>
      </c>
      <c r="H613">
        <v>2E+20</v>
      </c>
      <c r="I613">
        <v>80</v>
      </c>
      <c r="J613">
        <v>80</v>
      </c>
      <c r="K613">
        <v>80</v>
      </c>
      <c r="L613">
        <v>0</v>
      </c>
      <c r="M613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613" cm="1">
        <f t="array" ref="N613">MAX(IF((ProjectInfoTable[ProjectName]=ContinuousStatsTable[[#This Row],[ProjectName]]),(ProjectInfoTable[ProjectName]=ContinuousStatsTable[[#This Row],[ProjectName]])*ProjectInfoTable[NumberOfReplications]))</f>
        <v>30</v>
      </c>
      <c r="O613" cm="1">
        <f t="array" ref="O613">IFERROR(AVERAGE(IF((ContinuousStatsTable[GroupByKey]=ContinuousStatsTable[[#This Row],[GroupByKey]]),(ContinuousStatsTable[GroupByKey]=ContinuousStatsTable[[#This Row],[GroupByKey]])*ContinuousStatsTable[Average])),0)</f>
        <v>80</v>
      </c>
      <c r="P613" cm="1">
        <f t="array" ref="P613">IFERROR(_xlfn.STDEV.S(IF((ContinuousStatsTable[GroupByKey]=ContinuousStatsTable[[#This Row],[GroupByKey]]),(ContinuousStatsTable[GroupByKey]=ContinuousStatsTable[[#This Row],[GroupByKey]])*ContinuousStatsTable[Average])),0)</f>
        <v>0</v>
      </c>
      <c r="Q613" cm="1">
        <f t="array" ref="Q613">MAX(IF((ProjectInfoTable[ProjectName]=ContinuousStatsTable[[#This Row],[ProjectName]]),(ProjectInfoTable[ProjectName]=ContinuousStatsTable[[#This Row],[ProjectName]])*ProjectInfoTable[ConfidenceInterval]))</f>
        <v>0.95</v>
      </c>
      <c r="R6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3" cm="1">
        <f t="array" ref="S613">MIN(IF((ContinuousStatsTable[GroupByKey]=ContinuousStatsTable[[#This Row],[GroupByKey]]),(ContinuousStatsTable[GroupByKey]=ContinuousStatsTable[[#This Row],[GroupByKey]])*ContinuousStatsTable[Average]))</f>
        <v>80</v>
      </c>
      <c r="T613" cm="1">
        <f t="array" ref="T613">MAX(IF((ContinuousStatsTable[GroupByKey]=ContinuousStatsTable[[#This Row],[GroupByKey]]),(ContinuousStatsTable[GroupByKey]=ContinuousStatsTable[[#This Row],[GroupByKey]])*ContinuousStatsTable[Average]))</f>
        <v>80</v>
      </c>
      <c r="U613">
        <f>IF((ContinuousStatsTable[[#This Row],[RepsRequested]]&gt;1),ContinuousStatsTable[[#This Row],[HalfWidth]],ContinuousStatsTable[[#This Row],[BatchMeansHalfWidth]])</f>
        <v>0</v>
      </c>
    </row>
    <row r="614" spans="1:21" x14ac:dyDescent="0.2">
      <c r="A614" t="s">
        <v>67</v>
      </c>
      <c r="B614" t="s">
        <v>70</v>
      </c>
      <c r="C614">
        <v>26</v>
      </c>
      <c r="D614" t="s">
        <v>86</v>
      </c>
      <c r="E614" t="s">
        <v>98</v>
      </c>
      <c r="F614" t="s">
        <v>73</v>
      </c>
      <c r="G614">
        <v>0</v>
      </c>
      <c r="H614">
        <v>2E+20</v>
      </c>
      <c r="I614">
        <v>0</v>
      </c>
      <c r="J614">
        <v>0</v>
      </c>
      <c r="K614">
        <v>0</v>
      </c>
      <c r="L614">
        <v>0</v>
      </c>
      <c r="M614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614" cm="1">
        <f t="array" ref="N614">MAX(IF((ProjectInfoTable[ProjectName]=ContinuousStatsTable[[#This Row],[ProjectName]]),(ProjectInfoTable[ProjectName]=ContinuousStatsTable[[#This Row],[ProjectName]])*ProjectInfoTable[NumberOfReplications]))</f>
        <v>30</v>
      </c>
      <c r="O614" cm="1">
        <f t="array" ref="O614">IFERROR(AVERAGE(IF((ContinuousStatsTable[GroupByKey]=ContinuousStatsTable[[#This Row],[GroupByKey]]),(ContinuousStatsTable[GroupByKey]=ContinuousStatsTable[[#This Row],[GroupByKey]])*ContinuousStatsTable[Average])),0)</f>
        <v>0</v>
      </c>
      <c r="P614" cm="1">
        <f t="array" ref="P614">IFERROR(_xlfn.STDEV.S(IF((ContinuousStatsTable[GroupByKey]=ContinuousStatsTable[[#This Row],[GroupByKey]]),(ContinuousStatsTable[GroupByKey]=ContinuousStatsTable[[#This Row],[GroupByKey]])*ContinuousStatsTable[Average])),0)</f>
        <v>0</v>
      </c>
      <c r="Q614" cm="1">
        <f t="array" ref="Q614">MAX(IF((ProjectInfoTable[ProjectName]=ContinuousStatsTable[[#This Row],[ProjectName]]),(ProjectInfoTable[ProjectName]=ContinuousStatsTable[[#This Row],[ProjectName]])*ProjectInfoTable[ConfidenceInterval]))</f>
        <v>0.95</v>
      </c>
      <c r="R6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4" cm="1">
        <f t="array" ref="S614">MIN(IF((ContinuousStatsTable[GroupByKey]=ContinuousStatsTable[[#This Row],[GroupByKey]]),(ContinuousStatsTable[GroupByKey]=ContinuousStatsTable[[#This Row],[GroupByKey]])*ContinuousStatsTable[Average]))</f>
        <v>0</v>
      </c>
      <c r="T614" cm="1">
        <f t="array" ref="T614">MAX(IF((ContinuousStatsTable[GroupByKey]=ContinuousStatsTable[[#This Row],[GroupByKey]]),(ContinuousStatsTable[GroupByKey]=ContinuousStatsTable[[#This Row],[GroupByKey]])*ContinuousStatsTable[Average]))</f>
        <v>0</v>
      </c>
      <c r="U614">
        <f>IF((ContinuousStatsTable[[#This Row],[RepsRequested]]&gt;1),ContinuousStatsTable[[#This Row],[HalfWidth]],ContinuousStatsTable[[#This Row],[BatchMeansHalfWidth]])</f>
        <v>0</v>
      </c>
    </row>
    <row r="615" spans="1:21" x14ac:dyDescent="0.2">
      <c r="A615" t="s">
        <v>67</v>
      </c>
      <c r="B615" t="s">
        <v>70</v>
      </c>
      <c r="C615">
        <v>26</v>
      </c>
      <c r="D615" t="s">
        <v>87</v>
      </c>
      <c r="E615" t="s">
        <v>98</v>
      </c>
      <c r="F615" t="s">
        <v>73</v>
      </c>
      <c r="G615">
        <v>0</v>
      </c>
      <c r="H615">
        <v>2E+20</v>
      </c>
      <c r="I615">
        <v>0</v>
      </c>
      <c r="J615">
        <v>0</v>
      </c>
      <c r="K615">
        <v>0</v>
      </c>
      <c r="L615">
        <v>0</v>
      </c>
      <c r="M615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615" cm="1">
        <f t="array" ref="N615">MAX(IF((ProjectInfoTable[ProjectName]=ContinuousStatsTable[[#This Row],[ProjectName]]),(ProjectInfoTable[ProjectName]=ContinuousStatsTable[[#This Row],[ProjectName]])*ProjectInfoTable[NumberOfReplications]))</f>
        <v>30</v>
      </c>
      <c r="O615" cm="1">
        <f t="array" ref="O615">IFERROR(AVERAGE(IF((ContinuousStatsTable[GroupByKey]=ContinuousStatsTable[[#This Row],[GroupByKey]]),(ContinuousStatsTable[GroupByKey]=ContinuousStatsTable[[#This Row],[GroupByKey]])*ContinuousStatsTable[Average])),0)</f>
        <v>0</v>
      </c>
      <c r="P615" cm="1">
        <f t="array" ref="P615">IFERROR(_xlfn.STDEV.S(IF((ContinuousStatsTable[GroupByKey]=ContinuousStatsTable[[#This Row],[GroupByKey]]),(ContinuousStatsTable[GroupByKey]=ContinuousStatsTable[[#This Row],[GroupByKey]])*ContinuousStatsTable[Average])),0)</f>
        <v>0</v>
      </c>
      <c r="Q615" cm="1">
        <f t="array" ref="Q615">MAX(IF((ProjectInfoTable[ProjectName]=ContinuousStatsTable[[#This Row],[ProjectName]]),(ProjectInfoTable[ProjectName]=ContinuousStatsTable[[#This Row],[ProjectName]])*ProjectInfoTable[ConfidenceInterval]))</f>
        <v>0.95</v>
      </c>
      <c r="R6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5" cm="1">
        <f t="array" ref="S615">MIN(IF((ContinuousStatsTable[GroupByKey]=ContinuousStatsTable[[#This Row],[GroupByKey]]),(ContinuousStatsTable[GroupByKey]=ContinuousStatsTable[[#This Row],[GroupByKey]])*ContinuousStatsTable[Average]))</f>
        <v>0</v>
      </c>
      <c r="T615" cm="1">
        <f t="array" ref="T615">MAX(IF((ContinuousStatsTable[GroupByKey]=ContinuousStatsTable[[#This Row],[GroupByKey]]),(ContinuousStatsTable[GroupByKey]=ContinuousStatsTable[[#This Row],[GroupByKey]])*ContinuousStatsTable[Average]))</f>
        <v>0</v>
      </c>
      <c r="U615">
        <f>IF((ContinuousStatsTable[[#This Row],[RepsRequested]]&gt;1),ContinuousStatsTable[[#This Row],[HalfWidth]],ContinuousStatsTable[[#This Row],[BatchMeansHalfWidth]])</f>
        <v>0</v>
      </c>
    </row>
    <row r="616" spans="1:21" x14ac:dyDescent="0.2">
      <c r="A616" t="s">
        <v>67</v>
      </c>
      <c r="B616" t="s">
        <v>70</v>
      </c>
      <c r="C616">
        <v>26</v>
      </c>
      <c r="D616" t="s">
        <v>88</v>
      </c>
      <c r="E616" t="s">
        <v>98</v>
      </c>
      <c r="F616" t="s">
        <v>73</v>
      </c>
      <c r="G616">
        <v>1.5089436009349499</v>
      </c>
      <c r="H616">
        <v>9.1869067621657099E-2</v>
      </c>
      <c r="I616">
        <v>0</v>
      </c>
      <c r="J616">
        <v>4</v>
      </c>
      <c r="K616">
        <v>0</v>
      </c>
      <c r="L616">
        <v>0</v>
      </c>
      <c r="M616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616" cm="1">
        <f t="array" ref="N616">MAX(IF((ProjectInfoTable[ProjectName]=ContinuousStatsTable[[#This Row],[ProjectName]]),(ProjectInfoTable[ProjectName]=ContinuousStatsTable[[#This Row],[ProjectName]])*ProjectInfoTable[NumberOfReplications]))</f>
        <v>30</v>
      </c>
      <c r="O616" cm="1">
        <f t="array" ref="O616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616" cm="1">
        <f t="array" ref="P616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616" cm="1">
        <f t="array" ref="Q616">MAX(IF((ProjectInfoTable[ProjectName]=ContinuousStatsTable[[#This Row],[ProjectName]]),(ProjectInfoTable[ProjectName]=ContinuousStatsTable[[#This Row],[ProjectName]])*ProjectInfoTable[ConfidenceInterval]))</f>
        <v>0.95</v>
      </c>
      <c r="R6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616" cm="1">
        <f t="array" ref="S616">MIN(IF((ContinuousStatsTable[GroupByKey]=ContinuousStatsTable[[#This Row],[GroupByKey]]),(ContinuousStatsTable[GroupByKey]=ContinuousStatsTable[[#This Row],[GroupByKey]])*ContinuousStatsTable[Average]))</f>
        <v>1.4062336911317099</v>
      </c>
      <c r="T616" cm="1">
        <f t="array" ref="T616">MAX(IF((ContinuousStatsTable[GroupByKey]=ContinuousStatsTable[[#This Row],[GroupByKey]]),(ContinuousStatsTable[GroupByKey]=ContinuousStatsTable[[#This Row],[GroupByKey]])*ContinuousStatsTable[Average]))</f>
        <v>1.5889769030929</v>
      </c>
      <c r="U616">
        <f>IF((ContinuousStatsTable[[#This Row],[RepsRequested]]&gt;1),ContinuousStatsTable[[#This Row],[HalfWidth]],ContinuousStatsTable[[#This Row],[BatchMeansHalfWidth]])</f>
        <v>1.602866983772662E-2</v>
      </c>
    </row>
    <row r="617" spans="1:21" x14ac:dyDescent="0.2">
      <c r="A617" t="s">
        <v>67</v>
      </c>
      <c r="B617" t="s">
        <v>70</v>
      </c>
      <c r="C617">
        <v>26</v>
      </c>
      <c r="D617" t="s">
        <v>102</v>
      </c>
      <c r="E617" t="s">
        <v>94</v>
      </c>
      <c r="F617" t="s">
        <v>95</v>
      </c>
      <c r="G617">
        <v>4.4956140350877203E-3</v>
      </c>
      <c r="H617">
        <v>5.5198167680819705E-4</v>
      </c>
      <c r="I617">
        <v>0</v>
      </c>
      <c r="J617">
        <v>0.15</v>
      </c>
      <c r="K617">
        <v>0</v>
      </c>
      <c r="L617">
        <v>0</v>
      </c>
      <c r="M617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617" cm="1">
        <f t="array" ref="N617">MAX(IF((ProjectInfoTable[ProjectName]=ContinuousStatsTable[[#This Row],[ProjectName]]),(ProjectInfoTable[ProjectName]=ContinuousStatsTable[[#This Row],[ProjectName]])*ProjectInfoTable[NumberOfReplications]))</f>
        <v>30</v>
      </c>
      <c r="O617" cm="1">
        <f t="array" ref="O617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617" cm="1">
        <f t="array" ref="P617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617" cm="1">
        <f t="array" ref="Q617">MAX(IF((ProjectInfoTable[ProjectName]=ContinuousStatsTable[[#This Row],[ProjectName]]),(ProjectInfoTable[ProjectName]=ContinuousStatsTable[[#This Row],[ProjectName]])*ProjectInfoTable[ConfidenceInterval]))</f>
        <v>0.95</v>
      </c>
      <c r="R6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617" cm="1">
        <f t="array" ref="S617">MIN(IF((ContinuousStatsTable[GroupByKey]=ContinuousStatsTable[[#This Row],[GroupByKey]]),(ContinuousStatsTable[GroupByKey]=ContinuousStatsTable[[#This Row],[GroupByKey]])*ContinuousStatsTable[Average]))</f>
        <v>4.4956140350877203E-3</v>
      </c>
      <c r="T617" cm="1">
        <f t="array" ref="T617">MAX(IF((ContinuousStatsTable[GroupByKey]=ContinuousStatsTable[[#This Row],[GroupByKey]]),(ContinuousStatsTable[GroupByKey]=ContinuousStatsTable[[#This Row],[GroupByKey]])*ContinuousStatsTable[Average]))</f>
        <v>5.5482456140350904E-3</v>
      </c>
      <c r="U617">
        <f>IF((ContinuousStatsTable[[#This Row],[RepsRequested]]&gt;1),ContinuousStatsTable[[#This Row],[HalfWidth]],ContinuousStatsTable[[#This Row],[BatchMeansHalfWidth]])</f>
        <v>1.0144486472958472E-4</v>
      </c>
    </row>
    <row r="618" spans="1:21" x14ac:dyDescent="0.2">
      <c r="A618" t="s">
        <v>67</v>
      </c>
      <c r="B618" t="s">
        <v>70</v>
      </c>
      <c r="C618">
        <v>26</v>
      </c>
      <c r="D618" t="s">
        <v>102</v>
      </c>
      <c r="E618" t="s">
        <v>96</v>
      </c>
      <c r="F618" t="s">
        <v>95</v>
      </c>
      <c r="G618">
        <v>8.9912280701754305E-2</v>
      </c>
      <c r="H618">
        <v>1.10396335361639E-2</v>
      </c>
      <c r="I618">
        <v>0</v>
      </c>
      <c r="J618">
        <v>3</v>
      </c>
      <c r="K618">
        <v>0</v>
      </c>
      <c r="L618">
        <v>0</v>
      </c>
      <c r="M618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618" cm="1">
        <f t="array" ref="N618">MAX(IF((ProjectInfoTable[ProjectName]=ContinuousStatsTable[[#This Row],[ProjectName]]),(ProjectInfoTable[ProjectName]=ContinuousStatsTable[[#This Row],[ProjectName]])*ProjectInfoTable[NumberOfReplications]))</f>
        <v>30</v>
      </c>
      <c r="O618" cm="1">
        <f t="array" ref="O618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618" cm="1">
        <f t="array" ref="P618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618" cm="1">
        <f t="array" ref="Q618">MAX(IF((ProjectInfoTable[ProjectName]=ContinuousStatsTable[[#This Row],[ProjectName]]),(ProjectInfoTable[ProjectName]=ContinuousStatsTable[[#This Row],[ProjectName]])*ProjectInfoTable[ConfidenceInterval]))</f>
        <v>0.95</v>
      </c>
      <c r="R6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618" cm="1">
        <f t="array" ref="S618">MIN(IF((ContinuousStatsTable[GroupByKey]=ContinuousStatsTable[[#This Row],[GroupByKey]]),(ContinuousStatsTable[GroupByKey]=ContinuousStatsTable[[#This Row],[GroupByKey]])*ContinuousStatsTable[Average]))</f>
        <v>8.9912280701754305E-2</v>
      </c>
      <c r="T618" cm="1">
        <f t="array" ref="T618">MAX(IF((ContinuousStatsTable[GroupByKey]=ContinuousStatsTable[[#This Row],[GroupByKey]]),(ContinuousStatsTable[GroupByKey]=ContinuousStatsTable[[#This Row],[GroupByKey]])*ContinuousStatsTable[Average]))</f>
        <v>0.110964912280702</v>
      </c>
      <c r="U618">
        <f>IF((ContinuousStatsTable[[#This Row],[RepsRequested]]&gt;1),ContinuousStatsTable[[#This Row],[HalfWidth]],ContinuousStatsTable[[#This Row],[BatchMeansHalfWidth]])</f>
        <v>2.0288972945916956E-3</v>
      </c>
    </row>
    <row r="619" spans="1:21" x14ac:dyDescent="0.2">
      <c r="A619" t="s">
        <v>67</v>
      </c>
      <c r="B619" t="s">
        <v>70</v>
      </c>
      <c r="C619">
        <v>26</v>
      </c>
      <c r="D619" t="s">
        <v>102</v>
      </c>
      <c r="E619" t="s">
        <v>97</v>
      </c>
      <c r="F619" t="s">
        <v>95</v>
      </c>
      <c r="G619">
        <v>20</v>
      </c>
      <c r="H619">
        <v>2E+20</v>
      </c>
      <c r="I619">
        <v>20</v>
      </c>
      <c r="J619">
        <v>20</v>
      </c>
      <c r="K619">
        <v>20</v>
      </c>
      <c r="L619">
        <v>0</v>
      </c>
      <c r="M619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619" cm="1">
        <f t="array" ref="N619">MAX(IF((ProjectInfoTable[ProjectName]=ContinuousStatsTable[[#This Row],[ProjectName]]),(ProjectInfoTable[ProjectName]=ContinuousStatsTable[[#This Row],[ProjectName]])*ProjectInfoTable[NumberOfReplications]))</f>
        <v>30</v>
      </c>
      <c r="O619" cm="1">
        <f t="array" ref="O619">IFERROR(AVERAGE(IF((ContinuousStatsTable[GroupByKey]=ContinuousStatsTable[[#This Row],[GroupByKey]]),(ContinuousStatsTable[GroupByKey]=ContinuousStatsTable[[#This Row],[GroupByKey]])*ContinuousStatsTable[Average])),0)</f>
        <v>20</v>
      </c>
      <c r="P619" cm="1">
        <f t="array" ref="P619">IFERROR(_xlfn.STDEV.S(IF((ContinuousStatsTable[GroupByKey]=ContinuousStatsTable[[#This Row],[GroupByKey]]),(ContinuousStatsTable[GroupByKey]=ContinuousStatsTable[[#This Row],[GroupByKey]])*ContinuousStatsTable[Average])),0)</f>
        <v>0</v>
      </c>
      <c r="Q619" cm="1">
        <f t="array" ref="Q619">MAX(IF((ProjectInfoTable[ProjectName]=ContinuousStatsTable[[#This Row],[ProjectName]]),(ProjectInfoTable[ProjectName]=ContinuousStatsTable[[#This Row],[ProjectName]])*ProjectInfoTable[ConfidenceInterval]))</f>
        <v>0.95</v>
      </c>
      <c r="R6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9" cm="1">
        <f t="array" ref="S619">MIN(IF((ContinuousStatsTable[GroupByKey]=ContinuousStatsTable[[#This Row],[GroupByKey]]),(ContinuousStatsTable[GroupByKey]=ContinuousStatsTable[[#This Row],[GroupByKey]])*ContinuousStatsTable[Average]))</f>
        <v>20</v>
      </c>
      <c r="T619" cm="1">
        <f t="array" ref="T619">MAX(IF((ContinuousStatsTable[GroupByKey]=ContinuousStatsTable[[#This Row],[GroupByKey]]),(ContinuousStatsTable[GroupByKey]=ContinuousStatsTable[[#This Row],[GroupByKey]])*ContinuousStatsTable[Average]))</f>
        <v>20</v>
      </c>
      <c r="U619">
        <f>IF((ContinuousStatsTable[[#This Row],[RepsRequested]]&gt;1),ContinuousStatsTable[[#This Row],[HalfWidth]],ContinuousStatsTable[[#This Row],[BatchMeansHalfWidth]])</f>
        <v>0</v>
      </c>
    </row>
    <row r="620" spans="1:21" x14ac:dyDescent="0.2">
      <c r="A620" t="s">
        <v>67</v>
      </c>
      <c r="B620" t="s">
        <v>70</v>
      </c>
      <c r="C620">
        <v>26</v>
      </c>
      <c r="D620" t="s">
        <v>90</v>
      </c>
      <c r="E620" t="s">
        <v>98</v>
      </c>
      <c r="F620" t="s">
        <v>73</v>
      </c>
      <c r="G620">
        <v>0</v>
      </c>
      <c r="H620">
        <v>2E+20</v>
      </c>
      <c r="I620">
        <v>0</v>
      </c>
      <c r="J620">
        <v>0</v>
      </c>
      <c r="K620">
        <v>0</v>
      </c>
      <c r="L620">
        <v>0</v>
      </c>
      <c r="M620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620" cm="1">
        <f t="array" ref="N620">MAX(IF((ProjectInfoTable[ProjectName]=ContinuousStatsTable[[#This Row],[ProjectName]]),(ProjectInfoTable[ProjectName]=ContinuousStatsTable[[#This Row],[ProjectName]])*ProjectInfoTable[NumberOfReplications]))</f>
        <v>30</v>
      </c>
      <c r="O620" cm="1">
        <f t="array" ref="O620">IFERROR(AVERAGE(IF((ContinuousStatsTable[GroupByKey]=ContinuousStatsTable[[#This Row],[GroupByKey]]),(ContinuousStatsTable[GroupByKey]=ContinuousStatsTable[[#This Row],[GroupByKey]])*ContinuousStatsTable[Average])),0)</f>
        <v>0</v>
      </c>
      <c r="P620" cm="1">
        <f t="array" ref="P620">IFERROR(_xlfn.STDEV.S(IF((ContinuousStatsTable[GroupByKey]=ContinuousStatsTable[[#This Row],[GroupByKey]]),(ContinuousStatsTable[GroupByKey]=ContinuousStatsTable[[#This Row],[GroupByKey]])*ContinuousStatsTable[Average])),0)</f>
        <v>0</v>
      </c>
      <c r="Q620" cm="1">
        <f t="array" ref="Q620">MAX(IF((ProjectInfoTable[ProjectName]=ContinuousStatsTable[[#This Row],[ProjectName]]),(ProjectInfoTable[ProjectName]=ContinuousStatsTable[[#This Row],[ProjectName]])*ProjectInfoTable[ConfidenceInterval]))</f>
        <v>0.95</v>
      </c>
      <c r="R6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0" cm="1">
        <f t="array" ref="S620">MIN(IF((ContinuousStatsTable[GroupByKey]=ContinuousStatsTable[[#This Row],[GroupByKey]]),(ContinuousStatsTable[GroupByKey]=ContinuousStatsTable[[#This Row],[GroupByKey]])*ContinuousStatsTable[Average]))</f>
        <v>0</v>
      </c>
      <c r="T620" cm="1">
        <f t="array" ref="T620">MAX(IF((ContinuousStatsTable[GroupByKey]=ContinuousStatsTable[[#This Row],[GroupByKey]]),(ContinuousStatsTable[GroupByKey]=ContinuousStatsTable[[#This Row],[GroupByKey]])*ContinuousStatsTable[Average]))</f>
        <v>0</v>
      </c>
      <c r="U620">
        <f>IF((ContinuousStatsTable[[#This Row],[RepsRequested]]&gt;1),ContinuousStatsTable[[#This Row],[HalfWidth]],ContinuousStatsTable[[#This Row],[BatchMeansHalfWidth]])</f>
        <v>0</v>
      </c>
    </row>
    <row r="621" spans="1:21" x14ac:dyDescent="0.2">
      <c r="A621" t="s">
        <v>67</v>
      </c>
      <c r="B621" t="s">
        <v>70</v>
      </c>
      <c r="C621">
        <v>26</v>
      </c>
      <c r="D621" t="s">
        <v>91</v>
      </c>
      <c r="E621" t="s">
        <v>98</v>
      </c>
      <c r="F621" t="s">
        <v>73</v>
      </c>
      <c r="G621">
        <v>0</v>
      </c>
      <c r="H621">
        <v>2E+20</v>
      </c>
      <c r="I621">
        <v>0</v>
      </c>
      <c r="J621">
        <v>0</v>
      </c>
      <c r="K621">
        <v>0</v>
      </c>
      <c r="L621">
        <v>0</v>
      </c>
      <c r="M621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621" cm="1">
        <f t="array" ref="N621">MAX(IF((ProjectInfoTable[ProjectName]=ContinuousStatsTable[[#This Row],[ProjectName]]),(ProjectInfoTable[ProjectName]=ContinuousStatsTable[[#This Row],[ProjectName]])*ProjectInfoTable[NumberOfReplications]))</f>
        <v>30</v>
      </c>
      <c r="O621" cm="1">
        <f t="array" ref="O621">IFERROR(AVERAGE(IF((ContinuousStatsTable[GroupByKey]=ContinuousStatsTable[[#This Row],[GroupByKey]]),(ContinuousStatsTable[GroupByKey]=ContinuousStatsTable[[#This Row],[GroupByKey]])*ContinuousStatsTable[Average])),0)</f>
        <v>0</v>
      </c>
      <c r="P621" cm="1">
        <f t="array" ref="P621">IFERROR(_xlfn.STDEV.S(IF((ContinuousStatsTable[GroupByKey]=ContinuousStatsTable[[#This Row],[GroupByKey]]),(ContinuousStatsTable[GroupByKey]=ContinuousStatsTable[[#This Row],[GroupByKey]])*ContinuousStatsTable[Average])),0)</f>
        <v>0</v>
      </c>
      <c r="Q621" cm="1">
        <f t="array" ref="Q621">MAX(IF((ProjectInfoTable[ProjectName]=ContinuousStatsTable[[#This Row],[ProjectName]]),(ProjectInfoTable[ProjectName]=ContinuousStatsTable[[#This Row],[ProjectName]])*ProjectInfoTable[ConfidenceInterval]))</f>
        <v>0.95</v>
      </c>
      <c r="R6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1" cm="1">
        <f t="array" ref="S621">MIN(IF((ContinuousStatsTable[GroupByKey]=ContinuousStatsTable[[#This Row],[GroupByKey]]),(ContinuousStatsTable[GroupByKey]=ContinuousStatsTable[[#This Row],[GroupByKey]])*ContinuousStatsTable[Average]))</f>
        <v>0</v>
      </c>
      <c r="T621" cm="1">
        <f t="array" ref="T621">MAX(IF((ContinuousStatsTable[GroupByKey]=ContinuousStatsTable[[#This Row],[GroupByKey]]),(ContinuousStatsTable[GroupByKey]=ContinuousStatsTable[[#This Row],[GroupByKey]])*ContinuousStatsTable[Average]))</f>
        <v>0</v>
      </c>
      <c r="U621">
        <f>IF((ContinuousStatsTable[[#This Row],[RepsRequested]]&gt;1),ContinuousStatsTable[[#This Row],[HalfWidth]],ContinuousStatsTable[[#This Row],[BatchMeansHalfWidth]])</f>
        <v>0</v>
      </c>
    </row>
    <row r="622" spans="1:21" x14ac:dyDescent="0.2">
      <c r="A622" t="s">
        <v>67</v>
      </c>
      <c r="B622" t="s">
        <v>70</v>
      </c>
      <c r="C622">
        <v>26</v>
      </c>
      <c r="D622" t="s">
        <v>92</v>
      </c>
      <c r="E622" t="s">
        <v>98</v>
      </c>
      <c r="F622" t="s">
        <v>73</v>
      </c>
      <c r="G622">
        <v>0</v>
      </c>
      <c r="H622">
        <v>2E+20</v>
      </c>
      <c r="I622">
        <v>0</v>
      </c>
      <c r="J622">
        <v>0</v>
      </c>
      <c r="K622">
        <v>0</v>
      </c>
      <c r="L622">
        <v>0</v>
      </c>
      <c r="M622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622" cm="1">
        <f t="array" ref="N622">MAX(IF((ProjectInfoTable[ProjectName]=ContinuousStatsTable[[#This Row],[ProjectName]]),(ProjectInfoTable[ProjectName]=ContinuousStatsTable[[#This Row],[ProjectName]])*ProjectInfoTable[NumberOfReplications]))</f>
        <v>30</v>
      </c>
      <c r="O622" cm="1">
        <f t="array" ref="O622">IFERROR(AVERAGE(IF((ContinuousStatsTable[GroupByKey]=ContinuousStatsTable[[#This Row],[GroupByKey]]),(ContinuousStatsTable[GroupByKey]=ContinuousStatsTable[[#This Row],[GroupByKey]])*ContinuousStatsTable[Average])),0)</f>
        <v>0</v>
      </c>
      <c r="P622" cm="1">
        <f t="array" ref="P622">IFERROR(_xlfn.STDEV.S(IF((ContinuousStatsTable[GroupByKey]=ContinuousStatsTable[[#This Row],[GroupByKey]]),(ContinuousStatsTable[GroupByKey]=ContinuousStatsTable[[#This Row],[GroupByKey]])*ContinuousStatsTable[Average])),0)</f>
        <v>0</v>
      </c>
      <c r="Q622" cm="1">
        <f t="array" ref="Q622">MAX(IF((ProjectInfoTable[ProjectName]=ContinuousStatsTable[[#This Row],[ProjectName]]),(ProjectInfoTable[ProjectName]=ContinuousStatsTable[[#This Row],[ProjectName]])*ProjectInfoTable[ConfidenceInterval]))</f>
        <v>0.95</v>
      </c>
      <c r="R6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2" cm="1">
        <f t="array" ref="S622">MIN(IF((ContinuousStatsTable[GroupByKey]=ContinuousStatsTable[[#This Row],[GroupByKey]]),(ContinuousStatsTable[GroupByKey]=ContinuousStatsTable[[#This Row],[GroupByKey]])*ContinuousStatsTable[Average]))</f>
        <v>0</v>
      </c>
      <c r="T622" cm="1">
        <f t="array" ref="T622">MAX(IF((ContinuousStatsTable[GroupByKey]=ContinuousStatsTable[[#This Row],[GroupByKey]]),(ContinuousStatsTable[GroupByKey]=ContinuousStatsTable[[#This Row],[GroupByKey]])*ContinuousStatsTable[Average]))</f>
        <v>0</v>
      </c>
      <c r="U622">
        <f>IF((ContinuousStatsTable[[#This Row],[RepsRequested]]&gt;1),ContinuousStatsTable[[#This Row],[HalfWidth]],ContinuousStatsTable[[#This Row],[BatchMeansHalfWidth]])</f>
        <v>0</v>
      </c>
    </row>
    <row r="623" spans="1:21" x14ac:dyDescent="0.2">
      <c r="A623" t="s">
        <v>67</v>
      </c>
      <c r="B623" t="s">
        <v>70</v>
      </c>
      <c r="C623">
        <v>26</v>
      </c>
      <c r="D623" t="s">
        <v>103</v>
      </c>
      <c r="E623" t="s">
        <v>94</v>
      </c>
      <c r="F623" t="s">
        <v>95</v>
      </c>
      <c r="G623">
        <v>8.0732437048469302E-2</v>
      </c>
      <c r="H623">
        <v>2E+20</v>
      </c>
      <c r="I623">
        <v>0</v>
      </c>
      <c r="J623">
        <v>0.66666666666666696</v>
      </c>
      <c r="K623">
        <v>0.33333333333333298</v>
      </c>
      <c r="L623">
        <v>0</v>
      </c>
      <c r="M623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623" cm="1">
        <f t="array" ref="N623">MAX(IF((ProjectInfoTable[ProjectName]=ContinuousStatsTable[[#This Row],[ProjectName]]),(ProjectInfoTable[ProjectName]=ContinuousStatsTable[[#This Row],[ProjectName]])*ProjectInfoTable[NumberOfReplications]))</f>
        <v>30</v>
      </c>
      <c r="O623" cm="1">
        <f t="array" ref="O623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623" cm="1">
        <f t="array" ref="P623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623" cm="1">
        <f t="array" ref="Q623">MAX(IF((ProjectInfoTable[ProjectName]=ContinuousStatsTable[[#This Row],[ProjectName]]),(ProjectInfoTable[ProjectName]=ContinuousStatsTable[[#This Row],[ProjectName]])*ProjectInfoTable[ConfidenceInterval]))</f>
        <v>0.95</v>
      </c>
      <c r="R6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623" cm="1">
        <f t="array" ref="S623">MIN(IF((ContinuousStatsTable[GroupByKey]=ContinuousStatsTable[[#This Row],[GroupByKey]]),(ContinuousStatsTable[GroupByKey]=ContinuousStatsTable[[#This Row],[GroupByKey]])*ContinuousStatsTable[Average]))</f>
        <v>7.7176470357846902E-2</v>
      </c>
      <c r="T623" cm="1">
        <f t="array" ref="T623">MAX(IF((ContinuousStatsTable[GroupByKey]=ContinuousStatsTable[[#This Row],[GroupByKey]]),(ContinuousStatsTable[GroupByKey]=ContinuousStatsTable[[#This Row],[GroupByKey]])*ContinuousStatsTable[Average]))</f>
        <v>9.2534326714405896E-2</v>
      </c>
      <c r="U623">
        <f>IF((ContinuousStatsTable[[#This Row],[RepsRequested]]&gt;1),ContinuousStatsTable[[#This Row],[HalfWidth]],ContinuousStatsTable[[#This Row],[BatchMeansHalfWidth]])</f>
        <v>1.3238327186697659E-3</v>
      </c>
    </row>
    <row r="624" spans="1:21" x14ac:dyDescent="0.2">
      <c r="A624" t="s">
        <v>67</v>
      </c>
      <c r="B624" t="s">
        <v>70</v>
      </c>
      <c r="C624">
        <v>26</v>
      </c>
      <c r="D624" t="s">
        <v>103</v>
      </c>
      <c r="E624" t="s">
        <v>96</v>
      </c>
      <c r="F624" t="s">
        <v>95</v>
      </c>
      <c r="G624">
        <v>0.24219731114540799</v>
      </c>
      <c r="H624">
        <v>2E+20</v>
      </c>
      <c r="I624">
        <v>0</v>
      </c>
      <c r="J624">
        <v>2</v>
      </c>
      <c r="K624">
        <v>1</v>
      </c>
      <c r="L624">
        <v>0</v>
      </c>
      <c r="M624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624" cm="1">
        <f t="array" ref="N624">MAX(IF((ProjectInfoTable[ProjectName]=ContinuousStatsTable[[#This Row],[ProjectName]]),(ProjectInfoTable[ProjectName]=ContinuousStatsTable[[#This Row],[ProjectName]])*ProjectInfoTable[NumberOfReplications]))</f>
        <v>30</v>
      </c>
      <c r="O624" cm="1">
        <f t="array" ref="O624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624" cm="1">
        <f t="array" ref="P624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624" cm="1">
        <f t="array" ref="Q624">MAX(IF((ProjectInfoTable[ProjectName]=ContinuousStatsTable[[#This Row],[ProjectName]]),(ProjectInfoTable[ProjectName]=ContinuousStatsTable[[#This Row],[ProjectName]])*ProjectInfoTable[ConfidenceInterval]))</f>
        <v>0.95</v>
      </c>
      <c r="R6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624" cm="1">
        <f t="array" ref="S624">MIN(IF((ContinuousStatsTable[GroupByKey]=ContinuousStatsTable[[#This Row],[GroupByKey]]),(ContinuousStatsTable[GroupByKey]=ContinuousStatsTable[[#This Row],[GroupByKey]])*ContinuousStatsTable[Average]))</f>
        <v>0.231529411073541</v>
      </c>
      <c r="T624" cm="1">
        <f t="array" ref="T624">MAX(IF((ContinuousStatsTable[GroupByKey]=ContinuousStatsTable[[#This Row],[GroupByKey]]),(ContinuousStatsTable[GroupByKey]=ContinuousStatsTable[[#This Row],[GroupByKey]])*ContinuousStatsTable[Average]))</f>
        <v>0.27760298014321699</v>
      </c>
      <c r="U624">
        <f>IF((ContinuousStatsTable[[#This Row],[RepsRequested]]&gt;1),ContinuousStatsTable[[#This Row],[HalfWidth]],ContinuousStatsTable[[#This Row],[BatchMeansHalfWidth]])</f>
        <v>3.9714981560092996E-3</v>
      </c>
    </row>
    <row r="625" spans="1:21" x14ac:dyDescent="0.2">
      <c r="A625" t="s">
        <v>67</v>
      </c>
      <c r="B625" t="s">
        <v>70</v>
      </c>
      <c r="C625">
        <v>26</v>
      </c>
      <c r="D625" t="s">
        <v>103</v>
      </c>
      <c r="E625" t="s">
        <v>97</v>
      </c>
      <c r="F625" t="s">
        <v>95</v>
      </c>
      <c r="G625">
        <v>3</v>
      </c>
      <c r="H625">
        <v>2E+20</v>
      </c>
      <c r="I625">
        <v>3</v>
      </c>
      <c r="J625">
        <v>3</v>
      </c>
      <c r="K625">
        <v>3</v>
      </c>
      <c r="L625">
        <v>0</v>
      </c>
      <c r="M625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625" cm="1">
        <f t="array" ref="N625">MAX(IF((ProjectInfoTable[ProjectName]=ContinuousStatsTable[[#This Row],[ProjectName]]),(ProjectInfoTable[ProjectName]=ContinuousStatsTable[[#This Row],[ProjectName]])*ProjectInfoTable[NumberOfReplications]))</f>
        <v>30</v>
      </c>
      <c r="O625" cm="1">
        <f t="array" ref="O625">IFERROR(AVERAGE(IF((ContinuousStatsTable[GroupByKey]=ContinuousStatsTable[[#This Row],[GroupByKey]]),(ContinuousStatsTable[GroupByKey]=ContinuousStatsTable[[#This Row],[GroupByKey]])*ContinuousStatsTable[Average])),0)</f>
        <v>3</v>
      </c>
      <c r="P625" cm="1">
        <f t="array" ref="P625">IFERROR(_xlfn.STDEV.S(IF((ContinuousStatsTable[GroupByKey]=ContinuousStatsTable[[#This Row],[GroupByKey]]),(ContinuousStatsTable[GroupByKey]=ContinuousStatsTable[[#This Row],[GroupByKey]])*ContinuousStatsTable[Average])),0)</f>
        <v>0</v>
      </c>
      <c r="Q625" cm="1">
        <f t="array" ref="Q625">MAX(IF((ProjectInfoTable[ProjectName]=ContinuousStatsTable[[#This Row],[ProjectName]]),(ProjectInfoTable[ProjectName]=ContinuousStatsTable[[#This Row],[ProjectName]])*ProjectInfoTable[ConfidenceInterval]))</f>
        <v>0.95</v>
      </c>
      <c r="R6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5" cm="1">
        <f t="array" ref="S625">MIN(IF((ContinuousStatsTable[GroupByKey]=ContinuousStatsTable[[#This Row],[GroupByKey]]),(ContinuousStatsTable[GroupByKey]=ContinuousStatsTable[[#This Row],[GroupByKey]])*ContinuousStatsTable[Average]))</f>
        <v>3</v>
      </c>
      <c r="T625" cm="1">
        <f t="array" ref="T625">MAX(IF((ContinuousStatsTable[GroupByKey]=ContinuousStatsTable[[#This Row],[GroupByKey]]),(ContinuousStatsTable[GroupByKey]=ContinuousStatsTable[[#This Row],[GroupByKey]])*ContinuousStatsTable[Average]))</f>
        <v>3</v>
      </c>
      <c r="U625">
        <f>IF((ContinuousStatsTable[[#This Row],[RepsRequested]]&gt;1),ContinuousStatsTable[[#This Row],[HalfWidth]],ContinuousStatsTable[[#This Row],[BatchMeansHalfWidth]])</f>
        <v>0</v>
      </c>
    </row>
    <row r="626" spans="1:21" x14ac:dyDescent="0.2">
      <c r="A626" t="s">
        <v>67</v>
      </c>
      <c r="B626" t="s">
        <v>70</v>
      </c>
      <c r="C626">
        <v>27</v>
      </c>
      <c r="D626" t="s">
        <v>93</v>
      </c>
      <c r="E626" t="s">
        <v>94</v>
      </c>
      <c r="F626" t="s">
        <v>95</v>
      </c>
      <c r="G626">
        <v>0.23684210526315799</v>
      </c>
      <c r="H626">
        <v>3E+20</v>
      </c>
      <c r="I626">
        <v>0</v>
      </c>
      <c r="J626">
        <v>1</v>
      </c>
      <c r="K626">
        <v>0</v>
      </c>
      <c r="L626">
        <v>0</v>
      </c>
      <c r="M626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626" cm="1">
        <f t="array" ref="N626">MAX(IF((ProjectInfoTable[ProjectName]=ContinuousStatsTable[[#This Row],[ProjectName]]),(ProjectInfoTable[ProjectName]=ContinuousStatsTable[[#This Row],[ProjectName]])*ProjectInfoTable[NumberOfReplications]))</f>
        <v>30</v>
      </c>
      <c r="O626" cm="1">
        <f t="array" ref="O626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626" cm="1">
        <f t="array" ref="P626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626" cm="1">
        <f t="array" ref="Q626">MAX(IF((ProjectInfoTable[ProjectName]=ContinuousStatsTable[[#This Row],[ProjectName]]),(ProjectInfoTable[ProjectName]=ContinuousStatsTable[[#This Row],[ProjectName]])*ProjectInfoTable[ConfidenceInterval]))</f>
        <v>0.95</v>
      </c>
      <c r="R6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626" cm="1">
        <f t="array" ref="S626">MIN(IF((ContinuousStatsTable[GroupByKey]=ContinuousStatsTable[[#This Row],[GroupByKey]]),(ContinuousStatsTable[GroupByKey]=ContinuousStatsTable[[#This Row],[GroupByKey]])*ContinuousStatsTable[Average]))</f>
        <v>0.233333333333333</v>
      </c>
      <c r="T626" cm="1">
        <f t="array" ref="T626">MAX(IF((ContinuousStatsTable[GroupByKey]=ContinuousStatsTable[[#This Row],[GroupByKey]]),(ContinuousStatsTable[GroupByKey]=ContinuousStatsTable[[#This Row],[GroupByKey]])*ContinuousStatsTable[Average]))</f>
        <v>0.27905535859326402</v>
      </c>
      <c r="U626">
        <f>IF((ContinuousStatsTable[[#This Row],[RepsRequested]]&gt;1),ContinuousStatsTable[[#This Row],[HalfWidth]],ContinuousStatsTable[[#This Row],[BatchMeansHalfWidth]])</f>
        <v>4.2029769261323026E-3</v>
      </c>
    </row>
    <row r="627" spans="1:21" x14ac:dyDescent="0.2">
      <c r="A627" t="s">
        <v>67</v>
      </c>
      <c r="B627" t="s">
        <v>70</v>
      </c>
      <c r="C627">
        <v>27</v>
      </c>
      <c r="D627" t="s">
        <v>93</v>
      </c>
      <c r="E627" t="s">
        <v>96</v>
      </c>
      <c r="F627" t="s">
        <v>95</v>
      </c>
      <c r="G627">
        <v>0.23684210526315799</v>
      </c>
      <c r="H627">
        <v>3E+20</v>
      </c>
      <c r="I627">
        <v>0</v>
      </c>
      <c r="J627">
        <v>1</v>
      </c>
      <c r="K627">
        <v>0</v>
      </c>
      <c r="L627">
        <v>0</v>
      </c>
      <c r="M627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627" cm="1">
        <f t="array" ref="N627">MAX(IF((ProjectInfoTable[ProjectName]=ContinuousStatsTable[[#This Row],[ProjectName]]),(ProjectInfoTable[ProjectName]=ContinuousStatsTable[[#This Row],[ProjectName]])*ProjectInfoTable[NumberOfReplications]))</f>
        <v>30</v>
      </c>
      <c r="O627" cm="1">
        <f t="array" ref="O627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627" cm="1">
        <f t="array" ref="P627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627" cm="1">
        <f t="array" ref="Q627">MAX(IF((ProjectInfoTable[ProjectName]=ContinuousStatsTable[[#This Row],[ProjectName]]),(ProjectInfoTable[ProjectName]=ContinuousStatsTable[[#This Row],[ProjectName]])*ProjectInfoTable[ConfidenceInterval]))</f>
        <v>0.95</v>
      </c>
      <c r="R6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627" cm="1">
        <f t="array" ref="S627">MIN(IF((ContinuousStatsTable[GroupByKey]=ContinuousStatsTable[[#This Row],[GroupByKey]]),(ContinuousStatsTable[GroupByKey]=ContinuousStatsTable[[#This Row],[GroupByKey]])*ContinuousStatsTable[Average]))</f>
        <v>0.233333333333333</v>
      </c>
      <c r="T627" cm="1">
        <f t="array" ref="T627">MAX(IF((ContinuousStatsTable[GroupByKey]=ContinuousStatsTable[[#This Row],[GroupByKey]]),(ContinuousStatsTable[GroupByKey]=ContinuousStatsTable[[#This Row],[GroupByKey]])*ContinuousStatsTable[Average]))</f>
        <v>0.27905535859326402</v>
      </c>
      <c r="U627">
        <f>IF((ContinuousStatsTable[[#This Row],[RepsRequested]]&gt;1),ContinuousStatsTable[[#This Row],[HalfWidth]],ContinuousStatsTable[[#This Row],[BatchMeansHalfWidth]])</f>
        <v>4.2029769261323026E-3</v>
      </c>
    </row>
    <row r="628" spans="1:21" x14ac:dyDescent="0.2">
      <c r="A628" t="s">
        <v>67</v>
      </c>
      <c r="B628" t="s">
        <v>70</v>
      </c>
      <c r="C628">
        <v>27</v>
      </c>
      <c r="D628" t="s">
        <v>93</v>
      </c>
      <c r="E628" t="s">
        <v>97</v>
      </c>
      <c r="F628" t="s">
        <v>95</v>
      </c>
      <c r="G628">
        <v>1</v>
      </c>
      <c r="H628">
        <v>2E+20</v>
      </c>
      <c r="I628">
        <v>1</v>
      </c>
      <c r="J628">
        <v>1</v>
      </c>
      <c r="K628">
        <v>1</v>
      </c>
      <c r="L628">
        <v>0</v>
      </c>
      <c r="M628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628" cm="1">
        <f t="array" ref="N628">MAX(IF((ProjectInfoTable[ProjectName]=ContinuousStatsTable[[#This Row],[ProjectName]]),(ProjectInfoTable[ProjectName]=ContinuousStatsTable[[#This Row],[ProjectName]])*ProjectInfoTable[NumberOfReplications]))</f>
        <v>30</v>
      </c>
      <c r="O628" cm="1">
        <f t="array" ref="O628">IFERROR(AVERAGE(IF((ContinuousStatsTable[GroupByKey]=ContinuousStatsTable[[#This Row],[GroupByKey]]),(ContinuousStatsTable[GroupByKey]=ContinuousStatsTable[[#This Row],[GroupByKey]])*ContinuousStatsTable[Average])),0)</f>
        <v>1</v>
      </c>
      <c r="P628" cm="1">
        <f t="array" ref="P628">IFERROR(_xlfn.STDEV.S(IF((ContinuousStatsTable[GroupByKey]=ContinuousStatsTable[[#This Row],[GroupByKey]]),(ContinuousStatsTable[GroupByKey]=ContinuousStatsTable[[#This Row],[GroupByKey]])*ContinuousStatsTable[Average])),0)</f>
        <v>0</v>
      </c>
      <c r="Q628" cm="1">
        <f t="array" ref="Q628">MAX(IF((ProjectInfoTable[ProjectName]=ContinuousStatsTable[[#This Row],[ProjectName]]),(ProjectInfoTable[ProjectName]=ContinuousStatsTable[[#This Row],[ProjectName]])*ProjectInfoTable[ConfidenceInterval]))</f>
        <v>0.95</v>
      </c>
      <c r="R6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28" cm="1">
        <f t="array" ref="S628">MIN(IF((ContinuousStatsTable[GroupByKey]=ContinuousStatsTable[[#This Row],[GroupByKey]]),(ContinuousStatsTable[GroupByKey]=ContinuousStatsTable[[#This Row],[GroupByKey]])*ContinuousStatsTable[Average]))</f>
        <v>1</v>
      </c>
      <c r="T628" cm="1">
        <f t="array" ref="T628">MAX(IF((ContinuousStatsTable[GroupByKey]=ContinuousStatsTable[[#This Row],[GroupByKey]]),(ContinuousStatsTable[GroupByKey]=ContinuousStatsTable[[#This Row],[GroupByKey]])*ContinuousStatsTable[Average]))</f>
        <v>1</v>
      </c>
      <c r="U628">
        <f>IF((ContinuousStatsTable[[#This Row],[RepsRequested]]&gt;1),ContinuousStatsTable[[#This Row],[HalfWidth]],ContinuousStatsTable[[#This Row],[BatchMeansHalfWidth]])</f>
        <v>0</v>
      </c>
    </row>
    <row r="629" spans="1:21" x14ac:dyDescent="0.2">
      <c r="A629" t="s">
        <v>67</v>
      </c>
      <c r="B629" t="s">
        <v>70</v>
      </c>
      <c r="C629">
        <v>27</v>
      </c>
      <c r="D629" t="s">
        <v>71</v>
      </c>
      <c r="E629" t="s">
        <v>98</v>
      </c>
      <c r="F629" t="s">
        <v>73</v>
      </c>
      <c r="G629">
        <v>2.87087885232363E-2</v>
      </c>
      <c r="H629">
        <v>2E+20</v>
      </c>
      <c r="I629">
        <v>0</v>
      </c>
      <c r="J629">
        <v>2</v>
      </c>
      <c r="K629">
        <v>0</v>
      </c>
      <c r="L629">
        <v>0</v>
      </c>
      <c r="M629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629" cm="1">
        <f t="array" ref="N629">MAX(IF((ProjectInfoTable[ProjectName]=ContinuousStatsTable[[#This Row],[ProjectName]]),(ProjectInfoTable[ProjectName]=ContinuousStatsTable[[#This Row],[ProjectName]])*ProjectInfoTable[NumberOfReplications]))</f>
        <v>30</v>
      </c>
      <c r="O629" cm="1">
        <f t="array" ref="O629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629" cm="1">
        <f t="array" ref="P629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629" cm="1">
        <f t="array" ref="Q629">MAX(IF((ProjectInfoTable[ProjectName]=ContinuousStatsTable[[#This Row],[ProjectName]]),(ProjectInfoTable[ProjectName]=ContinuousStatsTable[[#This Row],[ProjectName]])*ProjectInfoTable[ConfidenceInterval]))</f>
        <v>0.95</v>
      </c>
      <c r="R6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629" cm="1">
        <f t="array" ref="S629">MIN(IF((ContinuousStatsTable[GroupByKey]=ContinuousStatsTable[[#This Row],[GroupByKey]]),(ContinuousStatsTable[GroupByKey]=ContinuousStatsTable[[#This Row],[GroupByKey]])*ContinuousStatsTable[Average]))</f>
        <v>1.9664517785186901E-2</v>
      </c>
      <c r="T629" cm="1">
        <f t="array" ref="T629">MAX(IF((ContinuousStatsTable[GroupByKey]=ContinuousStatsTable[[#This Row],[GroupByKey]]),(ContinuousStatsTable[GroupByKey]=ContinuousStatsTable[[#This Row],[GroupByKey]])*ContinuousStatsTable[Average]))</f>
        <v>3.9738966906982302E-2</v>
      </c>
      <c r="U629">
        <f>IF((ContinuousStatsTable[[#This Row],[RepsRequested]]&gt;1),ContinuousStatsTable[[#This Row],[HalfWidth]],ContinuousStatsTable[[#This Row],[BatchMeansHalfWidth]])</f>
        <v>1.6627262085570247E-3</v>
      </c>
    </row>
    <row r="630" spans="1:21" x14ac:dyDescent="0.2">
      <c r="A630" t="s">
        <v>67</v>
      </c>
      <c r="B630" t="s">
        <v>70</v>
      </c>
      <c r="C630">
        <v>27</v>
      </c>
      <c r="D630" t="s">
        <v>99</v>
      </c>
      <c r="E630" t="s">
        <v>94</v>
      </c>
      <c r="F630" t="s">
        <v>95</v>
      </c>
      <c r="G630">
        <v>0.59159702273548298</v>
      </c>
      <c r="H630">
        <v>3E+20</v>
      </c>
      <c r="I630">
        <v>0</v>
      </c>
      <c r="J630">
        <v>1</v>
      </c>
      <c r="K630">
        <v>1</v>
      </c>
      <c r="L630">
        <v>0</v>
      </c>
      <c r="M630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630" cm="1">
        <f t="array" ref="N630">MAX(IF((ProjectInfoTable[ProjectName]=ContinuousStatsTable[[#This Row],[ProjectName]]),(ProjectInfoTable[ProjectName]=ContinuousStatsTable[[#This Row],[ProjectName]])*ProjectInfoTable[NumberOfReplications]))</f>
        <v>30</v>
      </c>
      <c r="O630" cm="1">
        <f t="array" ref="O630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630" cm="1">
        <f t="array" ref="P630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630" cm="1">
        <f t="array" ref="Q630">MAX(IF((ProjectInfoTable[ProjectName]=ContinuousStatsTable[[#This Row],[ProjectName]]),(ProjectInfoTable[ProjectName]=ContinuousStatsTable[[#This Row],[ProjectName]])*ProjectInfoTable[ConfidenceInterval]))</f>
        <v>0.95</v>
      </c>
      <c r="R6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630" cm="1">
        <f t="array" ref="S630">MIN(IF((ContinuousStatsTable[GroupByKey]=ContinuousStatsTable[[#This Row],[GroupByKey]]),(ContinuousStatsTable[GroupByKey]=ContinuousStatsTable[[#This Row],[GroupByKey]])*ContinuousStatsTable[Average]))</f>
        <v>0.58256422876290004</v>
      </c>
      <c r="T630" cm="1">
        <f t="array" ref="T630">MAX(IF((ContinuousStatsTable[GroupByKey]=ContinuousStatsTable[[#This Row],[GroupByKey]]),(ContinuousStatsTable[GroupByKey]=ContinuousStatsTable[[#This Row],[GroupByKey]])*ContinuousStatsTable[Average]))</f>
        <v>0.68643238055161704</v>
      </c>
      <c r="U630">
        <f>IF((ContinuousStatsTable[[#This Row],[RepsRequested]]&gt;1),ContinuousStatsTable[[#This Row],[HalfWidth]],ContinuousStatsTable[[#This Row],[BatchMeansHalfWidth]])</f>
        <v>9.8490003000806757E-3</v>
      </c>
    </row>
    <row r="631" spans="1:21" x14ac:dyDescent="0.2">
      <c r="A631" t="s">
        <v>67</v>
      </c>
      <c r="B631" t="s">
        <v>70</v>
      </c>
      <c r="C631">
        <v>27</v>
      </c>
      <c r="D631" t="s">
        <v>99</v>
      </c>
      <c r="E631" t="s">
        <v>96</v>
      </c>
      <c r="F631" t="s">
        <v>95</v>
      </c>
      <c r="G631">
        <v>1.18319404547097</v>
      </c>
      <c r="H631">
        <v>3E+20</v>
      </c>
      <c r="I631">
        <v>0</v>
      </c>
      <c r="J631">
        <v>2</v>
      </c>
      <c r="K631">
        <v>2</v>
      </c>
      <c r="L631">
        <v>0</v>
      </c>
      <c r="M631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631" cm="1">
        <f t="array" ref="N631">MAX(IF((ProjectInfoTable[ProjectName]=ContinuousStatsTable[[#This Row],[ProjectName]]),(ProjectInfoTable[ProjectName]=ContinuousStatsTable[[#This Row],[ProjectName]])*ProjectInfoTable[NumberOfReplications]))</f>
        <v>30</v>
      </c>
      <c r="O631" cm="1">
        <f t="array" ref="O631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631" cm="1">
        <f t="array" ref="P631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631" cm="1">
        <f t="array" ref="Q631">MAX(IF((ProjectInfoTable[ProjectName]=ContinuousStatsTable[[#This Row],[ProjectName]]),(ProjectInfoTable[ProjectName]=ContinuousStatsTable[[#This Row],[ProjectName]])*ProjectInfoTable[ConfidenceInterval]))</f>
        <v>0.95</v>
      </c>
      <c r="R6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631" cm="1">
        <f t="array" ref="S631">MIN(IF((ContinuousStatsTable[GroupByKey]=ContinuousStatsTable[[#This Row],[GroupByKey]]),(ContinuousStatsTable[GroupByKey]=ContinuousStatsTable[[#This Row],[GroupByKey]])*ContinuousStatsTable[Average]))</f>
        <v>1.1651284575258001</v>
      </c>
      <c r="T631" cm="1">
        <f t="array" ref="T631">MAX(IF((ContinuousStatsTable[GroupByKey]=ContinuousStatsTable[[#This Row],[GroupByKey]]),(ContinuousStatsTable[GroupByKey]=ContinuousStatsTable[[#This Row],[GroupByKey]])*ContinuousStatsTable[Average]))</f>
        <v>1.3728647611032301</v>
      </c>
      <c r="U631">
        <f>IF((ContinuousStatsTable[[#This Row],[RepsRequested]]&gt;1),ContinuousStatsTable[[#This Row],[HalfWidth]],ContinuousStatsTable[[#This Row],[BatchMeansHalfWidth]])</f>
        <v>1.9698000600160998E-2</v>
      </c>
    </row>
    <row r="632" spans="1:21" x14ac:dyDescent="0.2">
      <c r="A632" t="s">
        <v>67</v>
      </c>
      <c r="B632" t="s">
        <v>70</v>
      </c>
      <c r="C632">
        <v>27</v>
      </c>
      <c r="D632" t="s">
        <v>99</v>
      </c>
      <c r="E632" t="s">
        <v>97</v>
      </c>
      <c r="F632" t="s">
        <v>95</v>
      </c>
      <c r="G632">
        <v>2</v>
      </c>
      <c r="H632">
        <v>2E+20</v>
      </c>
      <c r="I632">
        <v>2</v>
      </c>
      <c r="J632">
        <v>2</v>
      </c>
      <c r="K632">
        <v>2</v>
      </c>
      <c r="L632">
        <v>0</v>
      </c>
      <c r="M632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632" cm="1">
        <f t="array" ref="N632">MAX(IF((ProjectInfoTable[ProjectName]=ContinuousStatsTable[[#This Row],[ProjectName]]),(ProjectInfoTable[ProjectName]=ContinuousStatsTable[[#This Row],[ProjectName]])*ProjectInfoTable[NumberOfReplications]))</f>
        <v>30</v>
      </c>
      <c r="O632" cm="1">
        <f t="array" ref="O632">IFERROR(AVERAGE(IF((ContinuousStatsTable[GroupByKey]=ContinuousStatsTable[[#This Row],[GroupByKey]]),(ContinuousStatsTable[GroupByKey]=ContinuousStatsTable[[#This Row],[GroupByKey]])*ContinuousStatsTable[Average])),0)</f>
        <v>2</v>
      </c>
      <c r="P632" cm="1">
        <f t="array" ref="P632">IFERROR(_xlfn.STDEV.S(IF((ContinuousStatsTable[GroupByKey]=ContinuousStatsTable[[#This Row],[GroupByKey]]),(ContinuousStatsTable[GroupByKey]=ContinuousStatsTable[[#This Row],[GroupByKey]])*ContinuousStatsTable[Average])),0)</f>
        <v>0</v>
      </c>
      <c r="Q632" cm="1">
        <f t="array" ref="Q632">MAX(IF((ProjectInfoTable[ProjectName]=ContinuousStatsTable[[#This Row],[ProjectName]]),(ProjectInfoTable[ProjectName]=ContinuousStatsTable[[#This Row],[ProjectName]])*ProjectInfoTable[ConfidenceInterval]))</f>
        <v>0.95</v>
      </c>
      <c r="R6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2" cm="1">
        <f t="array" ref="S632">MIN(IF((ContinuousStatsTable[GroupByKey]=ContinuousStatsTable[[#This Row],[GroupByKey]]),(ContinuousStatsTable[GroupByKey]=ContinuousStatsTable[[#This Row],[GroupByKey]])*ContinuousStatsTable[Average]))</f>
        <v>2</v>
      </c>
      <c r="T632" cm="1">
        <f t="array" ref="T632">MAX(IF((ContinuousStatsTable[GroupByKey]=ContinuousStatsTable[[#This Row],[GroupByKey]]),(ContinuousStatsTable[GroupByKey]=ContinuousStatsTable[[#This Row],[GroupByKey]])*ContinuousStatsTable[Average]))</f>
        <v>2</v>
      </c>
      <c r="U632">
        <f>IF((ContinuousStatsTable[[#This Row],[RepsRequested]]&gt;1),ContinuousStatsTable[[#This Row],[HalfWidth]],ContinuousStatsTable[[#This Row],[BatchMeansHalfWidth]])</f>
        <v>0</v>
      </c>
    </row>
    <row r="633" spans="1:21" x14ac:dyDescent="0.2">
      <c r="A633" t="s">
        <v>67</v>
      </c>
      <c r="B633" t="s">
        <v>70</v>
      </c>
      <c r="C633">
        <v>27</v>
      </c>
      <c r="D633" t="s">
        <v>74</v>
      </c>
      <c r="E633" t="s">
        <v>100</v>
      </c>
      <c r="F633" t="s">
        <v>76</v>
      </c>
      <c r="G633">
        <v>14.4666334429506</v>
      </c>
      <c r="H633">
        <v>3E+20</v>
      </c>
      <c r="I633">
        <v>3</v>
      </c>
      <c r="J633">
        <v>27</v>
      </c>
      <c r="K633">
        <v>16</v>
      </c>
      <c r="L633">
        <v>0</v>
      </c>
      <c r="M633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33" cm="1">
        <f t="array" ref="N633">MAX(IF((ProjectInfoTable[ProjectName]=ContinuousStatsTable[[#This Row],[ProjectName]]),(ProjectInfoTable[ProjectName]=ContinuousStatsTable[[#This Row],[ProjectName]])*ProjectInfoTable[NumberOfReplications]))</f>
        <v>30</v>
      </c>
      <c r="O633" cm="1">
        <f t="array" ref="O633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633" cm="1">
        <f t="array" ref="P633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633" cm="1">
        <f t="array" ref="Q633">MAX(IF((ProjectInfoTable[ProjectName]=ContinuousStatsTable[[#This Row],[ProjectName]]),(ProjectInfoTable[ProjectName]=ContinuousStatsTable[[#This Row],[ProjectName]])*ProjectInfoTable[ConfidenceInterval]))</f>
        <v>0.95</v>
      </c>
      <c r="R6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633" cm="1">
        <f t="array" ref="S633">MIN(IF((ContinuousStatsTable[GroupByKey]=ContinuousStatsTable[[#This Row],[GroupByKey]]),(ContinuousStatsTable[GroupByKey]=ContinuousStatsTable[[#This Row],[GroupByKey]])*ContinuousStatsTable[Average]))</f>
        <v>14.4112589759764</v>
      </c>
      <c r="T633" cm="1">
        <f t="array" ref="T633">MAX(IF((ContinuousStatsTable[GroupByKey]=ContinuousStatsTable[[#This Row],[GroupByKey]]),(ContinuousStatsTable[GroupByKey]=ContinuousStatsTable[[#This Row],[GroupByKey]])*ContinuousStatsTable[Average]))</f>
        <v>16.972707717517899</v>
      </c>
      <c r="U633">
        <f>IF((ContinuousStatsTable[[#This Row],[RepsRequested]]&gt;1),ContinuousStatsTable[[#This Row],[HalfWidth]],ContinuousStatsTable[[#This Row],[BatchMeansHalfWidth]])</f>
        <v>0.25870181881670146</v>
      </c>
    </row>
    <row r="634" spans="1:21" x14ac:dyDescent="0.2">
      <c r="A634" t="s">
        <v>67</v>
      </c>
      <c r="B634" t="s">
        <v>70</v>
      </c>
      <c r="C634">
        <v>27</v>
      </c>
      <c r="D634" t="s">
        <v>82</v>
      </c>
      <c r="E634" t="s">
        <v>98</v>
      </c>
      <c r="F634" t="s">
        <v>73</v>
      </c>
      <c r="G634">
        <v>7.4406608295854798E-2</v>
      </c>
      <c r="H634">
        <v>2E+20</v>
      </c>
      <c r="I634">
        <v>0</v>
      </c>
      <c r="J634">
        <v>2</v>
      </c>
      <c r="K634">
        <v>0</v>
      </c>
      <c r="L634">
        <v>0</v>
      </c>
      <c r="M634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634" cm="1">
        <f t="array" ref="N634">MAX(IF((ProjectInfoTable[ProjectName]=ContinuousStatsTable[[#This Row],[ProjectName]]),(ProjectInfoTable[ProjectName]=ContinuousStatsTable[[#This Row],[ProjectName]])*ProjectInfoTable[NumberOfReplications]))</f>
        <v>30</v>
      </c>
      <c r="O634" cm="1">
        <f t="array" ref="O634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634" cm="1">
        <f t="array" ref="P634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634" cm="1">
        <f t="array" ref="Q634">MAX(IF((ProjectInfoTable[ProjectName]=ContinuousStatsTable[[#This Row],[ProjectName]]),(ProjectInfoTable[ProjectName]=ContinuousStatsTable[[#This Row],[ProjectName]])*ProjectInfoTable[ConfidenceInterval]))</f>
        <v>0.95</v>
      </c>
      <c r="R6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634" cm="1">
        <f t="array" ref="S634">MIN(IF((ContinuousStatsTable[GroupByKey]=ContinuousStatsTable[[#This Row],[GroupByKey]]),(ContinuousStatsTable[GroupByKey]=ContinuousStatsTable[[#This Row],[GroupByKey]])*ContinuousStatsTable[Average]))</f>
        <v>7.4406608295854798E-2</v>
      </c>
      <c r="T634" cm="1">
        <f t="array" ref="T634">MAX(IF((ContinuousStatsTable[GroupByKey]=ContinuousStatsTable[[#This Row],[GroupByKey]]),(ContinuousStatsTable[GroupByKey]=ContinuousStatsTable[[#This Row],[GroupByKey]])*ContinuousStatsTable[Average]))</f>
        <v>0.29874320707386398</v>
      </c>
      <c r="U634">
        <f>IF((ContinuousStatsTable[[#This Row],[RepsRequested]]&gt;1),ContinuousStatsTable[[#This Row],[HalfWidth]],ContinuousStatsTable[[#This Row],[BatchMeansHalfWidth]])</f>
        <v>2.0058204231149332E-2</v>
      </c>
    </row>
    <row r="635" spans="1:21" x14ac:dyDescent="0.2">
      <c r="A635" t="s">
        <v>67</v>
      </c>
      <c r="B635" t="s">
        <v>70</v>
      </c>
      <c r="C635">
        <v>27</v>
      </c>
      <c r="D635" t="s">
        <v>101</v>
      </c>
      <c r="E635" t="s">
        <v>94</v>
      </c>
      <c r="F635" t="s">
        <v>95</v>
      </c>
      <c r="G635">
        <v>1.79054729773366E-3</v>
      </c>
      <c r="H635">
        <v>1.5910684621005201E-4</v>
      </c>
      <c r="I635">
        <v>0</v>
      </c>
      <c r="J635">
        <v>3.7499999999999999E-2</v>
      </c>
      <c r="K635">
        <v>1.2500000000000001E-2</v>
      </c>
      <c r="L635">
        <v>0</v>
      </c>
      <c r="M635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635" cm="1">
        <f t="array" ref="N635">MAX(IF((ProjectInfoTable[ProjectName]=ContinuousStatsTable[[#This Row],[ProjectName]]),(ProjectInfoTable[ProjectName]=ContinuousStatsTable[[#This Row],[ProjectName]])*ProjectInfoTable[NumberOfReplications]))</f>
        <v>30</v>
      </c>
      <c r="O635" cm="1">
        <f t="array" ref="O635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635" cm="1">
        <f t="array" ref="P635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635" cm="1">
        <f t="array" ref="Q635">MAX(IF((ProjectInfoTable[ProjectName]=ContinuousStatsTable[[#This Row],[ProjectName]]),(ProjectInfoTable[ProjectName]=ContinuousStatsTable[[#This Row],[ProjectName]])*ProjectInfoTable[ConfidenceInterval]))</f>
        <v>0.95</v>
      </c>
      <c r="R6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635" cm="1">
        <f t="array" ref="S635">MIN(IF((ContinuousStatsTable[GroupByKey]=ContinuousStatsTable[[#This Row],[GroupByKey]]),(ContinuousStatsTable[GroupByKey]=ContinuousStatsTable[[#This Row],[GroupByKey]])*ContinuousStatsTable[Average]))</f>
        <v>1.70504385964912E-3</v>
      </c>
      <c r="T635" cm="1">
        <f t="array" ref="T635">MAX(IF((ContinuousStatsTable[GroupByKey]=ContinuousStatsTable[[#This Row],[GroupByKey]]),(ContinuousStatsTable[GroupByKey]=ContinuousStatsTable[[#This Row],[GroupByKey]])*ContinuousStatsTable[Average]))</f>
        <v>2.17031677925951E-3</v>
      </c>
      <c r="U635">
        <f>IF((ContinuousStatsTable[[#This Row],[RepsRequested]]&gt;1),ContinuousStatsTable[[#This Row],[HalfWidth]],ContinuousStatsTable[[#This Row],[BatchMeansHalfWidth]])</f>
        <v>4.4865881583116605E-5</v>
      </c>
    </row>
    <row r="636" spans="1:21" x14ac:dyDescent="0.2">
      <c r="A636" t="s">
        <v>67</v>
      </c>
      <c r="B636" t="s">
        <v>70</v>
      </c>
      <c r="C636">
        <v>27</v>
      </c>
      <c r="D636" t="s">
        <v>101</v>
      </c>
      <c r="E636" t="s">
        <v>96</v>
      </c>
      <c r="F636" t="s">
        <v>95</v>
      </c>
      <c r="G636">
        <v>0.14324378381869299</v>
      </c>
      <c r="H636">
        <v>1.2728547696804199E-2</v>
      </c>
      <c r="I636">
        <v>0</v>
      </c>
      <c r="J636">
        <v>3</v>
      </c>
      <c r="K636">
        <v>1</v>
      </c>
      <c r="L636">
        <v>0</v>
      </c>
      <c r="M636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636" cm="1">
        <f t="array" ref="N636">MAX(IF((ProjectInfoTable[ProjectName]=ContinuousStatsTable[[#This Row],[ProjectName]]),(ProjectInfoTable[ProjectName]=ContinuousStatsTable[[#This Row],[ProjectName]])*ProjectInfoTable[NumberOfReplications]))</f>
        <v>30</v>
      </c>
      <c r="O636" cm="1">
        <f t="array" ref="O636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636" cm="1">
        <f t="array" ref="P636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636" cm="1">
        <f t="array" ref="Q636">MAX(IF((ProjectInfoTable[ProjectName]=ContinuousStatsTable[[#This Row],[ProjectName]]),(ProjectInfoTable[ProjectName]=ContinuousStatsTable[[#This Row],[ProjectName]])*ProjectInfoTable[ConfidenceInterval]))</f>
        <v>0.95</v>
      </c>
      <c r="R6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636" cm="1">
        <f t="array" ref="S636">MIN(IF((ContinuousStatsTable[GroupByKey]=ContinuousStatsTable[[#This Row],[GroupByKey]]),(ContinuousStatsTable[GroupByKey]=ContinuousStatsTable[[#This Row],[GroupByKey]])*ContinuousStatsTable[Average]))</f>
        <v>0.13640350877193</v>
      </c>
      <c r="T636" cm="1">
        <f t="array" ref="T636">MAX(IF((ContinuousStatsTable[GroupByKey]=ContinuousStatsTable[[#This Row],[GroupByKey]]),(ContinuousStatsTable[GroupByKey]=ContinuousStatsTable[[#This Row],[GroupByKey]])*ContinuousStatsTable[Average]))</f>
        <v>0.17362534234076099</v>
      </c>
      <c r="U636">
        <f>IF((ContinuousStatsTable[[#This Row],[RepsRequested]]&gt;1),ContinuousStatsTable[[#This Row],[HalfWidth]],ContinuousStatsTable[[#This Row],[BatchMeansHalfWidth]])</f>
        <v>3.5892705266493139E-3</v>
      </c>
    </row>
    <row r="637" spans="1:21" x14ac:dyDescent="0.2">
      <c r="A637" t="s">
        <v>67</v>
      </c>
      <c r="B637" t="s">
        <v>70</v>
      </c>
      <c r="C637">
        <v>27</v>
      </c>
      <c r="D637" t="s">
        <v>101</v>
      </c>
      <c r="E637" t="s">
        <v>97</v>
      </c>
      <c r="F637" t="s">
        <v>95</v>
      </c>
      <c r="G637">
        <v>80</v>
      </c>
      <c r="H637">
        <v>2E+20</v>
      </c>
      <c r="I637">
        <v>80</v>
      </c>
      <c r="J637">
        <v>80</v>
      </c>
      <c r="K637">
        <v>80</v>
      </c>
      <c r="L637">
        <v>0</v>
      </c>
      <c r="M637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637" cm="1">
        <f t="array" ref="N637">MAX(IF((ProjectInfoTable[ProjectName]=ContinuousStatsTable[[#This Row],[ProjectName]]),(ProjectInfoTable[ProjectName]=ContinuousStatsTable[[#This Row],[ProjectName]])*ProjectInfoTable[NumberOfReplications]))</f>
        <v>30</v>
      </c>
      <c r="O637" cm="1">
        <f t="array" ref="O637">IFERROR(AVERAGE(IF((ContinuousStatsTable[GroupByKey]=ContinuousStatsTable[[#This Row],[GroupByKey]]),(ContinuousStatsTable[GroupByKey]=ContinuousStatsTable[[#This Row],[GroupByKey]])*ContinuousStatsTable[Average])),0)</f>
        <v>80</v>
      </c>
      <c r="P637" cm="1">
        <f t="array" ref="P637">IFERROR(_xlfn.STDEV.S(IF((ContinuousStatsTable[GroupByKey]=ContinuousStatsTable[[#This Row],[GroupByKey]]),(ContinuousStatsTable[GroupByKey]=ContinuousStatsTable[[#This Row],[GroupByKey]])*ContinuousStatsTable[Average])),0)</f>
        <v>0</v>
      </c>
      <c r="Q637" cm="1">
        <f t="array" ref="Q637">MAX(IF((ProjectInfoTable[ProjectName]=ContinuousStatsTable[[#This Row],[ProjectName]]),(ProjectInfoTable[ProjectName]=ContinuousStatsTable[[#This Row],[ProjectName]])*ProjectInfoTable[ConfidenceInterval]))</f>
        <v>0.95</v>
      </c>
      <c r="R6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7" cm="1">
        <f t="array" ref="S637">MIN(IF((ContinuousStatsTable[GroupByKey]=ContinuousStatsTable[[#This Row],[GroupByKey]]),(ContinuousStatsTable[GroupByKey]=ContinuousStatsTable[[#This Row],[GroupByKey]])*ContinuousStatsTable[Average]))</f>
        <v>80</v>
      </c>
      <c r="T637" cm="1">
        <f t="array" ref="T637">MAX(IF((ContinuousStatsTable[GroupByKey]=ContinuousStatsTable[[#This Row],[GroupByKey]]),(ContinuousStatsTable[GroupByKey]=ContinuousStatsTable[[#This Row],[GroupByKey]])*ContinuousStatsTable[Average]))</f>
        <v>80</v>
      </c>
      <c r="U637">
        <f>IF((ContinuousStatsTable[[#This Row],[RepsRequested]]&gt;1),ContinuousStatsTable[[#This Row],[HalfWidth]],ContinuousStatsTable[[#This Row],[BatchMeansHalfWidth]])</f>
        <v>0</v>
      </c>
    </row>
    <row r="638" spans="1:21" x14ac:dyDescent="0.2">
      <c r="A638" t="s">
        <v>67</v>
      </c>
      <c r="B638" t="s">
        <v>70</v>
      </c>
      <c r="C638">
        <v>27</v>
      </c>
      <c r="D638" t="s">
        <v>86</v>
      </c>
      <c r="E638" t="s">
        <v>98</v>
      </c>
      <c r="F638" t="s">
        <v>73</v>
      </c>
      <c r="G638">
        <v>0</v>
      </c>
      <c r="H638">
        <v>2E+20</v>
      </c>
      <c r="I638">
        <v>0</v>
      </c>
      <c r="J638">
        <v>0</v>
      </c>
      <c r="K638">
        <v>0</v>
      </c>
      <c r="L638">
        <v>0</v>
      </c>
      <c r="M638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638" cm="1">
        <f t="array" ref="N638">MAX(IF((ProjectInfoTable[ProjectName]=ContinuousStatsTable[[#This Row],[ProjectName]]),(ProjectInfoTable[ProjectName]=ContinuousStatsTable[[#This Row],[ProjectName]])*ProjectInfoTable[NumberOfReplications]))</f>
        <v>30</v>
      </c>
      <c r="O638" cm="1">
        <f t="array" ref="O638">IFERROR(AVERAGE(IF((ContinuousStatsTable[GroupByKey]=ContinuousStatsTable[[#This Row],[GroupByKey]]),(ContinuousStatsTable[GroupByKey]=ContinuousStatsTable[[#This Row],[GroupByKey]])*ContinuousStatsTable[Average])),0)</f>
        <v>0</v>
      </c>
      <c r="P638" cm="1">
        <f t="array" ref="P638">IFERROR(_xlfn.STDEV.S(IF((ContinuousStatsTable[GroupByKey]=ContinuousStatsTable[[#This Row],[GroupByKey]]),(ContinuousStatsTable[GroupByKey]=ContinuousStatsTable[[#This Row],[GroupByKey]])*ContinuousStatsTable[Average])),0)</f>
        <v>0</v>
      </c>
      <c r="Q638" cm="1">
        <f t="array" ref="Q638">MAX(IF((ProjectInfoTable[ProjectName]=ContinuousStatsTable[[#This Row],[ProjectName]]),(ProjectInfoTable[ProjectName]=ContinuousStatsTable[[#This Row],[ProjectName]])*ProjectInfoTable[ConfidenceInterval]))</f>
        <v>0.95</v>
      </c>
      <c r="R6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8" cm="1">
        <f t="array" ref="S638">MIN(IF((ContinuousStatsTable[GroupByKey]=ContinuousStatsTable[[#This Row],[GroupByKey]]),(ContinuousStatsTable[GroupByKey]=ContinuousStatsTable[[#This Row],[GroupByKey]])*ContinuousStatsTable[Average]))</f>
        <v>0</v>
      </c>
      <c r="T638" cm="1">
        <f t="array" ref="T638">MAX(IF((ContinuousStatsTable[GroupByKey]=ContinuousStatsTable[[#This Row],[GroupByKey]]),(ContinuousStatsTable[GroupByKey]=ContinuousStatsTable[[#This Row],[GroupByKey]])*ContinuousStatsTable[Average]))</f>
        <v>0</v>
      </c>
      <c r="U638">
        <f>IF((ContinuousStatsTable[[#This Row],[RepsRequested]]&gt;1),ContinuousStatsTable[[#This Row],[HalfWidth]],ContinuousStatsTable[[#This Row],[BatchMeansHalfWidth]])</f>
        <v>0</v>
      </c>
    </row>
    <row r="639" spans="1:21" x14ac:dyDescent="0.2">
      <c r="A639" t="s">
        <v>67</v>
      </c>
      <c r="B639" t="s">
        <v>70</v>
      </c>
      <c r="C639">
        <v>27</v>
      </c>
      <c r="D639" t="s">
        <v>87</v>
      </c>
      <c r="E639" t="s">
        <v>98</v>
      </c>
      <c r="F639" t="s">
        <v>73</v>
      </c>
      <c r="G639">
        <v>0</v>
      </c>
      <c r="H639">
        <v>2E+20</v>
      </c>
      <c r="I639">
        <v>0</v>
      </c>
      <c r="J639">
        <v>0</v>
      </c>
      <c r="K639">
        <v>0</v>
      </c>
      <c r="L639">
        <v>0</v>
      </c>
      <c r="M639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639" cm="1">
        <f t="array" ref="N639">MAX(IF((ProjectInfoTable[ProjectName]=ContinuousStatsTable[[#This Row],[ProjectName]]),(ProjectInfoTable[ProjectName]=ContinuousStatsTable[[#This Row],[ProjectName]])*ProjectInfoTable[NumberOfReplications]))</f>
        <v>30</v>
      </c>
      <c r="O639" cm="1">
        <f t="array" ref="O639">IFERROR(AVERAGE(IF((ContinuousStatsTable[GroupByKey]=ContinuousStatsTable[[#This Row],[GroupByKey]]),(ContinuousStatsTable[GroupByKey]=ContinuousStatsTable[[#This Row],[GroupByKey]])*ContinuousStatsTable[Average])),0)</f>
        <v>0</v>
      </c>
      <c r="P639" cm="1">
        <f t="array" ref="P639">IFERROR(_xlfn.STDEV.S(IF((ContinuousStatsTable[GroupByKey]=ContinuousStatsTable[[#This Row],[GroupByKey]]),(ContinuousStatsTable[GroupByKey]=ContinuousStatsTable[[#This Row],[GroupByKey]])*ContinuousStatsTable[Average])),0)</f>
        <v>0</v>
      </c>
      <c r="Q639" cm="1">
        <f t="array" ref="Q639">MAX(IF((ProjectInfoTable[ProjectName]=ContinuousStatsTable[[#This Row],[ProjectName]]),(ProjectInfoTable[ProjectName]=ContinuousStatsTable[[#This Row],[ProjectName]])*ProjectInfoTable[ConfidenceInterval]))</f>
        <v>0.95</v>
      </c>
      <c r="R6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39" cm="1">
        <f t="array" ref="S639">MIN(IF((ContinuousStatsTable[GroupByKey]=ContinuousStatsTable[[#This Row],[GroupByKey]]),(ContinuousStatsTable[GroupByKey]=ContinuousStatsTable[[#This Row],[GroupByKey]])*ContinuousStatsTable[Average]))</f>
        <v>0</v>
      </c>
      <c r="T639" cm="1">
        <f t="array" ref="T639">MAX(IF((ContinuousStatsTable[GroupByKey]=ContinuousStatsTable[[#This Row],[GroupByKey]]),(ContinuousStatsTable[GroupByKey]=ContinuousStatsTable[[#This Row],[GroupByKey]])*ContinuousStatsTable[Average]))</f>
        <v>0</v>
      </c>
      <c r="U639">
        <f>IF((ContinuousStatsTable[[#This Row],[RepsRequested]]&gt;1),ContinuousStatsTable[[#This Row],[HalfWidth]],ContinuousStatsTable[[#This Row],[BatchMeansHalfWidth]])</f>
        <v>0</v>
      </c>
    </row>
    <row r="640" spans="1:21" x14ac:dyDescent="0.2">
      <c r="A640" t="s">
        <v>67</v>
      </c>
      <c r="B640" t="s">
        <v>70</v>
      </c>
      <c r="C640">
        <v>27</v>
      </c>
      <c r="D640" t="s">
        <v>88</v>
      </c>
      <c r="E640" t="s">
        <v>98</v>
      </c>
      <c r="F640" t="s">
        <v>73</v>
      </c>
      <c r="G640">
        <v>1.49037035496805</v>
      </c>
      <c r="H640">
        <v>8.7025772712607793E-2</v>
      </c>
      <c r="I640">
        <v>0</v>
      </c>
      <c r="J640">
        <v>4</v>
      </c>
      <c r="K640">
        <v>3</v>
      </c>
      <c r="L640">
        <v>0</v>
      </c>
      <c r="M640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640" cm="1">
        <f t="array" ref="N640">MAX(IF((ProjectInfoTable[ProjectName]=ContinuousStatsTable[[#This Row],[ProjectName]]),(ProjectInfoTable[ProjectName]=ContinuousStatsTable[[#This Row],[ProjectName]])*ProjectInfoTable[NumberOfReplications]))</f>
        <v>30</v>
      </c>
      <c r="O640" cm="1">
        <f t="array" ref="O640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640" cm="1">
        <f t="array" ref="P640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640" cm="1">
        <f t="array" ref="Q640">MAX(IF((ProjectInfoTable[ProjectName]=ContinuousStatsTable[[#This Row],[ProjectName]]),(ProjectInfoTable[ProjectName]=ContinuousStatsTable[[#This Row],[ProjectName]])*ProjectInfoTable[ConfidenceInterval]))</f>
        <v>0.95</v>
      </c>
      <c r="R6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640" cm="1">
        <f t="array" ref="S640">MIN(IF((ContinuousStatsTable[GroupByKey]=ContinuousStatsTable[[#This Row],[GroupByKey]]),(ContinuousStatsTable[GroupByKey]=ContinuousStatsTable[[#This Row],[GroupByKey]])*ContinuousStatsTable[Average]))</f>
        <v>1.4062336911317099</v>
      </c>
      <c r="T640" cm="1">
        <f t="array" ref="T640">MAX(IF((ContinuousStatsTable[GroupByKey]=ContinuousStatsTable[[#This Row],[GroupByKey]]),(ContinuousStatsTable[GroupByKey]=ContinuousStatsTable[[#This Row],[GroupByKey]])*ContinuousStatsTable[Average]))</f>
        <v>1.5889769030929</v>
      </c>
      <c r="U640">
        <f>IF((ContinuousStatsTable[[#This Row],[RepsRequested]]&gt;1),ContinuousStatsTable[[#This Row],[HalfWidth]],ContinuousStatsTable[[#This Row],[BatchMeansHalfWidth]])</f>
        <v>1.602866983772662E-2</v>
      </c>
    </row>
    <row r="641" spans="1:21" x14ac:dyDescent="0.2">
      <c r="A641" t="s">
        <v>67</v>
      </c>
      <c r="B641" t="s">
        <v>70</v>
      </c>
      <c r="C641">
        <v>27</v>
      </c>
      <c r="D641" t="s">
        <v>102</v>
      </c>
      <c r="E641" t="s">
        <v>94</v>
      </c>
      <c r="F641" t="s">
        <v>95</v>
      </c>
      <c r="G641">
        <v>4.8245614035087696E-3</v>
      </c>
      <c r="H641">
        <v>5.8198768857449404E-4</v>
      </c>
      <c r="I641">
        <v>0</v>
      </c>
      <c r="J641">
        <v>0.15</v>
      </c>
      <c r="K641">
        <v>0</v>
      </c>
      <c r="L641">
        <v>0</v>
      </c>
      <c r="M641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641" cm="1">
        <f t="array" ref="N641">MAX(IF((ProjectInfoTable[ProjectName]=ContinuousStatsTable[[#This Row],[ProjectName]]),(ProjectInfoTable[ProjectName]=ContinuousStatsTable[[#This Row],[ProjectName]])*ProjectInfoTable[NumberOfReplications]))</f>
        <v>30</v>
      </c>
      <c r="O641" cm="1">
        <f t="array" ref="O641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641" cm="1">
        <f t="array" ref="P641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641" cm="1">
        <f t="array" ref="Q641">MAX(IF((ProjectInfoTable[ProjectName]=ContinuousStatsTable[[#This Row],[ProjectName]]),(ProjectInfoTable[ProjectName]=ContinuousStatsTable[[#This Row],[ProjectName]])*ProjectInfoTable[ConfidenceInterval]))</f>
        <v>0.95</v>
      </c>
      <c r="R6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641" cm="1">
        <f t="array" ref="S641">MIN(IF((ContinuousStatsTable[GroupByKey]=ContinuousStatsTable[[#This Row],[GroupByKey]]),(ContinuousStatsTable[GroupByKey]=ContinuousStatsTable[[#This Row],[GroupByKey]])*ContinuousStatsTable[Average]))</f>
        <v>4.4956140350877203E-3</v>
      </c>
      <c r="T641" cm="1">
        <f t="array" ref="T641">MAX(IF((ContinuousStatsTable[GroupByKey]=ContinuousStatsTable[[#This Row],[GroupByKey]]),(ContinuousStatsTable[GroupByKey]=ContinuousStatsTable[[#This Row],[GroupByKey]])*ContinuousStatsTable[Average]))</f>
        <v>5.5482456140350904E-3</v>
      </c>
      <c r="U641">
        <f>IF((ContinuousStatsTable[[#This Row],[RepsRequested]]&gt;1),ContinuousStatsTable[[#This Row],[HalfWidth]],ContinuousStatsTable[[#This Row],[BatchMeansHalfWidth]])</f>
        <v>1.0144486472958472E-4</v>
      </c>
    </row>
    <row r="642" spans="1:21" x14ac:dyDescent="0.2">
      <c r="A642" t="s">
        <v>67</v>
      </c>
      <c r="B642" t="s">
        <v>70</v>
      </c>
      <c r="C642">
        <v>27</v>
      </c>
      <c r="D642" t="s">
        <v>102</v>
      </c>
      <c r="E642" t="s">
        <v>96</v>
      </c>
      <c r="F642" t="s">
        <v>95</v>
      </c>
      <c r="G642">
        <v>9.6491228070175503E-2</v>
      </c>
      <c r="H642">
        <v>1.1639753771489901E-2</v>
      </c>
      <c r="I642">
        <v>0</v>
      </c>
      <c r="J642">
        <v>3</v>
      </c>
      <c r="K642">
        <v>0</v>
      </c>
      <c r="L642">
        <v>0</v>
      </c>
      <c r="M642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642" cm="1">
        <f t="array" ref="N642">MAX(IF((ProjectInfoTable[ProjectName]=ContinuousStatsTable[[#This Row],[ProjectName]]),(ProjectInfoTable[ProjectName]=ContinuousStatsTable[[#This Row],[ProjectName]])*ProjectInfoTable[NumberOfReplications]))</f>
        <v>30</v>
      </c>
      <c r="O642" cm="1">
        <f t="array" ref="O642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642" cm="1">
        <f t="array" ref="P642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642" cm="1">
        <f t="array" ref="Q642">MAX(IF((ProjectInfoTable[ProjectName]=ContinuousStatsTable[[#This Row],[ProjectName]]),(ProjectInfoTable[ProjectName]=ContinuousStatsTable[[#This Row],[ProjectName]])*ProjectInfoTable[ConfidenceInterval]))</f>
        <v>0.95</v>
      </c>
      <c r="R6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642" cm="1">
        <f t="array" ref="S642">MIN(IF((ContinuousStatsTable[GroupByKey]=ContinuousStatsTable[[#This Row],[GroupByKey]]),(ContinuousStatsTable[GroupByKey]=ContinuousStatsTable[[#This Row],[GroupByKey]])*ContinuousStatsTable[Average]))</f>
        <v>8.9912280701754305E-2</v>
      </c>
      <c r="T642" cm="1">
        <f t="array" ref="T642">MAX(IF((ContinuousStatsTable[GroupByKey]=ContinuousStatsTable[[#This Row],[GroupByKey]]),(ContinuousStatsTable[GroupByKey]=ContinuousStatsTable[[#This Row],[GroupByKey]])*ContinuousStatsTable[Average]))</f>
        <v>0.110964912280702</v>
      </c>
      <c r="U642">
        <f>IF((ContinuousStatsTable[[#This Row],[RepsRequested]]&gt;1),ContinuousStatsTable[[#This Row],[HalfWidth]],ContinuousStatsTable[[#This Row],[BatchMeansHalfWidth]])</f>
        <v>2.0288972945916956E-3</v>
      </c>
    </row>
    <row r="643" spans="1:21" x14ac:dyDescent="0.2">
      <c r="A643" t="s">
        <v>67</v>
      </c>
      <c r="B643" t="s">
        <v>70</v>
      </c>
      <c r="C643">
        <v>27</v>
      </c>
      <c r="D643" t="s">
        <v>102</v>
      </c>
      <c r="E643" t="s">
        <v>97</v>
      </c>
      <c r="F643" t="s">
        <v>95</v>
      </c>
      <c r="G643">
        <v>20</v>
      </c>
      <c r="H643">
        <v>2E+20</v>
      </c>
      <c r="I643">
        <v>20</v>
      </c>
      <c r="J643">
        <v>20</v>
      </c>
      <c r="K643">
        <v>20</v>
      </c>
      <c r="L643">
        <v>0</v>
      </c>
      <c r="M643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643" cm="1">
        <f t="array" ref="N643">MAX(IF((ProjectInfoTable[ProjectName]=ContinuousStatsTable[[#This Row],[ProjectName]]),(ProjectInfoTable[ProjectName]=ContinuousStatsTable[[#This Row],[ProjectName]])*ProjectInfoTable[NumberOfReplications]))</f>
        <v>30</v>
      </c>
      <c r="O643" cm="1">
        <f t="array" ref="O643">IFERROR(AVERAGE(IF((ContinuousStatsTable[GroupByKey]=ContinuousStatsTable[[#This Row],[GroupByKey]]),(ContinuousStatsTable[GroupByKey]=ContinuousStatsTable[[#This Row],[GroupByKey]])*ContinuousStatsTable[Average])),0)</f>
        <v>20</v>
      </c>
      <c r="P643" cm="1">
        <f t="array" ref="P643">IFERROR(_xlfn.STDEV.S(IF((ContinuousStatsTable[GroupByKey]=ContinuousStatsTable[[#This Row],[GroupByKey]]),(ContinuousStatsTable[GroupByKey]=ContinuousStatsTable[[#This Row],[GroupByKey]])*ContinuousStatsTable[Average])),0)</f>
        <v>0</v>
      </c>
      <c r="Q643" cm="1">
        <f t="array" ref="Q643">MAX(IF((ProjectInfoTable[ProjectName]=ContinuousStatsTable[[#This Row],[ProjectName]]),(ProjectInfoTable[ProjectName]=ContinuousStatsTable[[#This Row],[ProjectName]])*ProjectInfoTable[ConfidenceInterval]))</f>
        <v>0.95</v>
      </c>
      <c r="R6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3" cm="1">
        <f t="array" ref="S643">MIN(IF((ContinuousStatsTable[GroupByKey]=ContinuousStatsTable[[#This Row],[GroupByKey]]),(ContinuousStatsTable[GroupByKey]=ContinuousStatsTable[[#This Row],[GroupByKey]])*ContinuousStatsTable[Average]))</f>
        <v>20</v>
      </c>
      <c r="T643" cm="1">
        <f t="array" ref="T643">MAX(IF((ContinuousStatsTable[GroupByKey]=ContinuousStatsTable[[#This Row],[GroupByKey]]),(ContinuousStatsTable[GroupByKey]=ContinuousStatsTable[[#This Row],[GroupByKey]])*ContinuousStatsTable[Average]))</f>
        <v>20</v>
      </c>
      <c r="U643">
        <f>IF((ContinuousStatsTable[[#This Row],[RepsRequested]]&gt;1),ContinuousStatsTable[[#This Row],[HalfWidth]],ContinuousStatsTable[[#This Row],[BatchMeansHalfWidth]])</f>
        <v>0</v>
      </c>
    </row>
    <row r="644" spans="1:21" x14ac:dyDescent="0.2">
      <c r="A644" t="s">
        <v>67</v>
      </c>
      <c r="B644" t="s">
        <v>70</v>
      </c>
      <c r="C644">
        <v>27</v>
      </c>
      <c r="D644" t="s">
        <v>90</v>
      </c>
      <c r="E644" t="s">
        <v>98</v>
      </c>
      <c r="F644" t="s">
        <v>73</v>
      </c>
      <c r="G644">
        <v>0</v>
      </c>
      <c r="H644">
        <v>2E+20</v>
      </c>
      <c r="I644">
        <v>0</v>
      </c>
      <c r="J644">
        <v>0</v>
      </c>
      <c r="K644">
        <v>0</v>
      </c>
      <c r="L644">
        <v>0</v>
      </c>
      <c r="M644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644" cm="1">
        <f t="array" ref="N644">MAX(IF((ProjectInfoTable[ProjectName]=ContinuousStatsTable[[#This Row],[ProjectName]]),(ProjectInfoTable[ProjectName]=ContinuousStatsTable[[#This Row],[ProjectName]])*ProjectInfoTable[NumberOfReplications]))</f>
        <v>30</v>
      </c>
      <c r="O644" cm="1">
        <f t="array" ref="O644">IFERROR(AVERAGE(IF((ContinuousStatsTable[GroupByKey]=ContinuousStatsTable[[#This Row],[GroupByKey]]),(ContinuousStatsTable[GroupByKey]=ContinuousStatsTable[[#This Row],[GroupByKey]])*ContinuousStatsTable[Average])),0)</f>
        <v>0</v>
      </c>
      <c r="P644" cm="1">
        <f t="array" ref="P644">IFERROR(_xlfn.STDEV.S(IF((ContinuousStatsTable[GroupByKey]=ContinuousStatsTable[[#This Row],[GroupByKey]]),(ContinuousStatsTable[GroupByKey]=ContinuousStatsTable[[#This Row],[GroupByKey]])*ContinuousStatsTable[Average])),0)</f>
        <v>0</v>
      </c>
      <c r="Q644" cm="1">
        <f t="array" ref="Q644">MAX(IF((ProjectInfoTable[ProjectName]=ContinuousStatsTable[[#This Row],[ProjectName]]),(ProjectInfoTable[ProjectName]=ContinuousStatsTable[[#This Row],[ProjectName]])*ProjectInfoTable[ConfidenceInterval]))</f>
        <v>0.95</v>
      </c>
      <c r="R6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4" cm="1">
        <f t="array" ref="S644">MIN(IF((ContinuousStatsTable[GroupByKey]=ContinuousStatsTable[[#This Row],[GroupByKey]]),(ContinuousStatsTable[GroupByKey]=ContinuousStatsTable[[#This Row],[GroupByKey]])*ContinuousStatsTable[Average]))</f>
        <v>0</v>
      </c>
      <c r="T644" cm="1">
        <f t="array" ref="T644">MAX(IF((ContinuousStatsTable[GroupByKey]=ContinuousStatsTable[[#This Row],[GroupByKey]]),(ContinuousStatsTable[GroupByKey]=ContinuousStatsTable[[#This Row],[GroupByKey]])*ContinuousStatsTable[Average]))</f>
        <v>0</v>
      </c>
      <c r="U644">
        <f>IF((ContinuousStatsTable[[#This Row],[RepsRequested]]&gt;1),ContinuousStatsTable[[#This Row],[HalfWidth]],ContinuousStatsTable[[#This Row],[BatchMeansHalfWidth]])</f>
        <v>0</v>
      </c>
    </row>
    <row r="645" spans="1:21" x14ac:dyDescent="0.2">
      <c r="A645" t="s">
        <v>67</v>
      </c>
      <c r="B645" t="s">
        <v>70</v>
      </c>
      <c r="C645">
        <v>27</v>
      </c>
      <c r="D645" t="s">
        <v>91</v>
      </c>
      <c r="E645" t="s">
        <v>98</v>
      </c>
      <c r="F645" t="s">
        <v>73</v>
      </c>
      <c r="G645">
        <v>0</v>
      </c>
      <c r="H645">
        <v>2E+20</v>
      </c>
      <c r="I645">
        <v>0</v>
      </c>
      <c r="J645">
        <v>0</v>
      </c>
      <c r="K645">
        <v>0</v>
      </c>
      <c r="L645">
        <v>0</v>
      </c>
      <c r="M645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645" cm="1">
        <f t="array" ref="N645">MAX(IF((ProjectInfoTable[ProjectName]=ContinuousStatsTable[[#This Row],[ProjectName]]),(ProjectInfoTable[ProjectName]=ContinuousStatsTable[[#This Row],[ProjectName]])*ProjectInfoTable[NumberOfReplications]))</f>
        <v>30</v>
      </c>
      <c r="O645" cm="1">
        <f t="array" ref="O645">IFERROR(AVERAGE(IF((ContinuousStatsTable[GroupByKey]=ContinuousStatsTable[[#This Row],[GroupByKey]]),(ContinuousStatsTable[GroupByKey]=ContinuousStatsTable[[#This Row],[GroupByKey]])*ContinuousStatsTable[Average])),0)</f>
        <v>0</v>
      </c>
      <c r="P645" cm="1">
        <f t="array" ref="P645">IFERROR(_xlfn.STDEV.S(IF((ContinuousStatsTable[GroupByKey]=ContinuousStatsTable[[#This Row],[GroupByKey]]),(ContinuousStatsTable[GroupByKey]=ContinuousStatsTable[[#This Row],[GroupByKey]])*ContinuousStatsTable[Average])),0)</f>
        <v>0</v>
      </c>
      <c r="Q645" cm="1">
        <f t="array" ref="Q645">MAX(IF((ProjectInfoTable[ProjectName]=ContinuousStatsTable[[#This Row],[ProjectName]]),(ProjectInfoTable[ProjectName]=ContinuousStatsTable[[#This Row],[ProjectName]])*ProjectInfoTable[ConfidenceInterval]))</f>
        <v>0.95</v>
      </c>
      <c r="R6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5" cm="1">
        <f t="array" ref="S645">MIN(IF((ContinuousStatsTable[GroupByKey]=ContinuousStatsTable[[#This Row],[GroupByKey]]),(ContinuousStatsTable[GroupByKey]=ContinuousStatsTable[[#This Row],[GroupByKey]])*ContinuousStatsTable[Average]))</f>
        <v>0</v>
      </c>
      <c r="T645" cm="1">
        <f t="array" ref="T645">MAX(IF((ContinuousStatsTable[GroupByKey]=ContinuousStatsTable[[#This Row],[GroupByKey]]),(ContinuousStatsTable[GroupByKey]=ContinuousStatsTable[[#This Row],[GroupByKey]])*ContinuousStatsTable[Average]))</f>
        <v>0</v>
      </c>
      <c r="U645">
        <f>IF((ContinuousStatsTable[[#This Row],[RepsRequested]]&gt;1),ContinuousStatsTable[[#This Row],[HalfWidth]],ContinuousStatsTable[[#This Row],[BatchMeansHalfWidth]])</f>
        <v>0</v>
      </c>
    </row>
    <row r="646" spans="1:21" x14ac:dyDescent="0.2">
      <c r="A646" t="s">
        <v>67</v>
      </c>
      <c r="B646" t="s">
        <v>70</v>
      </c>
      <c r="C646">
        <v>27</v>
      </c>
      <c r="D646" t="s">
        <v>92</v>
      </c>
      <c r="E646" t="s">
        <v>98</v>
      </c>
      <c r="F646" t="s">
        <v>73</v>
      </c>
      <c r="G646">
        <v>0</v>
      </c>
      <c r="H646">
        <v>2E+20</v>
      </c>
      <c r="I646">
        <v>0</v>
      </c>
      <c r="J646">
        <v>0</v>
      </c>
      <c r="K646">
        <v>0</v>
      </c>
      <c r="L646">
        <v>0</v>
      </c>
      <c r="M646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646" cm="1">
        <f t="array" ref="N646">MAX(IF((ProjectInfoTable[ProjectName]=ContinuousStatsTable[[#This Row],[ProjectName]]),(ProjectInfoTable[ProjectName]=ContinuousStatsTable[[#This Row],[ProjectName]])*ProjectInfoTable[NumberOfReplications]))</f>
        <v>30</v>
      </c>
      <c r="O646" cm="1">
        <f t="array" ref="O646">IFERROR(AVERAGE(IF((ContinuousStatsTable[GroupByKey]=ContinuousStatsTable[[#This Row],[GroupByKey]]),(ContinuousStatsTable[GroupByKey]=ContinuousStatsTable[[#This Row],[GroupByKey]])*ContinuousStatsTable[Average])),0)</f>
        <v>0</v>
      </c>
      <c r="P646" cm="1">
        <f t="array" ref="P646">IFERROR(_xlfn.STDEV.S(IF((ContinuousStatsTable[GroupByKey]=ContinuousStatsTable[[#This Row],[GroupByKey]]),(ContinuousStatsTable[GroupByKey]=ContinuousStatsTable[[#This Row],[GroupByKey]])*ContinuousStatsTable[Average])),0)</f>
        <v>0</v>
      </c>
      <c r="Q646" cm="1">
        <f t="array" ref="Q646">MAX(IF((ProjectInfoTable[ProjectName]=ContinuousStatsTable[[#This Row],[ProjectName]]),(ProjectInfoTable[ProjectName]=ContinuousStatsTable[[#This Row],[ProjectName]])*ProjectInfoTable[ConfidenceInterval]))</f>
        <v>0.95</v>
      </c>
      <c r="R6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6" cm="1">
        <f t="array" ref="S646">MIN(IF((ContinuousStatsTable[GroupByKey]=ContinuousStatsTable[[#This Row],[GroupByKey]]),(ContinuousStatsTable[GroupByKey]=ContinuousStatsTable[[#This Row],[GroupByKey]])*ContinuousStatsTable[Average]))</f>
        <v>0</v>
      </c>
      <c r="T646" cm="1">
        <f t="array" ref="T646">MAX(IF((ContinuousStatsTable[GroupByKey]=ContinuousStatsTable[[#This Row],[GroupByKey]]),(ContinuousStatsTable[GroupByKey]=ContinuousStatsTable[[#This Row],[GroupByKey]])*ContinuousStatsTable[Average]))</f>
        <v>0</v>
      </c>
      <c r="U646">
        <f>IF((ContinuousStatsTable[[#This Row],[RepsRequested]]&gt;1),ContinuousStatsTable[[#This Row],[HalfWidth]],ContinuousStatsTable[[#This Row],[BatchMeansHalfWidth]])</f>
        <v>0</v>
      </c>
    </row>
    <row r="647" spans="1:21" x14ac:dyDescent="0.2">
      <c r="A647" t="s">
        <v>67</v>
      </c>
      <c r="B647" t="s">
        <v>70</v>
      </c>
      <c r="C647">
        <v>27</v>
      </c>
      <c r="D647" t="s">
        <v>103</v>
      </c>
      <c r="E647" t="s">
        <v>94</v>
      </c>
      <c r="F647" t="s">
        <v>95</v>
      </c>
      <c r="G647">
        <v>7.9005982237244601E-2</v>
      </c>
      <c r="H647">
        <v>2E+20</v>
      </c>
      <c r="I647">
        <v>0</v>
      </c>
      <c r="J647">
        <v>0.66666666666666696</v>
      </c>
      <c r="K647">
        <v>0</v>
      </c>
      <c r="L647">
        <v>0</v>
      </c>
      <c r="M647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647" cm="1">
        <f t="array" ref="N647">MAX(IF((ProjectInfoTable[ProjectName]=ContinuousStatsTable[[#This Row],[ProjectName]]),(ProjectInfoTable[ProjectName]=ContinuousStatsTable[[#This Row],[ProjectName]])*ProjectInfoTable[NumberOfReplications]))</f>
        <v>30</v>
      </c>
      <c r="O647" cm="1">
        <f t="array" ref="O647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647" cm="1">
        <f t="array" ref="P647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647" cm="1">
        <f t="array" ref="Q647">MAX(IF((ProjectInfoTable[ProjectName]=ContinuousStatsTable[[#This Row],[ProjectName]]),(ProjectInfoTable[ProjectName]=ContinuousStatsTable[[#This Row],[ProjectName]])*ProjectInfoTable[ConfidenceInterval]))</f>
        <v>0.95</v>
      </c>
      <c r="R6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647" cm="1">
        <f t="array" ref="S647">MIN(IF((ContinuousStatsTable[GroupByKey]=ContinuousStatsTable[[#This Row],[GroupByKey]]),(ContinuousStatsTable[GroupByKey]=ContinuousStatsTable[[#This Row],[GroupByKey]])*ContinuousStatsTable[Average]))</f>
        <v>7.7176470357846902E-2</v>
      </c>
      <c r="T647" cm="1">
        <f t="array" ref="T647">MAX(IF((ContinuousStatsTable[GroupByKey]=ContinuousStatsTable[[#This Row],[GroupByKey]]),(ContinuousStatsTable[GroupByKey]=ContinuousStatsTable[[#This Row],[GroupByKey]])*ContinuousStatsTable[Average]))</f>
        <v>9.2534326714405896E-2</v>
      </c>
      <c r="U647">
        <f>IF((ContinuousStatsTable[[#This Row],[RepsRequested]]&gt;1),ContinuousStatsTable[[#This Row],[HalfWidth]],ContinuousStatsTable[[#This Row],[BatchMeansHalfWidth]])</f>
        <v>1.3238327186697659E-3</v>
      </c>
    </row>
    <row r="648" spans="1:21" x14ac:dyDescent="0.2">
      <c r="A648" t="s">
        <v>67</v>
      </c>
      <c r="B648" t="s">
        <v>70</v>
      </c>
      <c r="C648">
        <v>27</v>
      </c>
      <c r="D648" t="s">
        <v>103</v>
      </c>
      <c r="E648" t="s">
        <v>96</v>
      </c>
      <c r="F648" t="s">
        <v>95</v>
      </c>
      <c r="G648">
        <v>0.23701794671173401</v>
      </c>
      <c r="H648">
        <v>2E+20</v>
      </c>
      <c r="I648">
        <v>0</v>
      </c>
      <c r="J648">
        <v>2</v>
      </c>
      <c r="K648">
        <v>0</v>
      </c>
      <c r="L648">
        <v>0</v>
      </c>
      <c r="M648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648" cm="1">
        <f t="array" ref="N648">MAX(IF((ProjectInfoTable[ProjectName]=ContinuousStatsTable[[#This Row],[ProjectName]]),(ProjectInfoTable[ProjectName]=ContinuousStatsTable[[#This Row],[ProjectName]])*ProjectInfoTable[NumberOfReplications]))</f>
        <v>30</v>
      </c>
      <c r="O648" cm="1">
        <f t="array" ref="O648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648" cm="1">
        <f t="array" ref="P648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648" cm="1">
        <f t="array" ref="Q648">MAX(IF((ProjectInfoTable[ProjectName]=ContinuousStatsTable[[#This Row],[ProjectName]]),(ProjectInfoTable[ProjectName]=ContinuousStatsTable[[#This Row],[ProjectName]])*ProjectInfoTable[ConfidenceInterval]))</f>
        <v>0.95</v>
      </c>
      <c r="R6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648" cm="1">
        <f t="array" ref="S648">MIN(IF((ContinuousStatsTable[GroupByKey]=ContinuousStatsTable[[#This Row],[GroupByKey]]),(ContinuousStatsTable[GroupByKey]=ContinuousStatsTable[[#This Row],[GroupByKey]])*ContinuousStatsTable[Average]))</f>
        <v>0.231529411073541</v>
      </c>
      <c r="T648" cm="1">
        <f t="array" ref="T648">MAX(IF((ContinuousStatsTable[GroupByKey]=ContinuousStatsTable[[#This Row],[GroupByKey]]),(ContinuousStatsTable[GroupByKey]=ContinuousStatsTable[[#This Row],[GroupByKey]])*ContinuousStatsTable[Average]))</f>
        <v>0.27760298014321699</v>
      </c>
      <c r="U648">
        <f>IF((ContinuousStatsTable[[#This Row],[RepsRequested]]&gt;1),ContinuousStatsTable[[#This Row],[HalfWidth]],ContinuousStatsTable[[#This Row],[BatchMeansHalfWidth]])</f>
        <v>3.9714981560092996E-3</v>
      </c>
    </row>
    <row r="649" spans="1:21" x14ac:dyDescent="0.2">
      <c r="A649" t="s">
        <v>67</v>
      </c>
      <c r="B649" t="s">
        <v>70</v>
      </c>
      <c r="C649">
        <v>27</v>
      </c>
      <c r="D649" t="s">
        <v>103</v>
      </c>
      <c r="E649" t="s">
        <v>97</v>
      </c>
      <c r="F649" t="s">
        <v>95</v>
      </c>
      <c r="G649">
        <v>3</v>
      </c>
      <c r="H649">
        <v>2E+20</v>
      </c>
      <c r="I649">
        <v>3</v>
      </c>
      <c r="J649">
        <v>3</v>
      </c>
      <c r="K649">
        <v>3</v>
      </c>
      <c r="L649">
        <v>0</v>
      </c>
      <c r="M649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649" cm="1">
        <f t="array" ref="N649">MAX(IF((ProjectInfoTable[ProjectName]=ContinuousStatsTable[[#This Row],[ProjectName]]),(ProjectInfoTable[ProjectName]=ContinuousStatsTable[[#This Row],[ProjectName]])*ProjectInfoTable[NumberOfReplications]))</f>
        <v>30</v>
      </c>
      <c r="O649" cm="1">
        <f t="array" ref="O649">IFERROR(AVERAGE(IF((ContinuousStatsTable[GroupByKey]=ContinuousStatsTable[[#This Row],[GroupByKey]]),(ContinuousStatsTable[GroupByKey]=ContinuousStatsTable[[#This Row],[GroupByKey]])*ContinuousStatsTable[Average])),0)</f>
        <v>3</v>
      </c>
      <c r="P649" cm="1">
        <f t="array" ref="P649">IFERROR(_xlfn.STDEV.S(IF((ContinuousStatsTable[GroupByKey]=ContinuousStatsTable[[#This Row],[GroupByKey]]),(ContinuousStatsTable[GroupByKey]=ContinuousStatsTable[[#This Row],[GroupByKey]])*ContinuousStatsTable[Average])),0)</f>
        <v>0</v>
      </c>
      <c r="Q649" cm="1">
        <f t="array" ref="Q649">MAX(IF((ProjectInfoTable[ProjectName]=ContinuousStatsTable[[#This Row],[ProjectName]]),(ProjectInfoTable[ProjectName]=ContinuousStatsTable[[#This Row],[ProjectName]])*ProjectInfoTable[ConfidenceInterval]))</f>
        <v>0.95</v>
      </c>
      <c r="R6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49" cm="1">
        <f t="array" ref="S649">MIN(IF((ContinuousStatsTable[GroupByKey]=ContinuousStatsTable[[#This Row],[GroupByKey]]),(ContinuousStatsTable[GroupByKey]=ContinuousStatsTable[[#This Row],[GroupByKey]])*ContinuousStatsTable[Average]))</f>
        <v>3</v>
      </c>
      <c r="T649" cm="1">
        <f t="array" ref="T649">MAX(IF((ContinuousStatsTable[GroupByKey]=ContinuousStatsTable[[#This Row],[GroupByKey]]),(ContinuousStatsTable[GroupByKey]=ContinuousStatsTable[[#This Row],[GroupByKey]])*ContinuousStatsTable[Average]))</f>
        <v>3</v>
      </c>
      <c r="U649">
        <f>IF((ContinuousStatsTable[[#This Row],[RepsRequested]]&gt;1),ContinuousStatsTable[[#This Row],[HalfWidth]],ContinuousStatsTable[[#This Row],[BatchMeansHalfWidth]])</f>
        <v>0</v>
      </c>
    </row>
    <row r="650" spans="1:21" x14ac:dyDescent="0.2">
      <c r="A650" t="s">
        <v>67</v>
      </c>
      <c r="B650" t="s">
        <v>70</v>
      </c>
      <c r="C650">
        <v>28</v>
      </c>
      <c r="D650" t="s">
        <v>93</v>
      </c>
      <c r="E650" t="s">
        <v>94</v>
      </c>
      <c r="F650" t="s">
        <v>95</v>
      </c>
      <c r="G650">
        <v>0.23421052631578901</v>
      </c>
      <c r="H650">
        <v>2.45850799335945E-2</v>
      </c>
      <c r="I650">
        <v>0</v>
      </c>
      <c r="J650">
        <v>1</v>
      </c>
      <c r="K650">
        <v>0</v>
      </c>
      <c r="L650">
        <v>0</v>
      </c>
      <c r="M650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650" cm="1">
        <f t="array" ref="N650">MAX(IF((ProjectInfoTable[ProjectName]=ContinuousStatsTable[[#This Row],[ProjectName]]),(ProjectInfoTable[ProjectName]=ContinuousStatsTable[[#This Row],[ProjectName]])*ProjectInfoTable[NumberOfReplications]))</f>
        <v>30</v>
      </c>
      <c r="O650" cm="1">
        <f t="array" ref="O650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650" cm="1">
        <f t="array" ref="P650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650" cm="1">
        <f t="array" ref="Q650">MAX(IF((ProjectInfoTable[ProjectName]=ContinuousStatsTable[[#This Row],[ProjectName]]),(ProjectInfoTable[ProjectName]=ContinuousStatsTable[[#This Row],[ProjectName]])*ProjectInfoTable[ConfidenceInterval]))</f>
        <v>0.95</v>
      </c>
      <c r="R6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650" cm="1">
        <f t="array" ref="S650">MIN(IF((ContinuousStatsTable[GroupByKey]=ContinuousStatsTable[[#This Row],[GroupByKey]]),(ContinuousStatsTable[GroupByKey]=ContinuousStatsTable[[#This Row],[GroupByKey]])*ContinuousStatsTable[Average]))</f>
        <v>0.233333333333333</v>
      </c>
      <c r="T650" cm="1">
        <f t="array" ref="T650">MAX(IF((ContinuousStatsTable[GroupByKey]=ContinuousStatsTable[[#This Row],[GroupByKey]]),(ContinuousStatsTable[GroupByKey]=ContinuousStatsTable[[#This Row],[GroupByKey]])*ContinuousStatsTable[Average]))</f>
        <v>0.27905535859326402</v>
      </c>
      <c r="U650">
        <f>IF((ContinuousStatsTable[[#This Row],[RepsRequested]]&gt;1),ContinuousStatsTable[[#This Row],[HalfWidth]],ContinuousStatsTable[[#This Row],[BatchMeansHalfWidth]])</f>
        <v>4.2029769261323026E-3</v>
      </c>
    </row>
    <row r="651" spans="1:21" x14ac:dyDescent="0.2">
      <c r="A651" t="s">
        <v>67</v>
      </c>
      <c r="B651" t="s">
        <v>70</v>
      </c>
      <c r="C651">
        <v>28</v>
      </c>
      <c r="D651" t="s">
        <v>93</v>
      </c>
      <c r="E651" t="s">
        <v>96</v>
      </c>
      <c r="F651" t="s">
        <v>95</v>
      </c>
      <c r="G651">
        <v>0.23421052631578901</v>
      </c>
      <c r="H651">
        <v>2.45850799335945E-2</v>
      </c>
      <c r="I651">
        <v>0</v>
      </c>
      <c r="J651">
        <v>1</v>
      </c>
      <c r="K651">
        <v>0</v>
      </c>
      <c r="L651">
        <v>0</v>
      </c>
      <c r="M651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651" cm="1">
        <f t="array" ref="N651">MAX(IF((ProjectInfoTable[ProjectName]=ContinuousStatsTable[[#This Row],[ProjectName]]),(ProjectInfoTable[ProjectName]=ContinuousStatsTable[[#This Row],[ProjectName]])*ProjectInfoTable[NumberOfReplications]))</f>
        <v>30</v>
      </c>
      <c r="O651" cm="1">
        <f t="array" ref="O651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651" cm="1">
        <f t="array" ref="P651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651" cm="1">
        <f t="array" ref="Q651">MAX(IF((ProjectInfoTable[ProjectName]=ContinuousStatsTable[[#This Row],[ProjectName]]),(ProjectInfoTable[ProjectName]=ContinuousStatsTable[[#This Row],[ProjectName]])*ProjectInfoTable[ConfidenceInterval]))</f>
        <v>0.95</v>
      </c>
      <c r="R6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651" cm="1">
        <f t="array" ref="S651">MIN(IF((ContinuousStatsTable[GroupByKey]=ContinuousStatsTable[[#This Row],[GroupByKey]]),(ContinuousStatsTable[GroupByKey]=ContinuousStatsTable[[#This Row],[GroupByKey]])*ContinuousStatsTable[Average]))</f>
        <v>0.233333333333333</v>
      </c>
      <c r="T651" cm="1">
        <f t="array" ref="T651">MAX(IF((ContinuousStatsTable[GroupByKey]=ContinuousStatsTable[[#This Row],[GroupByKey]]),(ContinuousStatsTable[GroupByKey]=ContinuousStatsTable[[#This Row],[GroupByKey]])*ContinuousStatsTable[Average]))</f>
        <v>0.27905535859326402</v>
      </c>
      <c r="U651">
        <f>IF((ContinuousStatsTable[[#This Row],[RepsRequested]]&gt;1),ContinuousStatsTable[[#This Row],[HalfWidth]],ContinuousStatsTable[[#This Row],[BatchMeansHalfWidth]])</f>
        <v>4.2029769261323026E-3</v>
      </c>
    </row>
    <row r="652" spans="1:21" x14ac:dyDescent="0.2">
      <c r="A652" t="s">
        <v>67</v>
      </c>
      <c r="B652" t="s">
        <v>70</v>
      </c>
      <c r="C652">
        <v>28</v>
      </c>
      <c r="D652" t="s">
        <v>93</v>
      </c>
      <c r="E652" t="s">
        <v>97</v>
      </c>
      <c r="F652" t="s">
        <v>95</v>
      </c>
      <c r="G652">
        <v>1</v>
      </c>
      <c r="H652">
        <v>2E+20</v>
      </c>
      <c r="I652">
        <v>1</v>
      </c>
      <c r="J652">
        <v>1</v>
      </c>
      <c r="K652">
        <v>1</v>
      </c>
      <c r="L652">
        <v>0</v>
      </c>
      <c r="M652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652" cm="1">
        <f t="array" ref="N652">MAX(IF((ProjectInfoTable[ProjectName]=ContinuousStatsTable[[#This Row],[ProjectName]]),(ProjectInfoTable[ProjectName]=ContinuousStatsTable[[#This Row],[ProjectName]])*ProjectInfoTable[NumberOfReplications]))</f>
        <v>30</v>
      </c>
      <c r="O652" cm="1">
        <f t="array" ref="O652">IFERROR(AVERAGE(IF((ContinuousStatsTable[GroupByKey]=ContinuousStatsTable[[#This Row],[GroupByKey]]),(ContinuousStatsTable[GroupByKey]=ContinuousStatsTable[[#This Row],[GroupByKey]])*ContinuousStatsTable[Average])),0)</f>
        <v>1</v>
      </c>
      <c r="P652" cm="1">
        <f t="array" ref="P652">IFERROR(_xlfn.STDEV.S(IF((ContinuousStatsTable[GroupByKey]=ContinuousStatsTable[[#This Row],[GroupByKey]]),(ContinuousStatsTable[GroupByKey]=ContinuousStatsTable[[#This Row],[GroupByKey]])*ContinuousStatsTable[Average])),0)</f>
        <v>0</v>
      </c>
      <c r="Q652" cm="1">
        <f t="array" ref="Q652">MAX(IF((ProjectInfoTable[ProjectName]=ContinuousStatsTable[[#This Row],[ProjectName]]),(ProjectInfoTable[ProjectName]=ContinuousStatsTable[[#This Row],[ProjectName]])*ProjectInfoTable[ConfidenceInterval]))</f>
        <v>0.95</v>
      </c>
      <c r="R6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2" cm="1">
        <f t="array" ref="S652">MIN(IF((ContinuousStatsTable[GroupByKey]=ContinuousStatsTable[[#This Row],[GroupByKey]]),(ContinuousStatsTable[GroupByKey]=ContinuousStatsTable[[#This Row],[GroupByKey]])*ContinuousStatsTable[Average]))</f>
        <v>1</v>
      </c>
      <c r="T652" cm="1">
        <f t="array" ref="T652">MAX(IF((ContinuousStatsTable[GroupByKey]=ContinuousStatsTable[[#This Row],[GroupByKey]]),(ContinuousStatsTable[GroupByKey]=ContinuousStatsTable[[#This Row],[GroupByKey]])*ContinuousStatsTable[Average]))</f>
        <v>1</v>
      </c>
      <c r="U652">
        <f>IF((ContinuousStatsTable[[#This Row],[RepsRequested]]&gt;1),ContinuousStatsTable[[#This Row],[HalfWidth]],ContinuousStatsTable[[#This Row],[BatchMeansHalfWidth]])</f>
        <v>0</v>
      </c>
    </row>
    <row r="653" spans="1:21" x14ac:dyDescent="0.2">
      <c r="A653" t="s">
        <v>67</v>
      </c>
      <c r="B653" t="s">
        <v>70</v>
      </c>
      <c r="C653">
        <v>28</v>
      </c>
      <c r="D653" t="s">
        <v>71</v>
      </c>
      <c r="E653" t="s">
        <v>98</v>
      </c>
      <c r="F653" t="s">
        <v>73</v>
      </c>
      <c r="G653">
        <v>2.9080442346932401E-2</v>
      </c>
      <c r="H653">
        <v>2E+20</v>
      </c>
      <c r="I653">
        <v>0</v>
      </c>
      <c r="J653">
        <v>2</v>
      </c>
      <c r="K653">
        <v>0</v>
      </c>
      <c r="L653">
        <v>0</v>
      </c>
      <c r="M653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653" cm="1">
        <f t="array" ref="N653">MAX(IF((ProjectInfoTable[ProjectName]=ContinuousStatsTable[[#This Row],[ProjectName]]),(ProjectInfoTable[ProjectName]=ContinuousStatsTable[[#This Row],[ProjectName]])*ProjectInfoTable[NumberOfReplications]))</f>
        <v>30</v>
      </c>
      <c r="O653" cm="1">
        <f t="array" ref="O653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653" cm="1">
        <f t="array" ref="P653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653" cm="1">
        <f t="array" ref="Q653">MAX(IF((ProjectInfoTable[ProjectName]=ContinuousStatsTable[[#This Row],[ProjectName]]),(ProjectInfoTable[ProjectName]=ContinuousStatsTable[[#This Row],[ProjectName]])*ProjectInfoTable[ConfidenceInterval]))</f>
        <v>0.95</v>
      </c>
      <c r="R6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653" cm="1">
        <f t="array" ref="S653">MIN(IF((ContinuousStatsTable[GroupByKey]=ContinuousStatsTable[[#This Row],[GroupByKey]]),(ContinuousStatsTable[GroupByKey]=ContinuousStatsTable[[#This Row],[GroupByKey]])*ContinuousStatsTable[Average]))</f>
        <v>1.9664517785186901E-2</v>
      </c>
      <c r="T653" cm="1">
        <f t="array" ref="T653">MAX(IF((ContinuousStatsTable[GroupByKey]=ContinuousStatsTable[[#This Row],[GroupByKey]]),(ContinuousStatsTable[GroupByKey]=ContinuousStatsTable[[#This Row],[GroupByKey]])*ContinuousStatsTable[Average]))</f>
        <v>3.9738966906982302E-2</v>
      </c>
      <c r="U653">
        <f>IF((ContinuousStatsTable[[#This Row],[RepsRequested]]&gt;1),ContinuousStatsTable[[#This Row],[HalfWidth]],ContinuousStatsTable[[#This Row],[BatchMeansHalfWidth]])</f>
        <v>1.6627262085570247E-3</v>
      </c>
    </row>
    <row r="654" spans="1:21" x14ac:dyDescent="0.2">
      <c r="A654" t="s">
        <v>67</v>
      </c>
      <c r="B654" t="s">
        <v>70</v>
      </c>
      <c r="C654">
        <v>28</v>
      </c>
      <c r="D654" t="s">
        <v>99</v>
      </c>
      <c r="E654" t="s">
        <v>94</v>
      </c>
      <c r="F654" t="s">
        <v>95</v>
      </c>
      <c r="G654">
        <v>0.58467229634543605</v>
      </c>
      <c r="H654">
        <v>2E+20</v>
      </c>
      <c r="I654">
        <v>0</v>
      </c>
      <c r="J654">
        <v>1</v>
      </c>
      <c r="K654">
        <v>1</v>
      </c>
      <c r="L654">
        <v>0</v>
      </c>
      <c r="M654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654" cm="1">
        <f t="array" ref="N654">MAX(IF((ProjectInfoTable[ProjectName]=ContinuousStatsTable[[#This Row],[ProjectName]]),(ProjectInfoTable[ProjectName]=ContinuousStatsTable[[#This Row],[ProjectName]])*ProjectInfoTable[NumberOfReplications]))</f>
        <v>30</v>
      </c>
      <c r="O654" cm="1">
        <f t="array" ref="O654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654" cm="1">
        <f t="array" ref="P654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654" cm="1">
        <f t="array" ref="Q654">MAX(IF((ProjectInfoTable[ProjectName]=ContinuousStatsTable[[#This Row],[ProjectName]]),(ProjectInfoTable[ProjectName]=ContinuousStatsTable[[#This Row],[ProjectName]])*ProjectInfoTable[ConfidenceInterval]))</f>
        <v>0.95</v>
      </c>
      <c r="R6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654" cm="1">
        <f t="array" ref="S654">MIN(IF((ContinuousStatsTable[GroupByKey]=ContinuousStatsTable[[#This Row],[GroupByKey]]),(ContinuousStatsTable[GroupByKey]=ContinuousStatsTable[[#This Row],[GroupByKey]])*ContinuousStatsTable[Average]))</f>
        <v>0.58256422876290004</v>
      </c>
      <c r="T654" cm="1">
        <f t="array" ref="T654">MAX(IF((ContinuousStatsTable[GroupByKey]=ContinuousStatsTable[[#This Row],[GroupByKey]]),(ContinuousStatsTable[GroupByKey]=ContinuousStatsTable[[#This Row],[GroupByKey]])*ContinuousStatsTable[Average]))</f>
        <v>0.68643238055161704</v>
      </c>
      <c r="U654">
        <f>IF((ContinuousStatsTable[[#This Row],[RepsRequested]]&gt;1),ContinuousStatsTable[[#This Row],[HalfWidth]],ContinuousStatsTable[[#This Row],[BatchMeansHalfWidth]])</f>
        <v>9.8490003000806757E-3</v>
      </c>
    </row>
    <row r="655" spans="1:21" x14ac:dyDescent="0.2">
      <c r="A655" t="s">
        <v>67</v>
      </c>
      <c r="B655" t="s">
        <v>70</v>
      </c>
      <c r="C655">
        <v>28</v>
      </c>
      <c r="D655" t="s">
        <v>99</v>
      </c>
      <c r="E655" t="s">
        <v>96</v>
      </c>
      <c r="F655" t="s">
        <v>95</v>
      </c>
      <c r="G655">
        <v>1.1693445926908701</v>
      </c>
      <c r="H655">
        <v>2E+20</v>
      </c>
      <c r="I655">
        <v>0</v>
      </c>
      <c r="J655">
        <v>2</v>
      </c>
      <c r="K655">
        <v>2</v>
      </c>
      <c r="L655">
        <v>0</v>
      </c>
      <c r="M655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655" cm="1">
        <f t="array" ref="N655">MAX(IF((ProjectInfoTable[ProjectName]=ContinuousStatsTable[[#This Row],[ProjectName]]),(ProjectInfoTable[ProjectName]=ContinuousStatsTable[[#This Row],[ProjectName]])*ProjectInfoTable[NumberOfReplications]))</f>
        <v>30</v>
      </c>
      <c r="O655" cm="1">
        <f t="array" ref="O655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655" cm="1">
        <f t="array" ref="P655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655" cm="1">
        <f t="array" ref="Q655">MAX(IF((ProjectInfoTable[ProjectName]=ContinuousStatsTable[[#This Row],[ProjectName]]),(ProjectInfoTable[ProjectName]=ContinuousStatsTable[[#This Row],[ProjectName]])*ProjectInfoTable[ConfidenceInterval]))</f>
        <v>0.95</v>
      </c>
      <c r="R6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655" cm="1">
        <f t="array" ref="S655">MIN(IF((ContinuousStatsTable[GroupByKey]=ContinuousStatsTable[[#This Row],[GroupByKey]]),(ContinuousStatsTable[GroupByKey]=ContinuousStatsTable[[#This Row],[GroupByKey]])*ContinuousStatsTable[Average]))</f>
        <v>1.1651284575258001</v>
      </c>
      <c r="T655" cm="1">
        <f t="array" ref="T655">MAX(IF((ContinuousStatsTable[GroupByKey]=ContinuousStatsTable[[#This Row],[GroupByKey]]),(ContinuousStatsTable[GroupByKey]=ContinuousStatsTable[[#This Row],[GroupByKey]])*ContinuousStatsTable[Average]))</f>
        <v>1.3728647611032301</v>
      </c>
      <c r="U655">
        <f>IF((ContinuousStatsTable[[#This Row],[RepsRequested]]&gt;1),ContinuousStatsTable[[#This Row],[HalfWidth]],ContinuousStatsTable[[#This Row],[BatchMeansHalfWidth]])</f>
        <v>1.9698000600160998E-2</v>
      </c>
    </row>
    <row r="656" spans="1:21" x14ac:dyDescent="0.2">
      <c r="A656" t="s">
        <v>67</v>
      </c>
      <c r="B656" t="s">
        <v>70</v>
      </c>
      <c r="C656">
        <v>28</v>
      </c>
      <c r="D656" t="s">
        <v>99</v>
      </c>
      <c r="E656" t="s">
        <v>97</v>
      </c>
      <c r="F656" t="s">
        <v>95</v>
      </c>
      <c r="G656">
        <v>2</v>
      </c>
      <c r="H656">
        <v>2E+20</v>
      </c>
      <c r="I656">
        <v>2</v>
      </c>
      <c r="J656">
        <v>2</v>
      </c>
      <c r="K656">
        <v>2</v>
      </c>
      <c r="L656">
        <v>0</v>
      </c>
      <c r="M656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656" cm="1">
        <f t="array" ref="N656">MAX(IF((ProjectInfoTable[ProjectName]=ContinuousStatsTable[[#This Row],[ProjectName]]),(ProjectInfoTable[ProjectName]=ContinuousStatsTable[[#This Row],[ProjectName]])*ProjectInfoTable[NumberOfReplications]))</f>
        <v>30</v>
      </c>
      <c r="O656" cm="1">
        <f t="array" ref="O656">IFERROR(AVERAGE(IF((ContinuousStatsTable[GroupByKey]=ContinuousStatsTable[[#This Row],[GroupByKey]]),(ContinuousStatsTable[GroupByKey]=ContinuousStatsTable[[#This Row],[GroupByKey]])*ContinuousStatsTable[Average])),0)</f>
        <v>2</v>
      </c>
      <c r="P656" cm="1">
        <f t="array" ref="P656">IFERROR(_xlfn.STDEV.S(IF((ContinuousStatsTable[GroupByKey]=ContinuousStatsTable[[#This Row],[GroupByKey]]),(ContinuousStatsTable[GroupByKey]=ContinuousStatsTable[[#This Row],[GroupByKey]])*ContinuousStatsTable[Average])),0)</f>
        <v>0</v>
      </c>
      <c r="Q656" cm="1">
        <f t="array" ref="Q656">MAX(IF((ProjectInfoTable[ProjectName]=ContinuousStatsTable[[#This Row],[ProjectName]]),(ProjectInfoTable[ProjectName]=ContinuousStatsTable[[#This Row],[ProjectName]])*ProjectInfoTable[ConfidenceInterval]))</f>
        <v>0.95</v>
      </c>
      <c r="R6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6" cm="1">
        <f t="array" ref="S656">MIN(IF((ContinuousStatsTable[GroupByKey]=ContinuousStatsTable[[#This Row],[GroupByKey]]),(ContinuousStatsTable[GroupByKey]=ContinuousStatsTable[[#This Row],[GroupByKey]])*ContinuousStatsTable[Average]))</f>
        <v>2</v>
      </c>
      <c r="T656" cm="1">
        <f t="array" ref="T656">MAX(IF((ContinuousStatsTable[GroupByKey]=ContinuousStatsTable[[#This Row],[GroupByKey]]),(ContinuousStatsTable[GroupByKey]=ContinuousStatsTable[[#This Row],[GroupByKey]])*ContinuousStatsTable[Average]))</f>
        <v>2</v>
      </c>
      <c r="U656">
        <f>IF((ContinuousStatsTable[[#This Row],[RepsRequested]]&gt;1),ContinuousStatsTable[[#This Row],[HalfWidth]],ContinuousStatsTable[[#This Row],[BatchMeansHalfWidth]])</f>
        <v>0</v>
      </c>
    </row>
    <row r="657" spans="1:21" x14ac:dyDescent="0.2">
      <c r="A657" t="s">
        <v>67</v>
      </c>
      <c r="B657" t="s">
        <v>70</v>
      </c>
      <c r="C657">
        <v>28</v>
      </c>
      <c r="D657" t="s">
        <v>74</v>
      </c>
      <c r="E657" t="s">
        <v>100</v>
      </c>
      <c r="F657" t="s">
        <v>76</v>
      </c>
      <c r="G657">
        <v>14.691213581114599</v>
      </c>
      <c r="H657">
        <v>1.07135972216078</v>
      </c>
      <c r="I657">
        <v>2</v>
      </c>
      <c r="J657">
        <v>35</v>
      </c>
      <c r="K657">
        <v>14</v>
      </c>
      <c r="L657">
        <v>0</v>
      </c>
      <c r="M6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57" cm="1">
        <f t="array" ref="N657">MAX(IF((ProjectInfoTable[ProjectName]=ContinuousStatsTable[[#This Row],[ProjectName]]),(ProjectInfoTable[ProjectName]=ContinuousStatsTable[[#This Row],[ProjectName]])*ProjectInfoTable[NumberOfReplications]))</f>
        <v>30</v>
      </c>
      <c r="O657" cm="1">
        <f t="array" ref="O657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657" cm="1">
        <f t="array" ref="P657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657" cm="1">
        <f t="array" ref="Q657">MAX(IF((ProjectInfoTable[ProjectName]=ContinuousStatsTable[[#This Row],[ProjectName]]),(ProjectInfoTable[ProjectName]=ContinuousStatsTable[[#This Row],[ProjectName]])*ProjectInfoTable[ConfidenceInterval]))</f>
        <v>0.95</v>
      </c>
      <c r="R6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657" cm="1">
        <f t="array" ref="S657">MIN(IF((ContinuousStatsTable[GroupByKey]=ContinuousStatsTable[[#This Row],[GroupByKey]]),(ContinuousStatsTable[GroupByKey]=ContinuousStatsTable[[#This Row],[GroupByKey]])*ContinuousStatsTable[Average]))</f>
        <v>14.4112589759764</v>
      </c>
      <c r="T657" cm="1">
        <f t="array" ref="T657">MAX(IF((ContinuousStatsTable[GroupByKey]=ContinuousStatsTable[[#This Row],[GroupByKey]]),(ContinuousStatsTable[GroupByKey]=ContinuousStatsTable[[#This Row],[GroupByKey]])*ContinuousStatsTable[Average]))</f>
        <v>16.972707717517899</v>
      </c>
      <c r="U657">
        <f>IF((ContinuousStatsTable[[#This Row],[RepsRequested]]&gt;1),ContinuousStatsTable[[#This Row],[HalfWidth]],ContinuousStatsTable[[#This Row],[BatchMeansHalfWidth]])</f>
        <v>0.25870181881670146</v>
      </c>
    </row>
    <row r="658" spans="1:21" x14ac:dyDescent="0.2">
      <c r="A658" t="s">
        <v>67</v>
      </c>
      <c r="B658" t="s">
        <v>70</v>
      </c>
      <c r="C658">
        <v>28</v>
      </c>
      <c r="D658" t="s">
        <v>82</v>
      </c>
      <c r="E658" t="s">
        <v>98</v>
      </c>
      <c r="F658" t="s">
        <v>73</v>
      </c>
      <c r="G658">
        <v>0.14951431917649499</v>
      </c>
      <c r="H658">
        <v>2E+20</v>
      </c>
      <c r="I658">
        <v>0</v>
      </c>
      <c r="J658">
        <v>4</v>
      </c>
      <c r="K658">
        <v>0</v>
      </c>
      <c r="L658">
        <v>0</v>
      </c>
      <c r="M658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658" cm="1">
        <f t="array" ref="N658">MAX(IF((ProjectInfoTable[ProjectName]=ContinuousStatsTable[[#This Row],[ProjectName]]),(ProjectInfoTable[ProjectName]=ContinuousStatsTable[[#This Row],[ProjectName]])*ProjectInfoTable[NumberOfReplications]))</f>
        <v>30</v>
      </c>
      <c r="O658" cm="1">
        <f t="array" ref="O658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658" cm="1">
        <f t="array" ref="P658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658" cm="1">
        <f t="array" ref="Q658">MAX(IF((ProjectInfoTable[ProjectName]=ContinuousStatsTable[[#This Row],[ProjectName]]),(ProjectInfoTable[ProjectName]=ContinuousStatsTable[[#This Row],[ProjectName]])*ProjectInfoTable[ConfidenceInterval]))</f>
        <v>0.95</v>
      </c>
      <c r="R6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658" cm="1">
        <f t="array" ref="S658">MIN(IF((ContinuousStatsTable[GroupByKey]=ContinuousStatsTable[[#This Row],[GroupByKey]]),(ContinuousStatsTable[GroupByKey]=ContinuousStatsTable[[#This Row],[GroupByKey]])*ContinuousStatsTable[Average]))</f>
        <v>7.4406608295854798E-2</v>
      </c>
      <c r="T658" cm="1">
        <f t="array" ref="T658">MAX(IF((ContinuousStatsTable[GroupByKey]=ContinuousStatsTable[[#This Row],[GroupByKey]]),(ContinuousStatsTable[GroupByKey]=ContinuousStatsTable[[#This Row],[GroupByKey]])*ContinuousStatsTable[Average]))</f>
        <v>0.29874320707386398</v>
      </c>
      <c r="U658">
        <f>IF((ContinuousStatsTable[[#This Row],[RepsRequested]]&gt;1),ContinuousStatsTable[[#This Row],[HalfWidth]],ContinuousStatsTable[[#This Row],[BatchMeansHalfWidth]])</f>
        <v>2.0058204231149332E-2</v>
      </c>
    </row>
    <row r="659" spans="1:21" x14ac:dyDescent="0.2">
      <c r="A659" t="s">
        <v>67</v>
      </c>
      <c r="B659" t="s">
        <v>70</v>
      </c>
      <c r="C659">
        <v>28</v>
      </c>
      <c r="D659" t="s">
        <v>101</v>
      </c>
      <c r="E659" t="s">
        <v>94</v>
      </c>
      <c r="F659" t="s">
        <v>95</v>
      </c>
      <c r="G659">
        <v>1.7214912280701801E-3</v>
      </c>
      <c r="H659">
        <v>2.02369818332668E-4</v>
      </c>
      <c r="I659">
        <v>0</v>
      </c>
      <c r="J659">
        <v>3.7499999999999999E-2</v>
      </c>
      <c r="K659">
        <v>0</v>
      </c>
      <c r="L659">
        <v>0</v>
      </c>
      <c r="M659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659" cm="1">
        <f t="array" ref="N659">MAX(IF((ProjectInfoTable[ProjectName]=ContinuousStatsTable[[#This Row],[ProjectName]]),(ProjectInfoTable[ProjectName]=ContinuousStatsTable[[#This Row],[ProjectName]])*ProjectInfoTable[NumberOfReplications]))</f>
        <v>30</v>
      </c>
      <c r="O659" cm="1">
        <f t="array" ref="O659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659" cm="1">
        <f t="array" ref="P659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659" cm="1">
        <f t="array" ref="Q659">MAX(IF((ProjectInfoTable[ProjectName]=ContinuousStatsTable[[#This Row],[ProjectName]]),(ProjectInfoTable[ProjectName]=ContinuousStatsTable[[#This Row],[ProjectName]])*ProjectInfoTable[ConfidenceInterval]))</f>
        <v>0.95</v>
      </c>
      <c r="R6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659" cm="1">
        <f t="array" ref="S659">MIN(IF((ContinuousStatsTable[GroupByKey]=ContinuousStatsTable[[#This Row],[GroupByKey]]),(ContinuousStatsTable[GroupByKey]=ContinuousStatsTable[[#This Row],[GroupByKey]])*ContinuousStatsTable[Average]))</f>
        <v>1.70504385964912E-3</v>
      </c>
      <c r="T659" cm="1">
        <f t="array" ref="T659">MAX(IF((ContinuousStatsTable[GroupByKey]=ContinuousStatsTable[[#This Row],[GroupByKey]]),(ContinuousStatsTable[GroupByKey]=ContinuousStatsTable[[#This Row],[GroupByKey]])*ContinuousStatsTable[Average]))</f>
        <v>2.17031677925951E-3</v>
      </c>
      <c r="U659">
        <f>IF((ContinuousStatsTable[[#This Row],[RepsRequested]]&gt;1),ContinuousStatsTable[[#This Row],[HalfWidth]],ContinuousStatsTable[[#This Row],[BatchMeansHalfWidth]])</f>
        <v>4.4865881583116605E-5</v>
      </c>
    </row>
    <row r="660" spans="1:21" x14ac:dyDescent="0.2">
      <c r="A660" t="s">
        <v>67</v>
      </c>
      <c r="B660" t="s">
        <v>70</v>
      </c>
      <c r="C660">
        <v>28</v>
      </c>
      <c r="D660" t="s">
        <v>101</v>
      </c>
      <c r="E660" t="s">
        <v>96</v>
      </c>
      <c r="F660" t="s">
        <v>95</v>
      </c>
      <c r="G660">
        <v>0.13771929824561399</v>
      </c>
      <c r="H660">
        <v>1.61895854666134E-2</v>
      </c>
      <c r="I660">
        <v>0</v>
      </c>
      <c r="J660">
        <v>3</v>
      </c>
      <c r="K660">
        <v>0</v>
      </c>
      <c r="L660">
        <v>0</v>
      </c>
      <c r="M660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660" cm="1">
        <f t="array" ref="N660">MAX(IF((ProjectInfoTable[ProjectName]=ContinuousStatsTable[[#This Row],[ProjectName]]),(ProjectInfoTable[ProjectName]=ContinuousStatsTable[[#This Row],[ProjectName]])*ProjectInfoTable[NumberOfReplications]))</f>
        <v>30</v>
      </c>
      <c r="O660" cm="1">
        <f t="array" ref="O660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660" cm="1">
        <f t="array" ref="P660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660" cm="1">
        <f t="array" ref="Q660">MAX(IF((ProjectInfoTable[ProjectName]=ContinuousStatsTable[[#This Row],[ProjectName]]),(ProjectInfoTable[ProjectName]=ContinuousStatsTable[[#This Row],[ProjectName]])*ProjectInfoTable[ConfidenceInterval]))</f>
        <v>0.95</v>
      </c>
      <c r="R6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660" cm="1">
        <f t="array" ref="S660">MIN(IF((ContinuousStatsTable[GroupByKey]=ContinuousStatsTable[[#This Row],[GroupByKey]]),(ContinuousStatsTable[GroupByKey]=ContinuousStatsTable[[#This Row],[GroupByKey]])*ContinuousStatsTable[Average]))</f>
        <v>0.13640350877193</v>
      </c>
      <c r="T660" cm="1">
        <f t="array" ref="T660">MAX(IF((ContinuousStatsTable[GroupByKey]=ContinuousStatsTable[[#This Row],[GroupByKey]]),(ContinuousStatsTable[GroupByKey]=ContinuousStatsTable[[#This Row],[GroupByKey]])*ContinuousStatsTable[Average]))</f>
        <v>0.17362534234076099</v>
      </c>
      <c r="U660">
        <f>IF((ContinuousStatsTable[[#This Row],[RepsRequested]]&gt;1),ContinuousStatsTable[[#This Row],[HalfWidth]],ContinuousStatsTable[[#This Row],[BatchMeansHalfWidth]])</f>
        <v>3.5892705266493139E-3</v>
      </c>
    </row>
    <row r="661" spans="1:21" x14ac:dyDescent="0.2">
      <c r="A661" t="s">
        <v>67</v>
      </c>
      <c r="B661" t="s">
        <v>70</v>
      </c>
      <c r="C661">
        <v>28</v>
      </c>
      <c r="D661" t="s">
        <v>101</v>
      </c>
      <c r="E661" t="s">
        <v>97</v>
      </c>
      <c r="F661" t="s">
        <v>95</v>
      </c>
      <c r="G661">
        <v>80</v>
      </c>
      <c r="H661">
        <v>2E+20</v>
      </c>
      <c r="I661">
        <v>80</v>
      </c>
      <c r="J661">
        <v>80</v>
      </c>
      <c r="K661">
        <v>80</v>
      </c>
      <c r="L661">
        <v>0</v>
      </c>
      <c r="M661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661" cm="1">
        <f t="array" ref="N661">MAX(IF((ProjectInfoTable[ProjectName]=ContinuousStatsTable[[#This Row],[ProjectName]]),(ProjectInfoTable[ProjectName]=ContinuousStatsTable[[#This Row],[ProjectName]])*ProjectInfoTable[NumberOfReplications]))</f>
        <v>30</v>
      </c>
      <c r="O661" cm="1">
        <f t="array" ref="O661">IFERROR(AVERAGE(IF((ContinuousStatsTable[GroupByKey]=ContinuousStatsTable[[#This Row],[GroupByKey]]),(ContinuousStatsTable[GroupByKey]=ContinuousStatsTable[[#This Row],[GroupByKey]])*ContinuousStatsTable[Average])),0)</f>
        <v>80</v>
      </c>
      <c r="P661" cm="1">
        <f t="array" ref="P661">IFERROR(_xlfn.STDEV.S(IF((ContinuousStatsTable[GroupByKey]=ContinuousStatsTable[[#This Row],[GroupByKey]]),(ContinuousStatsTable[GroupByKey]=ContinuousStatsTable[[#This Row],[GroupByKey]])*ContinuousStatsTable[Average])),0)</f>
        <v>0</v>
      </c>
      <c r="Q661" cm="1">
        <f t="array" ref="Q661">MAX(IF((ProjectInfoTable[ProjectName]=ContinuousStatsTable[[#This Row],[ProjectName]]),(ProjectInfoTable[ProjectName]=ContinuousStatsTable[[#This Row],[ProjectName]])*ProjectInfoTable[ConfidenceInterval]))</f>
        <v>0.95</v>
      </c>
      <c r="R6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1" cm="1">
        <f t="array" ref="S661">MIN(IF((ContinuousStatsTable[GroupByKey]=ContinuousStatsTable[[#This Row],[GroupByKey]]),(ContinuousStatsTable[GroupByKey]=ContinuousStatsTable[[#This Row],[GroupByKey]])*ContinuousStatsTable[Average]))</f>
        <v>80</v>
      </c>
      <c r="T661" cm="1">
        <f t="array" ref="T661">MAX(IF((ContinuousStatsTable[GroupByKey]=ContinuousStatsTable[[#This Row],[GroupByKey]]),(ContinuousStatsTable[GroupByKey]=ContinuousStatsTable[[#This Row],[GroupByKey]])*ContinuousStatsTable[Average]))</f>
        <v>80</v>
      </c>
      <c r="U661">
        <f>IF((ContinuousStatsTable[[#This Row],[RepsRequested]]&gt;1),ContinuousStatsTable[[#This Row],[HalfWidth]],ContinuousStatsTable[[#This Row],[BatchMeansHalfWidth]])</f>
        <v>0</v>
      </c>
    </row>
    <row r="662" spans="1:21" x14ac:dyDescent="0.2">
      <c r="A662" t="s">
        <v>67</v>
      </c>
      <c r="B662" t="s">
        <v>70</v>
      </c>
      <c r="C662">
        <v>28</v>
      </c>
      <c r="D662" t="s">
        <v>86</v>
      </c>
      <c r="E662" t="s">
        <v>98</v>
      </c>
      <c r="F662" t="s">
        <v>73</v>
      </c>
      <c r="G662">
        <v>0</v>
      </c>
      <c r="H662">
        <v>2E+20</v>
      </c>
      <c r="I662">
        <v>0</v>
      </c>
      <c r="J662">
        <v>0</v>
      </c>
      <c r="K662">
        <v>0</v>
      </c>
      <c r="L662">
        <v>0</v>
      </c>
      <c r="M662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662" cm="1">
        <f t="array" ref="N662">MAX(IF((ProjectInfoTable[ProjectName]=ContinuousStatsTable[[#This Row],[ProjectName]]),(ProjectInfoTable[ProjectName]=ContinuousStatsTable[[#This Row],[ProjectName]])*ProjectInfoTable[NumberOfReplications]))</f>
        <v>30</v>
      </c>
      <c r="O662" cm="1">
        <f t="array" ref="O662">IFERROR(AVERAGE(IF((ContinuousStatsTable[GroupByKey]=ContinuousStatsTable[[#This Row],[GroupByKey]]),(ContinuousStatsTable[GroupByKey]=ContinuousStatsTable[[#This Row],[GroupByKey]])*ContinuousStatsTable[Average])),0)</f>
        <v>0</v>
      </c>
      <c r="P662" cm="1">
        <f t="array" ref="P662">IFERROR(_xlfn.STDEV.S(IF((ContinuousStatsTable[GroupByKey]=ContinuousStatsTable[[#This Row],[GroupByKey]]),(ContinuousStatsTable[GroupByKey]=ContinuousStatsTable[[#This Row],[GroupByKey]])*ContinuousStatsTable[Average])),0)</f>
        <v>0</v>
      </c>
      <c r="Q662" cm="1">
        <f t="array" ref="Q662">MAX(IF((ProjectInfoTable[ProjectName]=ContinuousStatsTable[[#This Row],[ProjectName]]),(ProjectInfoTable[ProjectName]=ContinuousStatsTable[[#This Row],[ProjectName]])*ProjectInfoTable[ConfidenceInterval]))</f>
        <v>0.95</v>
      </c>
      <c r="R6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2" cm="1">
        <f t="array" ref="S662">MIN(IF((ContinuousStatsTable[GroupByKey]=ContinuousStatsTable[[#This Row],[GroupByKey]]),(ContinuousStatsTable[GroupByKey]=ContinuousStatsTable[[#This Row],[GroupByKey]])*ContinuousStatsTable[Average]))</f>
        <v>0</v>
      </c>
      <c r="T662" cm="1">
        <f t="array" ref="T662">MAX(IF((ContinuousStatsTable[GroupByKey]=ContinuousStatsTable[[#This Row],[GroupByKey]]),(ContinuousStatsTable[GroupByKey]=ContinuousStatsTable[[#This Row],[GroupByKey]])*ContinuousStatsTable[Average]))</f>
        <v>0</v>
      </c>
      <c r="U662">
        <f>IF((ContinuousStatsTable[[#This Row],[RepsRequested]]&gt;1),ContinuousStatsTable[[#This Row],[HalfWidth]],ContinuousStatsTable[[#This Row],[BatchMeansHalfWidth]])</f>
        <v>0</v>
      </c>
    </row>
    <row r="663" spans="1:21" x14ac:dyDescent="0.2">
      <c r="A663" t="s">
        <v>67</v>
      </c>
      <c r="B663" t="s">
        <v>70</v>
      </c>
      <c r="C663">
        <v>28</v>
      </c>
      <c r="D663" t="s">
        <v>87</v>
      </c>
      <c r="E663" t="s">
        <v>98</v>
      </c>
      <c r="F663" t="s">
        <v>73</v>
      </c>
      <c r="G663">
        <v>0</v>
      </c>
      <c r="H663">
        <v>2E+20</v>
      </c>
      <c r="I663">
        <v>0</v>
      </c>
      <c r="J663">
        <v>0</v>
      </c>
      <c r="K663">
        <v>0</v>
      </c>
      <c r="L663">
        <v>0</v>
      </c>
      <c r="M663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663" cm="1">
        <f t="array" ref="N663">MAX(IF((ProjectInfoTable[ProjectName]=ContinuousStatsTable[[#This Row],[ProjectName]]),(ProjectInfoTable[ProjectName]=ContinuousStatsTable[[#This Row],[ProjectName]])*ProjectInfoTable[NumberOfReplications]))</f>
        <v>30</v>
      </c>
      <c r="O663" cm="1">
        <f t="array" ref="O663">IFERROR(AVERAGE(IF((ContinuousStatsTable[GroupByKey]=ContinuousStatsTable[[#This Row],[GroupByKey]]),(ContinuousStatsTable[GroupByKey]=ContinuousStatsTable[[#This Row],[GroupByKey]])*ContinuousStatsTable[Average])),0)</f>
        <v>0</v>
      </c>
      <c r="P663" cm="1">
        <f t="array" ref="P663">IFERROR(_xlfn.STDEV.S(IF((ContinuousStatsTable[GroupByKey]=ContinuousStatsTable[[#This Row],[GroupByKey]]),(ContinuousStatsTable[GroupByKey]=ContinuousStatsTable[[#This Row],[GroupByKey]])*ContinuousStatsTable[Average])),0)</f>
        <v>0</v>
      </c>
      <c r="Q663" cm="1">
        <f t="array" ref="Q663">MAX(IF((ProjectInfoTable[ProjectName]=ContinuousStatsTable[[#This Row],[ProjectName]]),(ProjectInfoTable[ProjectName]=ContinuousStatsTable[[#This Row],[ProjectName]])*ProjectInfoTable[ConfidenceInterval]))</f>
        <v>0.95</v>
      </c>
      <c r="R6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3" cm="1">
        <f t="array" ref="S663">MIN(IF((ContinuousStatsTable[GroupByKey]=ContinuousStatsTable[[#This Row],[GroupByKey]]),(ContinuousStatsTable[GroupByKey]=ContinuousStatsTable[[#This Row],[GroupByKey]])*ContinuousStatsTable[Average]))</f>
        <v>0</v>
      </c>
      <c r="T663" cm="1">
        <f t="array" ref="T663">MAX(IF((ContinuousStatsTable[GroupByKey]=ContinuousStatsTable[[#This Row],[GroupByKey]]),(ContinuousStatsTable[GroupByKey]=ContinuousStatsTable[[#This Row],[GroupByKey]])*ContinuousStatsTable[Average]))</f>
        <v>0</v>
      </c>
      <c r="U663">
        <f>IF((ContinuousStatsTable[[#This Row],[RepsRequested]]&gt;1),ContinuousStatsTable[[#This Row],[HalfWidth]],ContinuousStatsTable[[#This Row],[BatchMeansHalfWidth]])</f>
        <v>0</v>
      </c>
    </row>
    <row r="664" spans="1:21" x14ac:dyDescent="0.2">
      <c r="A664" t="s">
        <v>67</v>
      </c>
      <c r="B664" t="s">
        <v>70</v>
      </c>
      <c r="C664">
        <v>28</v>
      </c>
      <c r="D664" t="s">
        <v>88</v>
      </c>
      <c r="E664" t="s">
        <v>98</v>
      </c>
      <c r="F664" t="s">
        <v>73</v>
      </c>
      <c r="G664">
        <v>1.4501743455860101</v>
      </c>
      <c r="H664">
        <v>0.11443421793733</v>
      </c>
      <c r="I664">
        <v>0</v>
      </c>
      <c r="J664">
        <v>4</v>
      </c>
      <c r="K664">
        <v>1</v>
      </c>
      <c r="L664">
        <v>0</v>
      </c>
      <c r="M664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664" cm="1">
        <f t="array" ref="N664">MAX(IF((ProjectInfoTable[ProjectName]=ContinuousStatsTable[[#This Row],[ProjectName]]),(ProjectInfoTable[ProjectName]=ContinuousStatsTable[[#This Row],[ProjectName]])*ProjectInfoTable[NumberOfReplications]))</f>
        <v>30</v>
      </c>
      <c r="O664" cm="1">
        <f t="array" ref="O664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664" cm="1">
        <f t="array" ref="P664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664" cm="1">
        <f t="array" ref="Q664">MAX(IF((ProjectInfoTable[ProjectName]=ContinuousStatsTable[[#This Row],[ProjectName]]),(ProjectInfoTable[ProjectName]=ContinuousStatsTable[[#This Row],[ProjectName]])*ProjectInfoTable[ConfidenceInterval]))</f>
        <v>0.95</v>
      </c>
      <c r="R6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664" cm="1">
        <f t="array" ref="S664">MIN(IF((ContinuousStatsTable[GroupByKey]=ContinuousStatsTable[[#This Row],[GroupByKey]]),(ContinuousStatsTable[GroupByKey]=ContinuousStatsTable[[#This Row],[GroupByKey]])*ContinuousStatsTable[Average]))</f>
        <v>1.4062336911317099</v>
      </c>
      <c r="T664" cm="1">
        <f t="array" ref="T664">MAX(IF((ContinuousStatsTable[GroupByKey]=ContinuousStatsTable[[#This Row],[GroupByKey]]),(ContinuousStatsTable[GroupByKey]=ContinuousStatsTable[[#This Row],[GroupByKey]])*ContinuousStatsTable[Average]))</f>
        <v>1.5889769030929</v>
      </c>
      <c r="U664">
        <f>IF((ContinuousStatsTable[[#This Row],[RepsRequested]]&gt;1),ContinuousStatsTable[[#This Row],[HalfWidth]],ContinuousStatsTable[[#This Row],[BatchMeansHalfWidth]])</f>
        <v>1.602866983772662E-2</v>
      </c>
    </row>
    <row r="665" spans="1:21" x14ac:dyDescent="0.2">
      <c r="A665" t="s">
        <v>67</v>
      </c>
      <c r="B665" t="s">
        <v>70</v>
      </c>
      <c r="C665">
        <v>28</v>
      </c>
      <c r="D665" t="s">
        <v>102</v>
      </c>
      <c r="E665" t="s">
        <v>94</v>
      </c>
      <c r="F665" t="s">
        <v>95</v>
      </c>
      <c r="G665">
        <v>4.73684210526316E-3</v>
      </c>
      <c r="H665">
        <v>6.0403322058209395E-4</v>
      </c>
      <c r="I665">
        <v>0</v>
      </c>
      <c r="J665">
        <v>0.15</v>
      </c>
      <c r="K665">
        <v>0</v>
      </c>
      <c r="L665">
        <v>0</v>
      </c>
      <c r="M665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665" cm="1">
        <f t="array" ref="N665">MAX(IF((ProjectInfoTable[ProjectName]=ContinuousStatsTable[[#This Row],[ProjectName]]),(ProjectInfoTable[ProjectName]=ContinuousStatsTable[[#This Row],[ProjectName]])*ProjectInfoTable[NumberOfReplications]))</f>
        <v>30</v>
      </c>
      <c r="O665" cm="1">
        <f t="array" ref="O665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665" cm="1">
        <f t="array" ref="P665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665" cm="1">
        <f t="array" ref="Q665">MAX(IF((ProjectInfoTable[ProjectName]=ContinuousStatsTable[[#This Row],[ProjectName]]),(ProjectInfoTable[ProjectName]=ContinuousStatsTable[[#This Row],[ProjectName]])*ProjectInfoTable[ConfidenceInterval]))</f>
        <v>0.95</v>
      </c>
      <c r="R6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665" cm="1">
        <f t="array" ref="S665">MIN(IF((ContinuousStatsTable[GroupByKey]=ContinuousStatsTable[[#This Row],[GroupByKey]]),(ContinuousStatsTable[GroupByKey]=ContinuousStatsTable[[#This Row],[GroupByKey]])*ContinuousStatsTable[Average]))</f>
        <v>4.4956140350877203E-3</v>
      </c>
      <c r="T665" cm="1">
        <f t="array" ref="T665">MAX(IF((ContinuousStatsTable[GroupByKey]=ContinuousStatsTable[[#This Row],[GroupByKey]]),(ContinuousStatsTable[GroupByKey]=ContinuousStatsTable[[#This Row],[GroupByKey]])*ContinuousStatsTable[Average]))</f>
        <v>5.5482456140350904E-3</v>
      </c>
      <c r="U665">
        <f>IF((ContinuousStatsTable[[#This Row],[RepsRequested]]&gt;1),ContinuousStatsTable[[#This Row],[HalfWidth]],ContinuousStatsTable[[#This Row],[BatchMeansHalfWidth]])</f>
        <v>1.0144486472958472E-4</v>
      </c>
    </row>
    <row r="666" spans="1:21" x14ac:dyDescent="0.2">
      <c r="A666" t="s">
        <v>67</v>
      </c>
      <c r="B666" t="s">
        <v>70</v>
      </c>
      <c r="C666">
        <v>28</v>
      </c>
      <c r="D666" t="s">
        <v>102</v>
      </c>
      <c r="E666" t="s">
        <v>96</v>
      </c>
      <c r="F666" t="s">
        <v>95</v>
      </c>
      <c r="G666">
        <v>9.4736842105262994E-2</v>
      </c>
      <c r="H666">
        <v>1.2080664411641901E-2</v>
      </c>
      <c r="I666">
        <v>0</v>
      </c>
      <c r="J666">
        <v>3</v>
      </c>
      <c r="K666">
        <v>0</v>
      </c>
      <c r="L666">
        <v>0</v>
      </c>
      <c r="M666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666" cm="1">
        <f t="array" ref="N666">MAX(IF((ProjectInfoTable[ProjectName]=ContinuousStatsTable[[#This Row],[ProjectName]]),(ProjectInfoTable[ProjectName]=ContinuousStatsTable[[#This Row],[ProjectName]])*ProjectInfoTable[NumberOfReplications]))</f>
        <v>30</v>
      </c>
      <c r="O666" cm="1">
        <f t="array" ref="O666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666" cm="1">
        <f t="array" ref="P666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666" cm="1">
        <f t="array" ref="Q666">MAX(IF((ProjectInfoTable[ProjectName]=ContinuousStatsTable[[#This Row],[ProjectName]]),(ProjectInfoTable[ProjectName]=ContinuousStatsTable[[#This Row],[ProjectName]])*ProjectInfoTable[ConfidenceInterval]))</f>
        <v>0.95</v>
      </c>
      <c r="R6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666" cm="1">
        <f t="array" ref="S666">MIN(IF((ContinuousStatsTable[GroupByKey]=ContinuousStatsTable[[#This Row],[GroupByKey]]),(ContinuousStatsTable[GroupByKey]=ContinuousStatsTable[[#This Row],[GroupByKey]])*ContinuousStatsTable[Average]))</f>
        <v>8.9912280701754305E-2</v>
      </c>
      <c r="T666" cm="1">
        <f t="array" ref="T666">MAX(IF((ContinuousStatsTable[GroupByKey]=ContinuousStatsTable[[#This Row],[GroupByKey]]),(ContinuousStatsTable[GroupByKey]=ContinuousStatsTable[[#This Row],[GroupByKey]])*ContinuousStatsTable[Average]))</f>
        <v>0.110964912280702</v>
      </c>
      <c r="U666">
        <f>IF((ContinuousStatsTable[[#This Row],[RepsRequested]]&gt;1),ContinuousStatsTable[[#This Row],[HalfWidth]],ContinuousStatsTable[[#This Row],[BatchMeansHalfWidth]])</f>
        <v>2.0288972945916956E-3</v>
      </c>
    </row>
    <row r="667" spans="1:21" x14ac:dyDescent="0.2">
      <c r="A667" t="s">
        <v>67</v>
      </c>
      <c r="B667" t="s">
        <v>70</v>
      </c>
      <c r="C667">
        <v>28</v>
      </c>
      <c r="D667" t="s">
        <v>102</v>
      </c>
      <c r="E667" t="s">
        <v>97</v>
      </c>
      <c r="F667" t="s">
        <v>95</v>
      </c>
      <c r="G667">
        <v>20</v>
      </c>
      <c r="H667">
        <v>2E+20</v>
      </c>
      <c r="I667">
        <v>20</v>
      </c>
      <c r="J667">
        <v>20</v>
      </c>
      <c r="K667">
        <v>20</v>
      </c>
      <c r="L667">
        <v>0</v>
      </c>
      <c r="M667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667" cm="1">
        <f t="array" ref="N667">MAX(IF((ProjectInfoTable[ProjectName]=ContinuousStatsTable[[#This Row],[ProjectName]]),(ProjectInfoTable[ProjectName]=ContinuousStatsTable[[#This Row],[ProjectName]])*ProjectInfoTable[NumberOfReplications]))</f>
        <v>30</v>
      </c>
      <c r="O667" cm="1">
        <f t="array" ref="O667">IFERROR(AVERAGE(IF((ContinuousStatsTable[GroupByKey]=ContinuousStatsTable[[#This Row],[GroupByKey]]),(ContinuousStatsTable[GroupByKey]=ContinuousStatsTable[[#This Row],[GroupByKey]])*ContinuousStatsTable[Average])),0)</f>
        <v>20</v>
      </c>
      <c r="P667" cm="1">
        <f t="array" ref="P667">IFERROR(_xlfn.STDEV.S(IF((ContinuousStatsTable[GroupByKey]=ContinuousStatsTable[[#This Row],[GroupByKey]]),(ContinuousStatsTable[GroupByKey]=ContinuousStatsTable[[#This Row],[GroupByKey]])*ContinuousStatsTable[Average])),0)</f>
        <v>0</v>
      </c>
      <c r="Q667" cm="1">
        <f t="array" ref="Q667">MAX(IF((ProjectInfoTable[ProjectName]=ContinuousStatsTable[[#This Row],[ProjectName]]),(ProjectInfoTable[ProjectName]=ContinuousStatsTable[[#This Row],[ProjectName]])*ProjectInfoTable[ConfidenceInterval]))</f>
        <v>0.95</v>
      </c>
      <c r="R6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7" cm="1">
        <f t="array" ref="S667">MIN(IF((ContinuousStatsTable[GroupByKey]=ContinuousStatsTable[[#This Row],[GroupByKey]]),(ContinuousStatsTable[GroupByKey]=ContinuousStatsTable[[#This Row],[GroupByKey]])*ContinuousStatsTable[Average]))</f>
        <v>20</v>
      </c>
      <c r="T667" cm="1">
        <f t="array" ref="T667">MAX(IF((ContinuousStatsTable[GroupByKey]=ContinuousStatsTable[[#This Row],[GroupByKey]]),(ContinuousStatsTable[GroupByKey]=ContinuousStatsTable[[#This Row],[GroupByKey]])*ContinuousStatsTable[Average]))</f>
        <v>20</v>
      </c>
      <c r="U667">
        <f>IF((ContinuousStatsTable[[#This Row],[RepsRequested]]&gt;1),ContinuousStatsTable[[#This Row],[HalfWidth]],ContinuousStatsTable[[#This Row],[BatchMeansHalfWidth]])</f>
        <v>0</v>
      </c>
    </row>
    <row r="668" spans="1:21" x14ac:dyDescent="0.2">
      <c r="A668" t="s">
        <v>67</v>
      </c>
      <c r="B668" t="s">
        <v>70</v>
      </c>
      <c r="C668">
        <v>28</v>
      </c>
      <c r="D668" t="s">
        <v>90</v>
      </c>
      <c r="E668" t="s">
        <v>98</v>
      </c>
      <c r="F668" t="s">
        <v>73</v>
      </c>
      <c r="G668">
        <v>0</v>
      </c>
      <c r="H668">
        <v>2E+20</v>
      </c>
      <c r="I668">
        <v>0</v>
      </c>
      <c r="J668">
        <v>0</v>
      </c>
      <c r="K668">
        <v>0</v>
      </c>
      <c r="L668">
        <v>0</v>
      </c>
      <c r="M668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668" cm="1">
        <f t="array" ref="N668">MAX(IF((ProjectInfoTable[ProjectName]=ContinuousStatsTable[[#This Row],[ProjectName]]),(ProjectInfoTable[ProjectName]=ContinuousStatsTable[[#This Row],[ProjectName]])*ProjectInfoTable[NumberOfReplications]))</f>
        <v>30</v>
      </c>
      <c r="O668" cm="1">
        <f t="array" ref="O668">IFERROR(AVERAGE(IF((ContinuousStatsTable[GroupByKey]=ContinuousStatsTable[[#This Row],[GroupByKey]]),(ContinuousStatsTable[GroupByKey]=ContinuousStatsTable[[#This Row],[GroupByKey]])*ContinuousStatsTable[Average])),0)</f>
        <v>0</v>
      </c>
      <c r="P668" cm="1">
        <f t="array" ref="P668">IFERROR(_xlfn.STDEV.S(IF((ContinuousStatsTable[GroupByKey]=ContinuousStatsTable[[#This Row],[GroupByKey]]),(ContinuousStatsTable[GroupByKey]=ContinuousStatsTable[[#This Row],[GroupByKey]])*ContinuousStatsTable[Average])),0)</f>
        <v>0</v>
      </c>
      <c r="Q668" cm="1">
        <f t="array" ref="Q668">MAX(IF((ProjectInfoTable[ProjectName]=ContinuousStatsTable[[#This Row],[ProjectName]]),(ProjectInfoTable[ProjectName]=ContinuousStatsTable[[#This Row],[ProjectName]])*ProjectInfoTable[ConfidenceInterval]))</f>
        <v>0.95</v>
      </c>
      <c r="R6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8" cm="1">
        <f t="array" ref="S668">MIN(IF((ContinuousStatsTable[GroupByKey]=ContinuousStatsTable[[#This Row],[GroupByKey]]),(ContinuousStatsTable[GroupByKey]=ContinuousStatsTable[[#This Row],[GroupByKey]])*ContinuousStatsTable[Average]))</f>
        <v>0</v>
      </c>
      <c r="T668" cm="1">
        <f t="array" ref="T668">MAX(IF((ContinuousStatsTable[GroupByKey]=ContinuousStatsTable[[#This Row],[GroupByKey]]),(ContinuousStatsTable[GroupByKey]=ContinuousStatsTable[[#This Row],[GroupByKey]])*ContinuousStatsTable[Average]))</f>
        <v>0</v>
      </c>
      <c r="U668">
        <f>IF((ContinuousStatsTable[[#This Row],[RepsRequested]]&gt;1),ContinuousStatsTable[[#This Row],[HalfWidth]],ContinuousStatsTable[[#This Row],[BatchMeansHalfWidth]])</f>
        <v>0</v>
      </c>
    </row>
    <row r="669" spans="1:21" x14ac:dyDescent="0.2">
      <c r="A669" t="s">
        <v>67</v>
      </c>
      <c r="B669" t="s">
        <v>70</v>
      </c>
      <c r="C669">
        <v>28</v>
      </c>
      <c r="D669" t="s">
        <v>91</v>
      </c>
      <c r="E669" t="s">
        <v>98</v>
      </c>
      <c r="F669" t="s">
        <v>73</v>
      </c>
      <c r="G669">
        <v>0</v>
      </c>
      <c r="H669">
        <v>2E+20</v>
      </c>
      <c r="I669">
        <v>0</v>
      </c>
      <c r="J669">
        <v>0</v>
      </c>
      <c r="K669">
        <v>0</v>
      </c>
      <c r="L669">
        <v>0</v>
      </c>
      <c r="M669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669" cm="1">
        <f t="array" ref="N669">MAX(IF((ProjectInfoTable[ProjectName]=ContinuousStatsTable[[#This Row],[ProjectName]]),(ProjectInfoTable[ProjectName]=ContinuousStatsTable[[#This Row],[ProjectName]])*ProjectInfoTable[NumberOfReplications]))</f>
        <v>30</v>
      </c>
      <c r="O669" cm="1">
        <f t="array" ref="O669">IFERROR(AVERAGE(IF((ContinuousStatsTable[GroupByKey]=ContinuousStatsTable[[#This Row],[GroupByKey]]),(ContinuousStatsTable[GroupByKey]=ContinuousStatsTable[[#This Row],[GroupByKey]])*ContinuousStatsTable[Average])),0)</f>
        <v>0</v>
      </c>
      <c r="P669" cm="1">
        <f t="array" ref="P669">IFERROR(_xlfn.STDEV.S(IF((ContinuousStatsTable[GroupByKey]=ContinuousStatsTable[[#This Row],[GroupByKey]]),(ContinuousStatsTable[GroupByKey]=ContinuousStatsTable[[#This Row],[GroupByKey]])*ContinuousStatsTable[Average])),0)</f>
        <v>0</v>
      </c>
      <c r="Q669" cm="1">
        <f t="array" ref="Q669">MAX(IF((ProjectInfoTable[ProjectName]=ContinuousStatsTable[[#This Row],[ProjectName]]),(ProjectInfoTable[ProjectName]=ContinuousStatsTable[[#This Row],[ProjectName]])*ProjectInfoTable[ConfidenceInterval]))</f>
        <v>0.95</v>
      </c>
      <c r="R6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9" cm="1">
        <f t="array" ref="S669">MIN(IF((ContinuousStatsTable[GroupByKey]=ContinuousStatsTable[[#This Row],[GroupByKey]]),(ContinuousStatsTable[GroupByKey]=ContinuousStatsTable[[#This Row],[GroupByKey]])*ContinuousStatsTable[Average]))</f>
        <v>0</v>
      </c>
      <c r="T669" cm="1">
        <f t="array" ref="T669">MAX(IF((ContinuousStatsTable[GroupByKey]=ContinuousStatsTable[[#This Row],[GroupByKey]]),(ContinuousStatsTable[GroupByKey]=ContinuousStatsTable[[#This Row],[GroupByKey]])*ContinuousStatsTable[Average]))</f>
        <v>0</v>
      </c>
      <c r="U669">
        <f>IF((ContinuousStatsTable[[#This Row],[RepsRequested]]&gt;1),ContinuousStatsTable[[#This Row],[HalfWidth]],ContinuousStatsTable[[#This Row],[BatchMeansHalfWidth]])</f>
        <v>0</v>
      </c>
    </row>
    <row r="670" spans="1:21" x14ac:dyDescent="0.2">
      <c r="A670" t="s">
        <v>67</v>
      </c>
      <c r="B670" t="s">
        <v>70</v>
      </c>
      <c r="C670">
        <v>28</v>
      </c>
      <c r="D670" t="s">
        <v>92</v>
      </c>
      <c r="E670" t="s">
        <v>98</v>
      </c>
      <c r="F670" t="s">
        <v>73</v>
      </c>
      <c r="G670">
        <v>0</v>
      </c>
      <c r="H670">
        <v>2E+20</v>
      </c>
      <c r="I670">
        <v>0</v>
      </c>
      <c r="J670">
        <v>0</v>
      </c>
      <c r="K670">
        <v>0</v>
      </c>
      <c r="L670">
        <v>0</v>
      </c>
      <c r="M670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670" cm="1">
        <f t="array" ref="N670">MAX(IF((ProjectInfoTable[ProjectName]=ContinuousStatsTable[[#This Row],[ProjectName]]),(ProjectInfoTable[ProjectName]=ContinuousStatsTable[[#This Row],[ProjectName]])*ProjectInfoTable[NumberOfReplications]))</f>
        <v>30</v>
      </c>
      <c r="O670" cm="1">
        <f t="array" ref="O670">IFERROR(AVERAGE(IF((ContinuousStatsTable[GroupByKey]=ContinuousStatsTable[[#This Row],[GroupByKey]]),(ContinuousStatsTable[GroupByKey]=ContinuousStatsTable[[#This Row],[GroupByKey]])*ContinuousStatsTable[Average])),0)</f>
        <v>0</v>
      </c>
      <c r="P670" cm="1">
        <f t="array" ref="P670">IFERROR(_xlfn.STDEV.S(IF((ContinuousStatsTable[GroupByKey]=ContinuousStatsTable[[#This Row],[GroupByKey]]),(ContinuousStatsTable[GroupByKey]=ContinuousStatsTable[[#This Row],[GroupByKey]])*ContinuousStatsTable[Average])),0)</f>
        <v>0</v>
      </c>
      <c r="Q670" cm="1">
        <f t="array" ref="Q670">MAX(IF((ProjectInfoTable[ProjectName]=ContinuousStatsTable[[#This Row],[ProjectName]]),(ProjectInfoTable[ProjectName]=ContinuousStatsTable[[#This Row],[ProjectName]])*ProjectInfoTable[ConfidenceInterval]))</f>
        <v>0.95</v>
      </c>
      <c r="R6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0" cm="1">
        <f t="array" ref="S670">MIN(IF((ContinuousStatsTable[GroupByKey]=ContinuousStatsTable[[#This Row],[GroupByKey]]),(ContinuousStatsTable[GroupByKey]=ContinuousStatsTable[[#This Row],[GroupByKey]])*ContinuousStatsTable[Average]))</f>
        <v>0</v>
      </c>
      <c r="T670" cm="1">
        <f t="array" ref="T670">MAX(IF((ContinuousStatsTable[GroupByKey]=ContinuousStatsTable[[#This Row],[GroupByKey]]),(ContinuousStatsTable[GroupByKey]=ContinuousStatsTable[[#This Row],[GroupByKey]])*ContinuousStatsTable[Average]))</f>
        <v>0</v>
      </c>
      <c r="U670">
        <f>IF((ContinuousStatsTable[[#This Row],[RepsRequested]]&gt;1),ContinuousStatsTable[[#This Row],[HalfWidth]],ContinuousStatsTable[[#This Row],[BatchMeansHalfWidth]])</f>
        <v>0</v>
      </c>
    </row>
    <row r="671" spans="1:21" x14ac:dyDescent="0.2">
      <c r="A671" t="s">
        <v>67</v>
      </c>
      <c r="B671" t="s">
        <v>70</v>
      </c>
      <c r="C671">
        <v>28</v>
      </c>
      <c r="D671" t="s">
        <v>103</v>
      </c>
      <c r="E671" t="s">
        <v>94</v>
      </c>
      <c r="F671" t="s">
        <v>95</v>
      </c>
      <c r="G671">
        <v>7.7176470357846902E-2</v>
      </c>
      <c r="H671">
        <v>2E+20</v>
      </c>
      <c r="I671">
        <v>0</v>
      </c>
      <c r="J671">
        <v>0.66666666666666696</v>
      </c>
      <c r="K671">
        <v>0</v>
      </c>
      <c r="L671">
        <v>0</v>
      </c>
      <c r="M671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671" cm="1">
        <f t="array" ref="N671">MAX(IF((ProjectInfoTable[ProjectName]=ContinuousStatsTable[[#This Row],[ProjectName]]),(ProjectInfoTable[ProjectName]=ContinuousStatsTable[[#This Row],[ProjectName]])*ProjectInfoTable[NumberOfReplications]))</f>
        <v>30</v>
      </c>
      <c r="O671" cm="1">
        <f t="array" ref="O671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671" cm="1">
        <f t="array" ref="P671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671" cm="1">
        <f t="array" ref="Q671">MAX(IF((ProjectInfoTable[ProjectName]=ContinuousStatsTable[[#This Row],[ProjectName]]),(ProjectInfoTable[ProjectName]=ContinuousStatsTable[[#This Row],[ProjectName]])*ProjectInfoTable[ConfidenceInterval]))</f>
        <v>0.95</v>
      </c>
      <c r="R6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671" cm="1">
        <f t="array" ref="S671">MIN(IF((ContinuousStatsTable[GroupByKey]=ContinuousStatsTable[[#This Row],[GroupByKey]]),(ContinuousStatsTable[GroupByKey]=ContinuousStatsTable[[#This Row],[GroupByKey]])*ContinuousStatsTable[Average]))</f>
        <v>7.7176470357846902E-2</v>
      </c>
      <c r="T671" cm="1">
        <f t="array" ref="T671">MAX(IF((ContinuousStatsTable[GroupByKey]=ContinuousStatsTable[[#This Row],[GroupByKey]]),(ContinuousStatsTable[GroupByKey]=ContinuousStatsTable[[#This Row],[GroupByKey]])*ContinuousStatsTable[Average]))</f>
        <v>9.2534326714405896E-2</v>
      </c>
      <c r="U671">
        <f>IF((ContinuousStatsTable[[#This Row],[RepsRequested]]&gt;1),ContinuousStatsTable[[#This Row],[HalfWidth]],ContinuousStatsTable[[#This Row],[BatchMeansHalfWidth]])</f>
        <v>1.3238327186697659E-3</v>
      </c>
    </row>
    <row r="672" spans="1:21" x14ac:dyDescent="0.2">
      <c r="A672" t="s">
        <v>67</v>
      </c>
      <c r="B672" t="s">
        <v>70</v>
      </c>
      <c r="C672">
        <v>28</v>
      </c>
      <c r="D672" t="s">
        <v>103</v>
      </c>
      <c r="E672" t="s">
        <v>96</v>
      </c>
      <c r="F672" t="s">
        <v>95</v>
      </c>
      <c r="G672">
        <v>0.231529411073541</v>
      </c>
      <c r="H672">
        <v>2E+20</v>
      </c>
      <c r="I672">
        <v>0</v>
      </c>
      <c r="J672">
        <v>2</v>
      </c>
      <c r="K672">
        <v>0</v>
      </c>
      <c r="L672">
        <v>0</v>
      </c>
      <c r="M672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672" cm="1">
        <f t="array" ref="N672">MAX(IF((ProjectInfoTable[ProjectName]=ContinuousStatsTable[[#This Row],[ProjectName]]),(ProjectInfoTable[ProjectName]=ContinuousStatsTable[[#This Row],[ProjectName]])*ProjectInfoTable[NumberOfReplications]))</f>
        <v>30</v>
      </c>
      <c r="O672" cm="1">
        <f t="array" ref="O672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672" cm="1">
        <f t="array" ref="P672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672" cm="1">
        <f t="array" ref="Q672">MAX(IF((ProjectInfoTable[ProjectName]=ContinuousStatsTable[[#This Row],[ProjectName]]),(ProjectInfoTable[ProjectName]=ContinuousStatsTable[[#This Row],[ProjectName]])*ProjectInfoTable[ConfidenceInterval]))</f>
        <v>0.95</v>
      </c>
      <c r="R6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672" cm="1">
        <f t="array" ref="S672">MIN(IF((ContinuousStatsTable[GroupByKey]=ContinuousStatsTable[[#This Row],[GroupByKey]]),(ContinuousStatsTable[GroupByKey]=ContinuousStatsTable[[#This Row],[GroupByKey]])*ContinuousStatsTable[Average]))</f>
        <v>0.231529411073541</v>
      </c>
      <c r="T672" cm="1">
        <f t="array" ref="T672">MAX(IF((ContinuousStatsTable[GroupByKey]=ContinuousStatsTable[[#This Row],[GroupByKey]]),(ContinuousStatsTable[GroupByKey]=ContinuousStatsTable[[#This Row],[GroupByKey]])*ContinuousStatsTable[Average]))</f>
        <v>0.27760298014321699</v>
      </c>
      <c r="U672">
        <f>IF((ContinuousStatsTable[[#This Row],[RepsRequested]]&gt;1),ContinuousStatsTable[[#This Row],[HalfWidth]],ContinuousStatsTable[[#This Row],[BatchMeansHalfWidth]])</f>
        <v>3.9714981560092996E-3</v>
      </c>
    </row>
    <row r="673" spans="1:21" x14ac:dyDescent="0.2">
      <c r="A673" t="s">
        <v>67</v>
      </c>
      <c r="B673" t="s">
        <v>70</v>
      </c>
      <c r="C673">
        <v>28</v>
      </c>
      <c r="D673" t="s">
        <v>103</v>
      </c>
      <c r="E673" t="s">
        <v>97</v>
      </c>
      <c r="F673" t="s">
        <v>95</v>
      </c>
      <c r="G673">
        <v>3</v>
      </c>
      <c r="H673">
        <v>2E+20</v>
      </c>
      <c r="I673">
        <v>3</v>
      </c>
      <c r="J673">
        <v>3</v>
      </c>
      <c r="K673">
        <v>3</v>
      </c>
      <c r="L673">
        <v>0</v>
      </c>
      <c r="M673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673" cm="1">
        <f t="array" ref="N673">MAX(IF((ProjectInfoTable[ProjectName]=ContinuousStatsTable[[#This Row],[ProjectName]]),(ProjectInfoTable[ProjectName]=ContinuousStatsTable[[#This Row],[ProjectName]])*ProjectInfoTable[NumberOfReplications]))</f>
        <v>30</v>
      </c>
      <c r="O673" cm="1">
        <f t="array" ref="O673">IFERROR(AVERAGE(IF((ContinuousStatsTable[GroupByKey]=ContinuousStatsTable[[#This Row],[GroupByKey]]),(ContinuousStatsTable[GroupByKey]=ContinuousStatsTable[[#This Row],[GroupByKey]])*ContinuousStatsTable[Average])),0)</f>
        <v>3</v>
      </c>
      <c r="P673" cm="1">
        <f t="array" ref="P673">IFERROR(_xlfn.STDEV.S(IF((ContinuousStatsTable[GroupByKey]=ContinuousStatsTable[[#This Row],[GroupByKey]]),(ContinuousStatsTable[GroupByKey]=ContinuousStatsTable[[#This Row],[GroupByKey]])*ContinuousStatsTable[Average])),0)</f>
        <v>0</v>
      </c>
      <c r="Q673" cm="1">
        <f t="array" ref="Q673">MAX(IF((ProjectInfoTable[ProjectName]=ContinuousStatsTable[[#This Row],[ProjectName]]),(ProjectInfoTable[ProjectName]=ContinuousStatsTable[[#This Row],[ProjectName]])*ProjectInfoTable[ConfidenceInterval]))</f>
        <v>0.95</v>
      </c>
      <c r="R6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3" cm="1">
        <f t="array" ref="S673">MIN(IF((ContinuousStatsTable[GroupByKey]=ContinuousStatsTable[[#This Row],[GroupByKey]]),(ContinuousStatsTable[GroupByKey]=ContinuousStatsTable[[#This Row],[GroupByKey]])*ContinuousStatsTable[Average]))</f>
        <v>3</v>
      </c>
      <c r="T673" cm="1">
        <f t="array" ref="T673">MAX(IF((ContinuousStatsTable[GroupByKey]=ContinuousStatsTable[[#This Row],[GroupByKey]]),(ContinuousStatsTable[GroupByKey]=ContinuousStatsTable[[#This Row],[GroupByKey]])*ContinuousStatsTable[Average]))</f>
        <v>3</v>
      </c>
      <c r="U673">
        <f>IF((ContinuousStatsTable[[#This Row],[RepsRequested]]&gt;1),ContinuousStatsTable[[#This Row],[HalfWidth]],ContinuousStatsTable[[#This Row],[BatchMeansHalfWidth]])</f>
        <v>0</v>
      </c>
    </row>
    <row r="674" spans="1:21" x14ac:dyDescent="0.2">
      <c r="A674" t="s">
        <v>67</v>
      </c>
      <c r="B674" t="s">
        <v>70</v>
      </c>
      <c r="C674">
        <v>29</v>
      </c>
      <c r="D674" t="s">
        <v>93</v>
      </c>
      <c r="E674" t="s">
        <v>94</v>
      </c>
      <c r="F674" t="s">
        <v>95</v>
      </c>
      <c r="G674">
        <v>0.26810717240818899</v>
      </c>
      <c r="H674">
        <v>2.0585696422711301E-2</v>
      </c>
      <c r="I674">
        <v>0</v>
      </c>
      <c r="J674">
        <v>1</v>
      </c>
      <c r="K674">
        <v>1</v>
      </c>
      <c r="L674">
        <v>0</v>
      </c>
      <c r="M674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674" cm="1">
        <f t="array" ref="N674">MAX(IF((ProjectInfoTable[ProjectName]=ContinuousStatsTable[[#This Row],[ProjectName]]),(ProjectInfoTable[ProjectName]=ContinuousStatsTable[[#This Row],[ProjectName]])*ProjectInfoTable[NumberOfReplications]))</f>
        <v>30</v>
      </c>
      <c r="O674" cm="1">
        <f t="array" ref="O674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674" cm="1">
        <f t="array" ref="P674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674" cm="1">
        <f t="array" ref="Q674">MAX(IF((ProjectInfoTable[ProjectName]=ContinuousStatsTable[[#This Row],[ProjectName]]),(ProjectInfoTable[ProjectName]=ContinuousStatsTable[[#This Row],[ProjectName]])*ProjectInfoTable[ConfidenceInterval]))</f>
        <v>0.95</v>
      </c>
      <c r="R6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674" cm="1">
        <f t="array" ref="S674">MIN(IF((ContinuousStatsTable[GroupByKey]=ContinuousStatsTable[[#This Row],[GroupByKey]]),(ContinuousStatsTable[GroupByKey]=ContinuousStatsTable[[#This Row],[GroupByKey]])*ContinuousStatsTable[Average]))</f>
        <v>0.233333333333333</v>
      </c>
      <c r="T674" cm="1">
        <f t="array" ref="T674">MAX(IF((ContinuousStatsTable[GroupByKey]=ContinuousStatsTable[[#This Row],[GroupByKey]]),(ContinuousStatsTable[GroupByKey]=ContinuousStatsTable[[#This Row],[GroupByKey]])*ContinuousStatsTable[Average]))</f>
        <v>0.27905535859326402</v>
      </c>
      <c r="U674">
        <f>IF((ContinuousStatsTable[[#This Row],[RepsRequested]]&gt;1),ContinuousStatsTable[[#This Row],[HalfWidth]],ContinuousStatsTable[[#This Row],[BatchMeansHalfWidth]])</f>
        <v>4.2029769261323026E-3</v>
      </c>
    </row>
    <row r="675" spans="1:21" x14ac:dyDescent="0.2">
      <c r="A675" t="s">
        <v>67</v>
      </c>
      <c r="B675" t="s">
        <v>70</v>
      </c>
      <c r="C675">
        <v>29</v>
      </c>
      <c r="D675" t="s">
        <v>93</v>
      </c>
      <c r="E675" t="s">
        <v>96</v>
      </c>
      <c r="F675" t="s">
        <v>95</v>
      </c>
      <c r="G675">
        <v>0.26810717240818899</v>
      </c>
      <c r="H675">
        <v>2.0585696422711301E-2</v>
      </c>
      <c r="I675">
        <v>0</v>
      </c>
      <c r="J675">
        <v>1</v>
      </c>
      <c r="K675">
        <v>1</v>
      </c>
      <c r="L675">
        <v>0</v>
      </c>
      <c r="M675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675" cm="1">
        <f t="array" ref="N675">MAX(IF((ProjectInfoTable[ProjectName]=ContinuousStatsTable[[#This Row],[ProjectName]]),(ProjectInfoTable[ProjectName]=ContinuousStatsTable[[#This Row],[ProjectName]])*ProjectInfoTable[NumberOfReplications]))</f>
        <v>30</v>
      </c>
      <c r="O675" cm="1">
        <f t="array" ref="O675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675" cm="1">
        <f t="array" ref="P675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675" cm="1">
        <f t="array" ref="Q675">MAX(IF((ProjectInfoTable[ProjectName]=ContinuousStatsTable[[#This Row],[ProjectName]]),(ProjectInfoTable[ProjectName]=ContinuousStatsTable[[#This Row],[ProjectName]])*ProjectInfoTable[ConfidenceInterval]))</f>
        <v>0.95</v>
      </c>
      <c r="R6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675" cm="1">
        <f t="array" ref="S675">MIN(IF((ContinuousStatsTable[GroupByKey]=ContinuousStatsTable[[#This Row],[GroupByKey]]),(ContinuousStatsTable[GroupByKey]=ContinuousStatsTable[[#This Row],[GroupByKey]])*ContinuousStatsTable[Average]))</f>
        <v>0.233333333333333</v>
      </c>
      <c r="T675" cm="1">
        <f t="array" ref="T675">MAX(IF((ContinuousStatsTable[GroupByKey]=ContinuousStatsTable[[#This Row],[GroupByKey]]),(ContinuousStatsTable[GroupByKey]=ContinuousStatsTable[[#This Row],[GroupByKey]])*ContinuousStatsTable[Average]))</f>
        <v>0.27905535859326402</v>
      </c>
      <c r="U675">
        <f>IF((ContinuousStatsTable[[#This Row],[RepsRequested]]&gt;1),ContinuousStatsTable[[#This Row],[HalfWidth]],ContinuousStatsTable[[#This Row],[BatchMeansHalfWidth]])</f>
        <v>4.2029769261323026E-3</v>
      </c>
    </row>
    <row r="676" spans="1:21" x14ac:dyDescent="0.2">
      <c r="A676" t="s">
        <v>67</v>
      </c>
      <c r="B676" t="s">
        <v>70</v>
      </c>
      <c r="C676">
        <v>29</v>
      </c>
      <c r="D676" t="s">
        <v>93</v>
      </c>
      <c r="E676" t="s">
        <v>97</v>
      </c>
      <c r="F676" t="s">
        <v>95</v>
      </c>
      <c r="G676">
        <v>1</v>
      </c>
      <c r="H676">
        <v>2E+20</v>
      </c>
      <c r="I676">
        <v>1</v>
      </c>
      <c r="J676">
        <v>1</v>
      </c>
      <c r="K676">
        <v>1</v>
      </c>
      <c r="L676">
        <v>0</v>
      </c>
      <c r="M676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676" cm="1">
        <f t="array" ref="N676">MAX(IF((ProjectInfoTable[ProjectName]=ContinuousStatsTable[[#This Row],[ProjectName]]),(ProjectInfoTable[ProjectName]=ContinuousStatsTable[[#This Row],[ProjectName]])*ProjectInfoTable[NumberOfReplications]))</f>
        <v>30</v>
      </c>
      <c r="O676" cm="1">
        <f t="array" ref="O676">IFERROR(AVERAGE(IF((ContinuousStatsTable[GroupByKey]=ContinuousStatsTable[[#This Row],[GroupByKey]]),(ContinuousStatsTable[GroupByKey]=ContinuousStatsTable[[#This Row],[GroupByKey]])*ContinuousStatsTable[Average])),0)</f>
        <v>1</v>
      </c>
      <c r="P676" cm="1">
        <f t="array" ref="P676">IFERROR(_xlfn.STDEV.S(IF((ContinuousStatsTable[GroupByKey]=ContinuousStatsTable[[#This Row],[GroupByKey]]),(ContinuousStatsTable[GroupByKey]=ContinuousStatsTable[[#This Row],[GroupByKey]])*ContinuousStatsTable[Average])),0)</f>
        <v>0</v>
      </c>
      <c r="Q676" cm="1">
        <f t="array" ref="Q676">MAX(IF((ProjectInfoTable[ProjectName]=ContinuousStatsTable[[#This Row],[ProjectName]]),(ProjectInfoTable[ProjectName]=ContinuousStatsTable[[#This Row],[ProjectName]])*ProjectInfoTable[ConfidenceInterval]))</f>
        <v>0.95</v>
      </c>
      <c r="R6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76" cm="1">
        <f t="array" ref="S676">MIN(IF((ContinuousStatsTable[GroupByKey]=ContinuousStatsTable[[#This Row],[GroupByKey]]),(ContinuousStatsTable[GroupByKey]=ContinuousStatsTable[[#This Row],[GroupByKey]])*ContinuousStatsTable[Average]))</f>
        <v>1</v>
      </c>
      <c r="T676" cm="1">
        <f t="array" ref="T676">MAX(IF((ContinuousStatsTable[GroupByKey]=ContinuousStatsTable[[#This Row],[GroupByKey]]),(ContinuousStatsTable[GroupByKey]=ContinuousStatsTable[[#This Row],[GroupByKey]])*ContinuousStatsTable[Average]))</f>
        <v>1</v>
      </c>
      <c r="U676">
        <f>IF((ContinuousStatsTable[[#This Row],[RepsRequested]]&gt;1),ContinuousStatsTable[[#This Row],[HalfWidth]],ContinuousStatsTable[[#This Row],[BatchMeansHalfWidth]])</f>
        <v>0</v>
      </c>
    </row>
    <row r="677" spans="1:21" x14ac:dyDescent="0.2">
      <c r="A677" t="s">
        <v>67</v>
      </c>
      <c r="B677" t="s">
        <v>70</v>
      </c>
      <c r="C677">
        <v>29</v>
      </c>
      <c r="D677" t="s">
        <v>71</v>
      </c>
      <c r="E677" t="s">
        <v>98</v>
      </c>
      <c r="F677" t="s">
        <v>73</v>
      </c>
      <c r="G677">
        <v>2.8968081787420601E-2</v>
      </c>
      <c r="H677">
        <v>2E+20</v>
      </c>
      <c r="I677">
        <v>0</v>
      </c>
      <c r="J677">
        <v>2</v>
      </c>
      <c r="K677">
        <v>1</v>
      </c>
      <c r="L677">
        <v>0</v>
      </c>
      <c r="M677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677" cm="1">
        <f t="array" ref="N677">MAX(IF((ProjectInfoTable[ProjectName]=ContinuousStatsTable[[#This Row],[ProjectName]]),(ProjectInfoTable[ProjectName]=ContinuousStatsTable[[#This Row],[ProjectName]])*ProjectInfoTable[NumberOfReplications]))</f>
        <v>30</v>
      </c>
      <c r="O677" cm="1">
        <f t="array" ref="O677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677" cm="1">
        <f t="array" ref="P677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677" cm="1">
        <f t="array" ref="Q677">MAX(IF((ProjectInfoTable[ProjectName]=ContinuousStatsTable[[#This Row],[ProjectName]]),(ProjectInfoTable[ProjectName]=ContinuousStatsTable[[#This Row],[ProjectName]])*ProjectInfoTable[ConfidenceInterval]))</f>
        <v>0.95</v>
      </c>
      <c r="R6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677" cm="1">
        <f t="array" ref="S677">MIN(IF((ContinuousStatsTable[GroupByKey]=ContinuousStatsTable[[#This Row],[GroupByKey]]),(ContinuousStatsTable[GroupByKey]=ContinuousStatsTable[[#This Row],[GroupByKey]])*ContinuousStatsTable[Average]))</f>
        <v>1.9664517785186901E-2</v>
      </c>
      <c r="T677" cm="1">
        <f t="array" ref="T677">MAX(IF((ContinuousStatsTable[GroupByKey]=ContinuousStatsTable[[#This Row],[GroupByKey]]),(ContinuousStatsTable[GroupByKey]=ContinuousStatsTable[[#This Row],[GroupByKey]])*ContinuousStatsTable[Average]))</f>
        <v>3.9738966906982302E-2</v>
      </c>
      <c r="U677">
        <f>IF((ContinuousStatsTable[[#This Row],[RepsRequested]]&gt;1),ContinuousStatsTable[[#This Row],[HalfWidth]],ContinuousStatsTable[[#This Row],[BatchMeansHalfWidth]])</f>
        <v>1.6627262085570247E-3</v>
      </c>
    </row>
    <row r="678" spans="1:21" x14ac:dyDescent="0.2">
      <c r="A678" t="s">
        <v>67</v>
      </c>
      <c r="B678" t="s">
        <v>70</v>
      </c>
      <c r="C678">
        <v>29</v>
      </c>
      <c r="D678" t="s">
        <v>99</v>
      </c>
      <c r="E678" t="s">
        <v>94</v>
      </c>
      <c r="F678" t="s">
        <v>95</v>
      </c>
      <c r="G678">
        <v>0.65703368629840297</v>
      </c>
      <c r="H678">
        <v>2E+20</v>
      </c>
      <c r="I678">
        <v>0</v>
      </c>
      <c r="J678">
        <v>1</v>
      </c>
      <c r="K678">
        <v>0</v>
      </c>
      <c r="L678">
        <v>0</v>
      </c>
      <c r="M678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678" cm="1">
        <f t="array" ref="N678">MAX(IF((ProjectInfoTable[ProjectName]=ContinuousStatsTable[[#This Row],[ProjectName]]),(ProjectInfoTable[ProjectName]=ContinuousStatsTable[[#This Row],[ProjectName]])*ProjectInfoTable[NumberOfReplications]))</f>
        <v>30</v>
      </c>
      <c r="O678" cm="1">
        <f t="array" ref="O678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678" cm="1">
        <f t="array" ref="P678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678" cm="1">
        <f t="array" ref="Q678">MAX(IF((ProjectInfoTable[ProjectName]=ContinuousStatsTable[[#This Row],[ProjectName]]),(ProjectInfoTable[ProjectName]=ContinuousStatsTable[[#This Row],[ProjectName]])*ProjectInfoTable[ConfidenceInterval]))</f>
        <v>0.95</v>
      </c>
      <c r="R6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678" cm="1">
        <f t="array" ref="S678">MIN(IF((ContinuousStatsTable[GroupByKey]=ContinuousStatsTable[[#This Row],[GroupByKey]]),(ContinuousStatsTable[GroupByKey]=ContinuousStatsTable[[#This Row],[GroupByKey]])*ContinuousStatsTable[Average]))</f>
        <v>0.58256422876290004</v>
      </c>
      <c r="T678" cm="1">
        <f t="array" ref="T678">MAX(IF((ContinuousStatsTable[GroupByKey]=ContinuousStatsTable[[#This Row],[GroupByKey]]),(ContinuousStatsTable[GroupByKey]=ContinuousStatsTable[[#This Row],[GroupByKey]])*ContinuousStatsTable[Average]))</f>
        <v>0.68643238055161704</v>
      </c>
      <c r="U678">
        <f>IF((ContinuousStatsTable[[#This Row],[RepsRequested]]&gt;1),ContinuousStatsTable[[#This Row],[HalfWidth]],ContinuousStatsTable[[#This Row],[BatchMeansHalfWidth]])</f>
        <v>9.8490003000806757E-3</v>
      </c>
    </row>
    <row r="679" spans="1:21" x14ac:dyDescent="0.2">
      <c r="A679" t="s">
        <v>67</v>
      </c>
      <c r="B679" t="s">
        <v>70</v>
      </c>
      <c r="C679">
        <v>29</v>
      </c>
      <c r="D679" t="s">
        <v>99</v>
      </c>
      <c r="E679" t="s">
        <v>96</v>
      </c>
      <c r="F679" t="s">
        <v>95</v>
      </c>
      <c r="G679">
        <v>1.3140673725968099</v>
      </c>
      <c r="H679">
        <v>2E+20</v>
      </c>
      <c r="I679">
        <v>0</v>
      </c>
      <c r="J679">
        <v>2</v>
      </c>
      <c r="K679">
        <v>0</v>
      </c>
      <c r="L679">
        <v>0</v>
      </c>
      <c r="M679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679" cm="1">
        <f t="array" ref="N679">MAX(IF((ProjectInfoTable[ProjectName]=ContinuousStatsTable[[#This Row],[ProjectName]]),(ProjectInfoTable[ProjectName]=ContinuousStatsTable[[#This Row],[ProjectName]])*ProjectInfoTable[NumberOfReplications]))</f>
        <v>30</v>
      </c>
      <c r="O679" cm="1">
        <f t="array" ref="O679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679" cm="1">
        <f t="array" ref="P679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679" cm="1">
        <f t="array" ref="Q679">MAX(IF((ProjectInfoTable[ProjectName]=ContinuousStatsTable[[#This Row],[ProjectName]]),(ProjectInfoTable[ProjectName]=ContinuousStatsTable[[#This Row],[ProjectName]])*ProjectInfoTable[ConfidenceInterval]))</f>
        <v>0.95</v>
      </c>
      <c r="R6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679" cm="1">
        <f t="array" ref="S679">MIN(IF((ContinuousStatsTable[GroupByKey]=ContinuousStatsTable[[#This Row],[GroupByKey]]),(ContinuousStatsTable[GroupByKey]=ContinuousStatsTable[[#This Row],[GroupByKey]])*ContinuousStatsTable[Average]))</f>
        <v>1.1651284575258001</v>
      </c>
      <c r="T679" cm="1">
        <f t="array" ref="T679">MAX(IF((ContinuousStatsTable[GroupByKey]=ContinuousStatsTable[[#This Row],[GroupByKey]]),(ContinuousStatsTable[GroupByKey]=ContinuousStatsTable[[#This Row],[GroupByKey]])*ContinuousStatsTable[Average]))</f>
        <v>1.3728647611032301</v>
      </c>
      <c r="U679">
        <f>IF((ContinuousStatsTable[[#This Row],[RepsRequested]]&gt;1),ContinuousStatsTable[[#This Row],[HalfWidth]],ContinuousStatsTable[[#This Row],[BatchMeansHalfWidth]])</f>
        <v>1.9698000600160998E-2</v>
      </c>
    </row>
    <row r="680" spans="1:21" x14ac:dyDescent="0.2">
      <c r="A680" t="s">
        <v>67</v>
      </c>
      <c r="B680" t="s">
        <v>70</v>
      </c>
      <c r="C680">
        <v>29</v>
      </c>
      <c r="D680" t="s">
        <v>99</v>
      </c>
      <c r="E680" t="s">
        <v>97</v>
      </c>
      <c r="F680" t="s">
        <v>95</v>
      </c>
      <c r="G680">
        <v>2</v>
      </c>
      <c r="H680">
        <v>2E+20</v>
      </c>
      <c r="I680">
        <v>2</v>
      </c>
      <c r="J680">
        <v>2</v>
      </c>
      <c r="K680">
        <v>2</v>
      </c>
      <c r="L680">
        <v>0</v>
      </c>
      <c r="M680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680" cm="1">
        <f t="array" ref="N680">MAX(IF((ProjectInfoTable[ProjectName]=ContinuousStatsTable[[#This Row],[ProjectName]]),(ProjectInfoTable[ProjectName]=ContinuousStatsTable[[#This Row],[ProjectName]])*ProjectInfoTable[NumberOfReplications]))</f>
        <v>30</v>
      </c>
      <c r="O680" cm="1">
        <f t="array" ref="O680">IFERROR(AVERAGE(IF((ContinuousStatsTable[GroupByKey]=ContinuousStatsTable[[#This Row],[GroupByKey]]),(ContinuousStatsTable[GroupByKey]=ContinuousStatsTable[[#This Row],[GroupByKey]])*ContinuousStatsTable[Average])),0)</f>
        <v>2</v>
      </c>
      <c r="P680" cm="1">
        <f t="array" ref="P680">IFERROR(_xlfn.STDEV.S(IF((ContinuousStatsTable[GroupByKey]=ContinuousStatsTable[[#This Row],[GroupByKey]]),(ContinuousStatsTable[GroupByKey]=ContinuousStatsTable[[#This Row],[GroupByKey]])*ContinuousStatsTable[Average])),0)</f>
        <v>0</v>
      </c>
      <c r="Q680" cm="1">
        <f t="array" ref="Q680">MAX(IF((ProjectInfoTable[ProjectName]=ContinuousStatsTable[[#This Row],[ProjectName]]),(ProjectInfoTable[ProjectName]=ContinuousStatsTable[[#This Row],[ProjectName]])*ProjectInfoTable[ConfidenceInterval]))</f>
        <v>0.95</v>
      </c>
      <c r="R6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0" cm="1">
        <f t="array" ref="S680">MIN(IF((ContinuousStatsTable[GroupByKey]=ContinuousStatsTable[[#This Row],[GroupByKey]]),(ContinuousStatsTable[GroupByKey]=ContinuousStatsTable[[#This Row],[GroupByKey]])*ContinuousStatsTable[Average]))</f>
        <v>2</v>
      </c>
      <c r="T680" cm="1">
        <f t="array" ref="T680">MAX(IF((ContinuousStatsTable[GroupByKey]=ContinuousStatsTable[[#This Row],[GroupByKey]]),(ContinuousStatsTable[GroupByKey]=ContinuousStatsTable[[#This Row],[GroupByKey]])*ContinuousStatsTable[Average]))</f>
        <v>2</v>
      </c>
      <c r="U680">
        <f>IF((ContinuousStatsTable[[#This Row],[RepsRequested]]&gt;1),ContinuousStatsTable[[#This Row],[HalfWidth]],ContinuousStatsTable[[#This Row],[BatchMeansHalfWidth]])</f>
        <v>0</v>
      </c>
    </row>
    <row r="681" spans="1:21" x14ac:dyDescent="0.2">
      <c r="A681" t="s">
        <v>67</v>
      </c>
      <c r="B681" t="s">
        <v>70</v>
      </c>
      <c r="C681">
        <v>29</v>
      </c>
      <c r="D681" t="s">
        <v>74</v>
      </c>
      <c r="E681" t="s">
        <v>100</v>
      </c>
      <c r="F681" t="s">
        <v>76</v>
      </c>
      <c r="G681">
        <v>16.633690158776101</v>
      </c>
      <c r="H681">
        <v>1.4710683323927001</v>
      </c>
      <c r="I681">
        <v>1</v>
      </c>
      <c r="J681">
        <v>37</v>
      </c>
      <c r="K681">
        <v>14</v>
      </c>
      <c r="L681">
        <v>0</v>
      </c>
      <c r="M681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81" cm="1">
        <f t="array" ref="N681">MAX(IF((ProjectInfoTable[ProjectName]=ContinuousStatsTable[[#This Row],[ProjectName]]),(ProjectInfoTable[ProjectName]=ContinuousStatsTable[[#This Row],[ProjectName]])*ProjectInfoTable[NumberOfReplications]))</f>
        <v>30</v>
      </c>
      <c r="O681" cm="1">
        <f t="array" ref="O681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681" cm="1">
        <f t="array" ref="P681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681" cm="1">
        <f t="array" ref="Q681">MAX(IF((ProjectInfoTable[ProjectName]=ContinuousStatsTable[[#This Row],[ProjectName]]),(ProjectInfoTable[ProjectName]=ContinuousStatsTable[[#This Row],[ProjectName]])*ProjectInfoTable[ConfidenceInterval]))</f>
        <v>0.95</v>
      </c>
      <c r="R6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681" cm="1">
        <f t="array" ref="S681">MIN(IF((ContinuousStatsTable[GroupByKey]=ContinuousStatsTable[[#This Row],[GroupByKey]]),(ContinuousStatsTable[GroupByKey]=ContinuousStatsTable[[#This Row],[GroupByKey]])*ContinuousStatsTable[Average]))</f>
        <v>14.4112589759764</v>
      </c>
      <c r="T681" cm="1">
        <f t="array" ref="T681">MAX(IF((ContinuousStatsTable[GroupByKey]=ContinuousStatsTable[[#This Row],[GroupByKey]]),(ContinuousStatsTable[GroupByKey]=ContinuousStatsTable[[#This Row],[GroupByKey]])*ContinuousStatsTable[Average]))</f>
        <v>16.972707717517899</v>
      </c>
      <c r="U681">
        <f>IF((ContinuousStatsTable[[#This Row],[RepsRequested]]&gt;1),ContinuousStatsTable[[#This Row],[HalfWidth]],ContinuousStatsTable[[#This Row],[BatchMeansHalfWidth]])</f>
        <v>0.25870181881670146</v>
      </c>
    </row>
    <row r="682" spans="1:21" x14ac:dyDescent="0.2">
      <c r="A682" t="s">
        <v>67</v>
      </c>
      <c r="B682" t="s">
        <v>70</v>
      </c>
      <c r="C682">
        <v>29</v>
      </c>
      <c r="D682" t="s">
        <v>82</v>
      </c>
      <c r="E682" t="s">
        <v>98</v>
      </c>
      <c r="F682" t="s">
        <v>73</v>
      </c>
      <c r="G682">
        <v>0.21476430765103699</v>
      </c>
      <c r="H682">
        <v>2E+20</v>
      </c>
      <c r="I682">
        <v>0</v>
      </c>
      <c r="J682">
        <v>4</v>
      </c>
      <c r="K682">
        <v>0</v>
      </c>
      <c r="L682">
        <v>0</v>
      </c>
      <c r="M682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682" cm="1">
        <f t="array" ref="N682">MAX(IF((ProjectInfoTable[ProjectName]=ContinuousStatsTable[[#This Row],[ProjectName]]),(ProjectInfoTable[ProjectName]=ContinuousStatsTable[[#This Row],[ProjectName]])*ProjectInfoTable[NumberOfReplications]))</f>
        <v>30</v>
      </c>
      <c r="O682" cm="1">
        <f t="array" ref="O682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682" cm="1">
        <f t="array" ref="P682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682" cm="1">
        <f t="array" ref="Q682">MAX(IF((ProjectInfoTable[ProjectName]=ContinuousStatsTable[[#This Row],[ProjectName]]),(ProjectInfoTable[ProjectName]=ContinuousStatsTable[[#This Row],[ProjectName]])*ProjectInfoTable[ConfidenceInterval]))</f>
        <v>0.95</v>
      </c>
      <c r="R6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682" cm="1">
        <f t="array" ref="S682">MIN(IF((ContinuousStatsTable[GroupByKey]=ContinuousStatsTable[[#This Row],[GroupByKey]]),(ContinuousStatsTable[GroupByKey]=ContinuousStatsTable[[#This Row],[GroupByKey]])*ContinuousStatsTable[Average]))</f>
        <v>7.4406608295854798E-2</v>
      </c>
      <c r="T682" cm="1">
        <f t="array" ref="T682">MAX(IF((ContinuousStatsTable[GroupByKey]=ContinuousStatsTable[[#This Row],[GroupByKey]]),(ContinuousStatsTable[GroupByKey]=ContinuousStatsTable[[#This Row],[GroupByKey]])*ContinuousStatsTable[Average]))</f>
        <v>0.29874320707386398</v>
      </c>
      <c r="U682">
        <f>IF((ContinuousStatsTable[[#This Row],[RepsRequested]]&gt;1),ContinuousStatsTable[[#This Row],[HalfWidth]],ContinuousStatsTable[[#This Row],[BatchMeansHalfWidth]])</f>
        <v>2.0058204231149332E-2</v>
      </c>
    </row>
    <row r="683" spans="1:21" x14ac:dyDescent="0.2">
      <c r="A683" t="s">
        <v>67</v>
      </c>
      <c r="B683" t="s">
        <v>70</v>
      </c>
      <c r="C683">
        <v>29</v>
      </c>
      <c r="D683" t="s">
        <v>101</v>
      </c>
      <c r="E683" t="s">
        <v>94</v>
      </c>
      <c r="F683" t="s">
        <v>95</v>
      </c>
      <c r="G683">
        <v>2.07236842105263E-3</v>
      </c>
      <c r="H683">
        <v>2.6046621211136601E-4</v>
      </c>
      <c r="I683">
        <v>0</v>
      </c>
      <c r="J683">
        <v>3.7499999999999999E-2</v>
      </c>
      <c r="K683">
        <v>0</v>
      </c>
      <c r="L683">
        <v>0</v>
      </c>
      <c r="M683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683" cm="1">
        <f t="array" ref="N683">MAX(IF((ProjectInfoTable[ProjectName]=ContinuousStatsTable[[#This Row],[ProjectName]]),(ProjectInfoTable[ProjectName]=ContinuousStatsTable[[#This Row],[ProjectName]])*ProjectInfoTable[NumberOfReplications]))</f>
        <v>30</v>
      </c>
      <c r="O683" cm="1">
        <f t="array" ref="O683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683" cm="1">
        <f t="array" ref="P683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683" cm="1">
        <f t="array" ref="Q683">MAX(IF((ProjectInfoTable[ProjectName]=ContinuousStatsTable[[#This Row],[ProjectName]]),(ProjectInfoTable[ProjectName]=ContinuousStatsTable[[#This Row],[ProjectName]])*ProjectInfoTable[ConfidenceInterval]))</f>
        <v>0.95</v>
      </c>
      <c r="R6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683" cm="1">
        <f t="array" ref="S683">MIN(IF((ContinuousStatsTable[GroupByKey]=ContinuousStatsTable[[#This Row],[GroupByKey]]),(ContinuousStatsTable[GroupByKey]=ContinuousStatsTable[[#This Row],[GroupByKey]])*ContinuousStatsTable[Average]))</f>
        <v>1.70504385964912E-3</v>
      </c>
      <c r="T683" cm="1">
        <f t="array" ref="T683">MAX(IF((ContinuousStatsTable[GroupByKey]=ContinuousStatsTable[[#This Row],[GroupByKey]]),(ContinuousStatsTable[GroupByKey]=ContinuousStatsTable[[#This Row],[GroupByKey]])*ContinuousStatsTable[Average]))</f>
        <v>2.17031677925951E-3</v>
      </c>
      <c r="U683">
        <f>IF((ContinuousStatsTable[[#This Row],[RepsRequested]]&gt;1),ContinuousStatsTable[[#This Row],[HalfWidth]],ContinuousStatsTable[[#This Row],[BatchMeansHalfWidth]])</f>
        <v>4.4865881583116605E-5</v>
      </c>
    </row>
    <row r="684" spans="1:21" x14ac:dyDescent="0.2">
      <c r="A684" t="s">
        <v>67</v>
      </c>
      <c r="B684" t="s">
        <v>70</v>
      </c>
      <c r="C684">
        <v>29</v>
      </c>
      <c r="D684" t="s">
        <v>101</v>
      </c>
      <c r="E684" t="s">
        <v>96</v>
      </c>
      <c r="F684" t="s">
        <v>95</v>
      </c>
      <c r="G684">
        <v>0.16578947368420999</v>
      </c>
      <c r="H684">
        <v>2.0837296968909302E-2</v>
      </c>
      <c r="I684">
        <v>0</v>
      </c>
      <c r="J684">
        <v>3</v>
      </c>
      <c r="K684">
        <v>0</v>
      </c>
      <c r="L684">
        <v>0</v>
      </c>
      <c r="M684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684" cm="1">
        <f t="array" ref="N684">MAX(IF((ProjectInfoTable[ProjectName]=ContinuousStatsTable[[#This Row],[ProjectName]]),(ProjectInfoTable[ProjectName]=ContinuousStatsTable[[#This Row],[ProjectName]])*ProjectInfoTable[NumberOfReplications]))</f>
        <v>30</v>
      </c>
      <c r="O684" cm="1">
        <f t="array" ref="O684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684" cm="1">
        <f t="array" ref="P684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684" cm="1">
        <f t="array" ref="Q684">MAX(IF((ProjectInfoTable[ProjectName]=ContinuousStatsTable[[#This Row],[ProjectName]]),(ProjectInfoTable[ProjectName]=ContinuousStatsTable[[#This Row],[ProjectName]])*ProjectInfoTable[ConfidenceInterval]))</f>
        <v>0.95</v>
      </c>
      <c r="R6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684" cm="1">
        <f t="array" ref="S684">MIN(IF((ContinuousStatsTable[GroupByKey]=ContinuousStatsTable[[#This Row],[GroupByKey]]),(ContinuousStatsTable[GroupByKey]=ContinuousStatsTable[[#This Row],[GroupByKey]])*ContinuousStatsTable[Average]))</f>
        <v>0.13640350877193</v>
      </c>
      <c r="T684" cm="1">
        <f t="array" ref="T684">MAX(IF((ContinuousStatsTable[GroupByKey]=ContinuousStatsTable[[#This Row],[GroupByKey]]),(ContinuousStatsTable[GroupByKey]=ContinuousStatsTable[[#This Row],[GroupByKey]])*ContinuousStatsTable[Average]))</f>
        <v>0.17362534234076099</v>
      </c>
      <c r="U684">
        <f>IF((ContinuousStatsTable[[#This Row],[RepsRequested]]&gt;1),ContinuousStatsTable[[#This Row],[HalfWidth]],ContinuousStatsTable[[#This Row],[BatchMeansHalfWidth]])</f>
        <v>3.5892705266493139E-3</v>
      </c>
    </row>
    <row r="685" spans="1:21" x14ac:dyDescent="0.2">
      <c r="A685" t="s">
        <v>67</v>
      </c>
      <c r="B685" t="s">
        <v>70</v>
      </c>
      <c r="C685">
        <v>29</v>
      </c>
      <c r="D685" t="s">
        <v>101</v>
      </c>
      <c r="E685" t="s">
        <v>97</v>
      </c>
      <c r="F685" t="s">
        <v>95</v>
      </c>
      <c r="G685">
        <v>80</v>
      </c>
      <c r="H685">
        <v>2E+20</v>
      </c>
      <c r="I685">
        <v>80</v>
      </c>
      <c r="J685">
        <v>80</v>
      </c>
      <c r="K685">
        <v>80</v>
      </c>
      <c r="L685">
        <v>0</v>
      </c>
      <c r="M685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685" cm="1">
        <f t="array" ref="N685">MAX(IF((ProjectInfoTable[ProjectName]=ContinuousStatsTable[[#This Row],[ProjectName]]),(ProjectInfoTable[ProjectName]=ContinuousStatsTable[[#This Row],[ProjectName]])*ProjectInfoTable[NumberOfReplications]))</f>
        <v>30</v>
      </c>
      <c r="O685" cm="1">
        <f t="array" ref="O685">IFERROR(AVERAGE(IF((ContinuousStatsTable[GroupByKey]=ContinuousStatsTable[[#This Row],[GroupByKey]]),(ContinuousStatsTable[GroupByKey]=ContinuousStatsTable[[#This Row],[GroupByKey]])*ContinuousStatsTable[Average])),0)</f>
        <v>80</v>
      </c>
      <c r="P685" cm="1">
        <f t="array" ref="P685">IFERROR(_xlfn.STDEV.S(IF((ContinuousStatsTable[GroupByKey]=ContinuousStatsTable[[#This Row],[GroupByKey]]),(ContinuousStatsTable[GroupByKey]=ContinuousStatsTable[[#This Row],[GroupByKey]])*ContinuousStatsTable[Average])),0)</f>
        <v>0</v>
      </c>
      <c r="Q685" cm="1">
        <f t="array" ref="Q685">MAX(IF((ProjectInfoTable[ProjectName]=ContinuousStatsTable[[#This Row],[ProjectName]]),(ProjectInfoTable[ProjectName]=ContinuousStatsTable[[#This Row],[ProjectName]])*ProjectInfoTable[ConfidenceInterval]))</f>
        <v>0.95</v>
      </c>
      <c r="R6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5" cm="1">
        <f t="array" ref="S685">MIN(IF((ContinuousStatsTable[GroupByKey]=ContinuousStatsTable[[#This Row],[GroupByKey]]),(ContinuousStatsTable[GroupByKey]=ContinuousStatsTable[[#This Row],[GroupByKey]])*ContinuousStatsTable[Average]))</f>
        <v>80</v>
      </c>
      <c r="T685" cm="1">
        <f t="array" ref="T685">MAX(IF((ContinuousStatsTable[GroupByKey]=ContinuousStatsTable[[#This Row],[GroupByKey]]),(ContinuousStatsTable[GroupByKey]=ContinuousStatsTable[[#This Row],[GroupByKey]])*ContinuousStatsTable[Average]))</f>
        <v>80</v>
      </c>
      <c r="U685">
        <f>IF((ContinuousStatsTable[[#This Row],[RepsRequested]]&gt;1),ContinuousStatsTable[[#This Row],[HalfWidth]],ContinuousStatsTable[[#This Row],[BatchMeansHalfWidth]])</f>
        <v>0</v>
      </c>
    </row>
    <row r="686" spans="1:21" x14ac:dyDescent="0.2">
      <c r="A686" t="s">
        <v>67</v>
      </c>
      <c r="B686" t="s">
        <v>70</v>
      </c>
      <c r="C686">
        <v>29</v>
      </c>
      <c r="D686" t="s">
        <v>86</v>
      </c>
      <c r="E686" t="s">
        <v>98</v>
      </c>
      <c r="F686" t="s">
        <v>73</v>
      </c>
      <c r="G686">
        <v>0</v>
      </c>
      <c r="H686">
        <v>2E+20</v>
      </c>
      <c r="I686">
        <v>0</v>
      </c>
      <c r="J686">
        <v>0</v>
      </c>
      <c r="K686">
        <v>0</v>
      </c>
      <c r="L686">
        <v>0</v>
      </c>
      <c r="M686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686" cm="1">
        <f t="array" ref="N686">MAX(IF((ProjectInfoTable[ProjectName]=ContinuousStatsTable[[#This Row],[ProjectName]]),(ProjectInfoTable[ProjectName]=ContinuousStatsTable[[#This Row],[ProjectName]])*ProjectInfoTable[NumberOfReplications]))</f>
        <v>30</v>
      </c>
      <c r="O686" cm="1">
        <f t="array" ref="O686">IFERROR(AVERAGE(IF((ContinuousStatsTable[GroupByKey]=ContinuousStatsTable[[#This Row],[GroupByKey]]),(ContinuousStatsTable[GroupByKey]=ContinuousStatsTable[[#This Row],[GroupByKey]])*ContinuousStatsTable[Average])),0)</f>
        <v>0</v>
      </c>
      <c r="P686" cm="1">
        <f t="array" ref="P686">IFERROR(_xlfn.STDEV.S(IF((ContinuousStatsTable[GroupByKey]=ContinuousStatsTable[[#This Row],[GroupByKey]]),(ContinuousStatsTable[GroupByKey]=ContinuousStatsTable[[#This Row],[GroupByKey]])*ContinuousStatsTable[Average])),0)</f>
        <v>0</v>
      </c>
      <c r="Q686" cm="1">
        <f t="array" ref="Q686">MAX(IF((ProjectInfoTable[ProjectName]=ContinuousStatsTable[[#This Row],[ProjectName]]),(ProjectInfoTable[ProjectName]=ContinuousStatsTable[[#This Row],[ProjectName]])*ProjectInfoTable[ConfidenceInterval]))</f>
        <v>0.95</v>
      </c>
      <c r="R6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6" cm="1">
        <f t="array" ref="S686">MIN(IF((ContinuousStatsTable[GroupByKey]=ContinuousStatsTable[[#This Row],[GroupByKey]]),(ContinuousStatsTable[GroupByKey]=ContinuousStatsTable[[#This Row],[GroupByKey]])*ContinuousStatsTable[Average]))</f>
        <v>0</v>
      </c>
      <c r="T686" cm="1">
        <f t="array" ref="T686">MAX(IF((ContinuousStatsTable[GroupByKey]=ContinuousStatsTable[[#This Row],[GroupByKey]]),(ContinuousStatsTable[GroupByKey]=ContinuousStatsTable[[#This Row],[GroupByKey]])*ContinuousStatsTable[Average]))</f>
        <v>0</v>
      </c>
      <c r="U686">
        <f>IF((ContinuousStatsTable[[#This Row],[RepsRequested]]&gt;1),ContinuousStatsTable[[#This Row],[HalfWidth]],ContinuousStatsTable[[#This Row],[BatchMeansHalfWidth]])</f>
        <v>0</v>
      </c>
    </row>
    <row r="687" spans="1:21" x14ac:dyDescent="0.2">
      <c r="A687" t="s">
        <v>67</v>
      </c>
      <c r="B687" t="s">
        <v>70</v>
      </c>
      <c r="C687">
        <v>29</v>
      </c>
      <c r="D687" t="s">
        <v>87</v>
      </c>
      <c r="E687" t="s">
        <v>98</v>
      </c>
      <c r="F687" t="s">
        <v>73</v>
      </c>
      <c r="G687">
        <v>0</v>
      </c>
      <c r="H687">
        <v>2E+20</v>
      </c>
      <c r="I687">
        <v>0</v>
      </c>
      <c r="J687">
        <v>0</v>
      </c>
      <c r="K687">
        <v>0</v>
      </c>
      <c r="L687">
        <v>0</v>
      </c>
      <c r="M687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687" cm="1">
        <f t="array" ref="N687">MAX(IF((ProjectInfoTable[ProjectName]=ContinuousStatsTable[[#This Row],[ProjectName]]),(ProjectInfoTable[ProjectName]=ContinuousStatsTable[[#This Row],[ProjectName]])*ProjectInfoTable[NumberOfReplications]))</f>
        <v>30</v>
      </c>
      <c r="O687" cm="1">
        <f t="array" ref="O687">IFERROR(AVERAGE(IF((ContinuousStatsTable[GroupByKey]=ContinuousStatsTable[[#This Row],[GroupByKey]]),(ContinuousStatsTable[GroupByKey]=ContinuousStatsTable[[#This Row],[GroupByKey]])*ContinuousStatsTable[Average])),0)</f>
        <v>0</v>
      </c>
      <c r="P687" cm="1">
        <f t="array" ref="P687">IFERROR(_xlfn.STDEV.S(IF((ContinuousStatsTable[GroupByKey]=ContinuousStatsTable[[#This Row],[GroupByKey]]),(ContinuousStatsTable[GroupByKey]=ContinuousStatsTable[[#This Row],[GroupByKey]])*ContinuousStatsTable[Average])),0)</f>
        <v>0</v>
      </c>
      <c r="Q687" cm="1">
        <f t="array" ref="Q687">MAX(IF((ProjectInfoTable[ProjectName]=ContinuousStatsTable[[#This Row],[ProjectName]]),(ProjectInfoTable[ProjectName]=ContinuousStatsTable[[#This Row],[ProjectName]])*ProjectInfoTable[ConfidenceInterval]))</f>
        <v>0.95</v>
      </c>
      <c r="R6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87" cm="1">
        <f t="array" ref="S687">MIN(IF((ContinuousStatsTable[GroupByKey]=ContinuousStatsTable[[#This Row],[GroupByKey]]),(ContinuousStatsTable[GroupByKey]=ContinuousStatsTable[[#This Row],[GroupByKey]])*ContinuousStatsTable[Average]))</f>
        <v>0</v>
      </c>
      <c r="T687" cm="1">
        <f t="array" ref="T687">MAX(IF((ContinuousStatsTable[GroupByKey]=ContinuousStatsTable[[#This Row],[GroupByKey]]),(ContinuousStatsTable[GroupByKey]=ContinuousStatsTable[[#This Row],[GroupByKey]])*ContinuousStatsTable[Average]))</f>
        <v>0</v>
      </c>
      <c r="U687">
        <f>IF((ContinuousStatsTable[[#This Row],[RepsRequested]]&gt;1),ContinuousStatsTable[[#This Row],[HalfWidth]],ContinuousStatsTable[[#This Row],[BatchMeansHalfWidth]])</f>
        <v>0</v>
      </c>
    </row>
    <row r="688" spans="1:21" x14ac:dyDescent="0.2">
      <c r="A688" t="s">
        <v>67</v>
      </c>
      <c r="B688" t="s">
        <v>70</v>
      </c>
      <c r="C688">
        <v>29</v>
      </c>
      <c r="D688" t="s">
        <v>88</v>
      </c>
      <c r="E688" t="s">
        <v>98</v>
      </c>
      <c r="F688" t="s">
        <v>73</v>
      </c>
      <c r="G688">
        <v>1.4666527467210799</v>
      </c>
      <c r="H688">
        <v>0.11082573442022101</v>
      </c>
      <c r="I688">
        <v>0</v>
      </c>
      <c r="J688">
        <v>4</v>
      </c>
      <c r="K688">
        <v>3</v>
      </c>
      <c r="L688">
        <v>0</v>
      </c>
      <c r="M688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688" cm="1">
        <f t="array" ref="N688">MAX(IF((ProjectInfoTable[ProjectName]=ContinuousStatsTable[[#This Row],[ProjectName]]),(ProjectInfoTable[ProjectName]=ContinuousStatsTable[[#This Row],[ProjectName]])*ProjectInfoTable[NumberOfReplications]))</f>
        <v>30</v>
      </c>
      <c r="O688" cm="1">
        <f t="array" ref="O688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688" cm="1">
        <f t="array" ref="P688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688" cm="1">
        <f t="array" ref="Q688">MAX(IF((ProjectInfoTable[ProjectName]=ContinuousStatsTable[[#This Row],[ProjectName]]),(ProjectInfoTable[ProjectName]=ContinuousStatsTable[[#This Row],[ProjectName]])*ProjectInfoTable[ConfidenceInterval]))</f>
        <v>0.95</v>
      </c>
      <c r="R6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688" cm="1">
        <f t="array" ref="S688">MIN(IF((ContinuousStatsTable[GroupByKey]=ContinuousStatsTable[[#This Row],[GroupByKey]]),(ContinuousStatsTable[GroupByKey]=ContinuousStatsTable[[#This Row],[GroupByKey]])*ContinuousStatsTable[Average]))</f>
        <v>1.4062336911317099</v>
      </c>
      <c r="T688" cm="1">
        <f t="array" ref="T688">MAX(IF((ContinuousStatsTable[GroupByKey]=ContinuousStatsTable[[#This Row],[GroupByKey]]),(ContinuousStatsTable[GroupByKey]=ContinuousStatsTable[[#This Row],[GroupByKey]])*ContinuousStatsTable[Average]))</f>
        <v>1.5889769030929</v>
      </c>
      <c r="U688">
        <f>IF((ContinuousStatsTable[[#This Row],[RepsRequested]]&gt;1),ContinuousStatsTable[[#This Row],[HalfWidth]],ContinuousStatsTable[[#This Row],[BatchMeansHalfWidth]])</f>
        <v>1.602866983772662E-2</v>
      </c>
    </row>
    <row r="689" spans="1:21" x14ac:dyDescent="0.2">
      <c r="A689" t="s">
        <v>67</v>
      </c>
      <c r="B689" t="s">
        <v>70</v>
      </c>
      <c r="C689">
        <v>29</v>
      </c>
      <c r="D689" t="s">
        <v>102</v>
      </c>
      <c r="E689" t="s">
        <v>94</v>
      </c>
      <c r="F689" t="s">
        <v>95</v>
      </c>
      <c r="G689">
        <v>4.9780701754385901E-3</v>
      </c>
      <c r="H689">
        <v>6.4985456340619198E-4</v>
      </c>
      <c r="I689">
        <v>0</v>
      </c>
      <c r="J689">
        <v>0.15</v>
      </c>
      <c r="K689">
        <v>0</v>
      </c>
      <c r="L689">
        <v>0</v>
      </c>
      <c r="M689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689" cm="1">
        <f t="array" ref="N689">MAX(IF((ProjectInfoTable[ProjectName]=ContinuousStatsTable[[#This Row],[ProjectName]]),(ProjectInfoTable[ProjectName]=ContinuousStatsTable[[#This Row],[ProjectName]])*ProjectInfoTable[NumberOfReplications]))</f>
        <v>30</v>
      </c>
      <c r="O689" cm="1">
        <f t="array" ref="O689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689" cm="1">
        <f t="array" ref="P689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689" cm="1">
        <f t="array" ref="Q689">MAX(IF((ProjectInfoTable[ProjectName]=ContinuousStatsTable[[#This Row],[ProjectName]]),(ProjectInfoTable[ProjectName]=ContinuousStatsTable[[#This Row],[ProjectName]])*ProjectInfoTable[ConfidenceInterval]))</f>
        <v>0.95</v>
      </c>
      <c r="R6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689" cm="1">
        <f t="array" ref="S689">MIN(IF((ContinuousStatsTable[GroupByKey]=ContinuousStatsTable[[#This Row],[GroupByKey]]),(ContinuousStatsTable[GroupByKey]=ContinuousStatsTable[[#This Row],[GroupByKey]])*ContinuousStatsTable[Average]))</f>
        <v>4.4956140350877203E-3</v>
      </c>
      <c r="T689" cm="1">
        <f t="array" ref="T689">MAX(IF((ContinuousStatsTable[GroupByKey]=ContinuousStatsTable[[#This Row],[GroupByKey]]),(ContinuousStatsTable[GroupByKey]=ContinuousStatsTable[[#This Row],[GroupByKey]])*ContinuousStatsTable[Average]))</f>
        <v>5.5482456140350904E-3</v>
      </c>
      <c r="U689">
        <f>IF((ContinuousStatsTable[[#This Row],[RepsRequested]]&gt;1),ContinuousStatsTable[[#This Row],[HalfWidth]],ContinuousStatsTable[[#This Row],[BatchMeansHalfWidth]])</f>
        <v>1.0144486472958472E-4</v>
      </c>
    </row>
    <row r="690" spans="1:21" x14ac:dyDescent="0.2">
      <c r="A690" t="s">
        <v>67</v>
      </c>
      <c r="B690" t="s">
        <v>70</v>
      </c>
      <c r="C690">
        <v>29</v>
      </c>
      <c r="D690" t="s">
        <v>102</v>
      </c>
      <c r="E690" t="s">
        <v>96</v>
      </c>
      <c r="F690" t="s">
        <v>95</v>
      </c>
      <c r="G690">
        <v>9.9561403508772003E-2</v>
      </c>
      <c r="H690">
        <v>1.29970912681238E-2</v>
      </c>
      <c r="I690">
        <v>0</v>
      </c>
      <c r="J690">
        <v>3</v>
      </c>
      <c r="K690">
        <v>0</v>
      </c>
      <c r="L690">
        <v>0</v>
      </c>
      <c r="M690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690" cm="1">
        <f t="array" ref="N690">MAX(IF((ProjectInfoTable[ProjectName]=ContinuousStatsTable[[#This Row],[ProjectName]]),(ProjectInfoTable[ProjectName]=ContinuousStatsTable[[#This Row],[ProjectName]])*ProjectInfoTable[NumberOfReplications]))</f>
        <v>30</v>
      </c>
      <c r="O690" cm="1">
        <f t="array" ref="O690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690" cm="1">
        <f t="array" ref="P690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690" cm="1">
        <f t="array" ref="Q690">MAX(IF((ProjectInfoTable[ProjectName]=ContinuousStatsTable[[#This Row],[ProjectName]]),(ProjectInfoTable[ProjectName]=ContinuousStatsTable[[#This Row],[ProjectName]])*ProjectInfoTable[ConfidenceInterval]))</f>
        <v>0.95</v>
      </c>
      <c r="R6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690" cm="1">
        <f t="array" ref="S690">MIN(IF((ContinuousStatsTable[GroupByKey]=ContinuousStatsTable[[#This Row],[GroupByKey]]),(ContinuousStatsTable[GroupByKey]=ContinuousStatsTable[[#This Row],[GroupByKey]])*ContinuousStatsTable[Average]))</f>
        <v>8.9912280701754305E-2</v>
      </c>
      <c r="T690" cm="1">
        <f t="array" ref="T690">MAX(IF((ContinuousStatsTable[GroupByKey]=ContinuousStatsTable[[#This Row],[GroupByKey]]),(ContinuousStatsTable[GroupByKey]=ContinuousStatsTable[[#This Row],[GroupByKey]])*ContinuousStatsTable[Average]))</f>
        <v>0.110964912280702</v>
      </c>
      <c r="U690">
        <f>IF((ContinuousStatsTable[[#This Row],[RepsRequested]]&gt;1),ContinuousStatsTable[[#This Row],[HalfWidth]],ContinuousStatsTable[[#This Row],[BatchMeansHalfWidth]])</f>
        <v>2.0288972945916956E-3</v>
      </c>
    </row>
    <row r="691" spans="1:21" x14ac:dyDescent="0.2">
      <c r="A691" t="s">
        <v>67</v>
      </c>
      <c r="B691" t="s">
        <v>70</v>
      </c>
      <c r="C691">
        <v>29</v>
      </c>
      <c r="D691" t="s">
        <v>102</v>
      </c>
      <c r="E691" t="s">
        <v>97</v>
      </c>
      <c r="F691" t="s">
        <v>95</v>
      </c>
      <c r="G691">
        <v>20</v>
      </c>
      <c r="H691">
        <v>2E+20</v>
      </c>
      <c r="I691">
        <v>20</v>
      </c>
      <c r="J691">
        <v>20</v>
      </c>
      <c r="K691">
        <v>20</v>
      </c>
      <c r="L691">
        <v>0</v>
      </c>
      <c r="M691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691" cm="1">
        <f t="array" ref="N691">MAX(IF((ProjectInfoTable[ProjectName]=ContinuousStatsTable[[#This Row],[ProjectName]]),(ProjectInfoTable[ProjectName]=ContinuousStatsTable[[#This Row],[ProjectName]])*ProjectInfoTable[NumberOfReplications]))</f>
        <v>30</v>
      </c>
      <c r="O691" cm="1">
        <f t="array" ref="O691">IFERROR(AVERAGE(IF((ContinuousStatsTable[GroupByKey]=ContinuousStatsTable[[#This Row],[GroupByKey]]),(ContinuousStatsTable[GroupByKey]=ContinuousStatsTable[[#This Row],[GroupByKey]])*ContinuousStatsTable[Average])),0)</f>
        <v>20</v>
      </c>
      <c r="P691" cm="1">
        <f t="array" ref="P691">IFERROR(_xlfn.STDEV.S(IF((ContinuousStatsTable[GroupByKey]=ContinuousStatsTable[[#This Row],[GroupByKey]]),(ContinuousStatsTable[GroupByKey]=ContinuousStatsTable[[#This Row],[GroupByKey]])*ContinuousStatsTable[Average])),0)</f>
        <v>0</v>
      </c>
      <c r="Q691" cm="1">
        <f t="array" ref="Q691">MAX(IF((ProjectInfoTable[ProjectName]=ContinuousStatsTable[[#This Row],[ProjectName]]),(ProjectInfoTable[ProjectName]=ContinuousStatsTable[[#This Row],[ProjectName]])*ProjectInfoTable[ConfidenceInterval]))</f>
        <v>0.95</v>
      </c>
      <c r="R6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1" cm="1">
        <f t="array" ref="S691">MIN(IF((ContinuousStatsTable[GroupByKey]=ContinuousStatsTable[[#This Row],[GroupByKey]]),(ContinuousStatsTable[GroupByKey]=ContinuousStatsTable[[#This Row],[GroupByKey]])*ContinuousStatsTable[Average]))</f>
        <v>20</v>
      </c>
      <c r="T691" cm="1">
        <f t="array" ref="T691">MAX(IF((ContinuousStatsTable[GroupByKey]=ContinuousStatsTable[[#This Row],[GroupByKey]]),(ContinuousStatsTable[GroupByKey]=ContinuousStatsTable[[#This Row],[GroupByKey]])*ContinuousStatsTable[Average]))</f>
        <v>20</v>
      </c>
      <c r="U691">
        <f>IF((ContinuousStatsTable[[#This Row],[RepsRequested]]&gt;1),ContinuousStatsTable[[#This Row],[HalfWidth]],ContinuousStatsTable[[#This Row],[BatchMeansHalfWidth]])</f>
        <v>0</v>
      </c>
    </row>
    <row r="692" spans="1:21" x14ac:dyDescent="0.2">
      <c r="A692" t="s">
        <v>67</v>
      </c>
      <c r="B692" t="s">
        <v>70</v>
      </c>
      <c r="C692">
        <v>29</v>
      </c>
      <c r="D692" t="s">
        <v>90</v>
      </c>
      <c r="E692" t="s">
        <v>98</v>
      </c>
      <c r="F692" t="s">
        <v>73</v>
      </c>
      <c r="G692">
        <v>0</v>
      </c>
      <c r="H692">
        <v>2E+20</v>
      </c>
      <c r="I692">
        <v>0</v>
      </c>
      <c r="J692">
        <v>0</v>
      </c>
      <c r="K692">
        <v>0</v>
      </c>
      <c r="L692">
        <v>0</v>
      </c>
      <c r="M692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692" cm="1">
        <f t="array" ref="N692">MAX(IF((ProjectInfoTable[ProjectName]=ContinuousStatsTable[[#This Row],[ProjectName]]),(ProjectInfoTable[ProjectName]=ContinuousStatsTable[[#This Row],[ProjectName]])*ProjectInfoTable[NumberOfReplications]))</f>
        <v>30</v>
      </c>
      <c r="O692" cm="1">
        <f t="array" ref="O692">IFERROR(AVERAGE(IF((ContinuousStatsTable[GroupByKey]=ContinuousStatsTable[[#This Row],[GroupByKey]]),(ContinuousStatsTable[GroupByKey]=ContinuousStatsTable[[#This Row],[GroupByKey]])*ContinuousStatsTable[Average])),0)</f>
        <v>0</v>
      </c>
      <c r="P692" cm="1">
        <f t="array" ref="P692">IFERROR(_xlfn.STDEV.S(IF((ContinuousStatsTable[GroupByKey]=ContinuousStatsTable[[#This Row],[GroupByKey]]),(ContinuousStatsTable[GroupByKey]=ContinuousStatsTable[[#This Row],[GroupByKey]])*ContinuousStatsTable[Average])),0)</f>
        <v>0</v>
      </c>
      <c r="Q692" cm="1">
        <f t="array" ref="Q692">MAX(IF((ProjectInfoTable[ProjectName]=ContinuousStatsTable[[#This Row],[ProjectName]]),(ProjectInfoTable[ProjectName]=ContinuousStatsTable[[#This Row],[ProjectName]])*ProjectInfoTable[ConfidenceInterval]))</f>
        <v>0.95</v>
      </c>
      <c r="R6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2" cm="1">
        <f t="array" ref="S692">MIN(IF((ContinuousStatsTable[GroupByKey]=ContinuousStatsTable[[#This Row],[GroupByKey]]),(ContinuousStatsTable[GroupByKey]=ContinuousStatsTable[[#This Row],[GroupByKey]])*ContinuousStatsTable[Average]))</f>
        <v>0</v>
      </c>
      <c r="T692" cm="1">
        <f t="array" ref="T692">MAX(IF((ContinuousStatsTable[GroupByKey]=ContinuousStatsTable[[#This Row],[GroupByKey]]),(ContinuousStatsTable[GroupByKey]=ContinuousStatsTable[[#This Row],[GroupByKey]])*ContinuousStatsTable[Average]))</f>
        <v>0</v>
      </c>
      <c r="U692">
        <f>IF((ContinuousStatsTable[[#This Row],[RepsRequested]]&gt;1),ContinuousStatsTable[[#This Row],[HalfWidth]],ContinuousStatsTable[[#This Row],[BatchMeansHalfWidth]])</f>
        <v>0</v>
      </c>
    </row>
    <row r="693" spans="1:21" x14ac:dyDescent="0.2">
      <c r="A693" t="s">
        <v>67</v>
      </c>
      <c r="B693" t="s">
        <v>70</v>
      </c>
      <c r="C693">
        <v>29</v>
      </c>
      <c r="D693" t="s">
        <v>91</v>
      </c>
      <c r="E693" t="s">
        <v>98</v>
      </c>
      <c r="F693" t="s">
        <v>73</v>
      </c>
      <c r="G693">
        <v>0</v>
      </c>
      <c r="H693">
        <v>2E+20</v>
      </c>
      <c r="I693">
        <v>0</v>
      </c>
      <c r="J693">
        <v>0</v>
      </c>
      <c r="K693">
        <v>0</v>
      </c>
      <c r="L693">
        <v>0</v>
      </c>
      <c r="M693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693" cm="1">
        <f t="array" ref="N693">MAX(IF((ProjectInfoTable[ProjectName]=ContinuousStatsTable[[#This Row],[ProjectName]]),(ProjectInfoTable[ProjectName]=ContinuousStatsTable[[#This Row],[ProjectName]])*ProjectInfoTable[NumberOfReplications]))</f>
        <v>30</v>
      </c>
      <c r="O693" cm="1">
        <f t="array" ref="O693">IFERROR(AVERAGE(IF((ContinuousStatsTable[GroupByKey]=ContinuousStatsTable[[#This Row],[GroupByKey]]),(ContinuousStatsTable[GroupByKey]=ContinuousStatsTable[[#This Row],[GroupByKey]])*ContinuousStatsTable[Average])),0)</f>
        <v>0</v>
      </c>
      <c r="P693" cm="1">
        <f t="array" ref="P693">IFERROR(_xlfn.STDEV.S(IF((ContinuousStatsTable[GroupByKey]=ContinuousStatsTable[[#This Row],[GroupByKey]]),(ContinuousStatsTable[GroupByKey]=ContinuousStatsTable[[#This Row],[GroupByKey]])*ContinuousStatsTable[Average])),0)</f>
        <v>0</v>
      </c>
      <c r="Q693" cm="1">
        <f t="array" ref="Q693">MAX(IF((ProjectInfoTable[ProjectName]=ContinuousStatsTable[[#This Row],[ProjectName]]),(ProjectInfoTable[ProjectName]=ContinuousStatsTable[[#This Row],[ProjectName]])*ProjectInfoTable[ConfidenceInterval]))</f>
        <v>0.95</v>
      </c>
      <c r="R6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3" cm="1">
        <f t="array" ref="S693">MIN(IF((ContinuousStatsTable[GroupByKey]=ContinuousStatsTable[[#This Row],[GroupByKey]]),(ContinuousStatsTable[GroupByKey]=ContinuousStatsTable[[#This Row],[GroupByKey]])*ContinuousStatsTable[Average]))</f>
        <v>0</v>
      </c>
      <c r="T693" cm="1">
        <f t="array" ref="T693">MAX(IF((ContinuousStatsTable[GroupByKey]=ContinuousStatsTable[[#This Row],[GroupByKey]]),(ContinuousStatsTable[GroupByKey]=ContinuousStatsTable[[#This Row],[GroupByKey]])*ContinuousStatsTable[Average]))</f>
        <v>0</v>
      </c>
      <c r="U693">
        <f>IF((ContinuousStatsTable[[#This Row],[RepsRequested]]&gt;1),ContinuousStatsTable[[#This Row],[HalfWidth]],ContinuousStatsTable[[#This Row],[BatchMeansHalfWidth]])</f>
        <v>0</v>
      </c>
    </row>
    <row r="694" spans="1:21" x14ac:dyDescent="0.2">
      <c r="A694" t="s">
        <v>67</v>
      </c>
      <c r="B694" t="s">
        <v>70</v>
      </c>
      <c r="C694">
        <v>29</v>
      </c>
      <c r="D694" t="s">
        <v>92</v>
      </c>
      <c r="E694" t="s">
        <v>98</v>
      </c>
      <c r="F694" t="s">
        <v>73</v>
      </c>
      <c r="G694">
        <v>0</v>
      </c>
      <c r="H694">
        <v>2E+20</v>
      </c>
      <c r="I694">
        <v>0</v>
      </c>
      <c r="J694">
        <v>0</v>
      </c>
      <c r="K694">
        <v>0</v>
      </c>
      <c r="L694">
        <v>0</v>
      </c>
      <c r="M694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694" cm="1">
        <f t="array" ref="N694">MAX(IF((ProjectInfoTable[ProjectName]=ContinuousStatsTable[[#This Row],[ProjectName]]),(ProjectInfoTable[ProjectName]=ContinuousStatsTable[[#This Row],[ProjectName]])*ProjectInfoTable[NumberOfReplications]))</f>
        <v>30</v>
      </c>
      <c r="O694" cm="1">
        <f t="array" ref="O694">IFERROR(AVERAGE(IF((ContinuousStatsTable[GroupByKey]=ContinuousStatsTable[[#This Row],[GroupByKey]]),(ContinuousStatsTable[GroupByKey]=ContinuousStatsTable[[#This Row],[GroupByKey]])*ContinuousStatsTable[Average])),0)</f>
        <v>0</v>
      </c>
      <c r="P694" cm="1">
        <f t="array" ref="P694">IFERROR(_xlfn.STDEV.S(IF((ContinuousStatsTable[GroupByKey]=ContinuousStatsTable[[#This Row],[GroupByKey]]),(ContinuousStatsTable[GroupByKey]=ContinuousStatsTable[[#This Row],[GroupByKey]])*ContinuousStatsTable[Average])),0)</f>
        <v>0</v>
      </c>
      <c r="Q694" cm="1">
        <f t="array" ref="Q694">MAX(IF((ProjectInfoTable[ProjectName]=ContinuousStatsTable[[#This Row],[ProjectName]]),(ProjectInfoTable[ProjectName]=ContinuousStatsTable[[#This Row],[ProjectName]])*ProjectInfoTable[ConfidenceInterval]))</f>
        <v>0.95</v>
      </c>
      <c r="R6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4" cm="1">
        <f t="array" ref="S694">MIN(IF((ContinuousStatsTable[GroupByKey]=ContinuousStatsTable[[#This Row],[GroupByKey]]),(ContinuousStatsTable[GroupByKey]=ContinuousStatsTable[[#This Row],[GroupByKey]])*ContinuousStatsTable[Average]))</f>
        <v>0</v>
      </c>
      <c r="T694" cm="1">
        <f t="array" ref="T694">MAX(IF((ContinuousStatsTable[GroupByKey]=ContinuousStatsTable[[#This Row],[GroupByKey]]),(ContinuousStatsTable[GroupByKey]=ContinuousStatsTable[[#This Row],[GroupByKey]])*ContinuousStatsTable[Average]))</f>
        <v>0</v>
      </c>
      <c r="U694">
        <f>IF((ContinuousStatsTable[[#This Row],[RepsRequested]]&gt;1),ContinuousStatsTable[[#This Row],[HalfWidth]],ContinuousStatsTable[[#This Row],[BatchMeansHalfWidth]])</f>
        <v>0</v>
      </c>
    </row>
    <row r="695" spans="1:21" x14ac:dyDescent="0.2">
      <c r="A695" t="s">
        <v>67</v>
      </c>
      <c r="B695" t="s">
        <v>70</v>
      </c>
      <c r="C695">
        <v>29</v>
      </c>
      <c r="D695" t="s">
        <v>103</v>
      </c>
      <c r="E695" t="s">
        <v>94</v>
      </c>
      <c r="F695" t="s">
        <v>95</v>
      </c>
      <c r="G695">
        <v>8.9076989614609706E-2</v>
      </c>
      <c r="H695">
        <v>2E+20</v>
      </c>
      <c r="I695">
        <v>0</v>
      </c>
      <c r="J695">
        <v>0.66666666666666696</v>
      </c>
      <c r="K695">
        <v>0</v>
      </c>
      <c r="L695">
        <v>0</v>
      </c>
      <c r="M695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695" cm="1">
        <f t="array" ref="N695">MAX(IF((ProjectInfoTable[ProjectName]=ContinuousStatsTable[[#This Row],[ProjectName]]),(ProjectInfoTable[ProjectName]=ContinuousStatsTable[[#This Row],[ProjectName]])*ProjectInfoTable[NumberOfReplications]))</f>
        <v>30</v>
      </c>
      <c r="O695" cm="1">
        <f t="array" ref="O695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695" cm="1">
        <f t="array" ref="P695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695" cm="1">
        <f t="array" ref="Q695">MAX(IF((ProjectInfoTable[ProjectName]=ContinuousStatsTable[[#This Row],[ProjectName]]),(ProjectInfoTable[ProjectName]=ContinuousStatsTable[[#This Row],[ProjectName]])*ProjectInfoTable[ConfidenceInterval]))</f>
        <v>0.95</v>
      </c>
      <c r="R6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695" cm="1">
        <f t="array" ref="S695">MIN(IF((ContinuousStatsTable[GroupByKey]=ContinuousStatsTable[[#This Row],[GroupByKey]]),(ContinuousStatsTable[GroupByKey]=ContinuousStatsTable[[#This Row],[GroupByKey]])*ContinuousStatsTable[Average]))</f>
        <v>7.7176470357846902E-2</v>
      </c>
      <c r="T695" cm="1">
        <f t="array" ref="T695">MAX(IF((ContinuousStatsTable[GroupByKey]=ContinuousStatsTable[[#This Row],[GroupByKey]]),(ContinuousStatsTable[GroupByKey]=ContinuousStatsTable[[#This Row],[GroupByKey]])*ContinuousStatsTable[Average]))</f>
        <v>9.2534326714405896E-2</v>
      </c>
      <c r="U695">
        <f>IF((ContinuousStatsTable[[#This Row],[RepsRequested]]&gt;1),ContinuousStatsTable[[#This Row],[HalfWidth]],ContinuousStatsTable[[#This Row],[BatchMeansHalfWidth]])</f>
        <v>1.3238327186697659E-3</v>
      </c>
    </row>
    <row r="696" spans="1:21" x14ac:dyDescent="0.2">
      <c r="A696" t="s">
        <v>67</v>
      </c>
      <c r="B696" t="s">
        <v>70</v>
      </c>
      <c r="C696">
        <v>29</v>
      </c>
      <c r="D696" t="s">
        <v>103</v>
      </c>
      <c r="E696" t="s">
        <v>96</v>
      </c>
      <c r="F696" t="s">
        <v>95</v>
      </c>
      <c r="G696">
        <v>0.26723096884382902</v>
      </c>
      <c r="H696">
        <v>2E+20</v>
      </c>
      <c r="I696">
        <v>0</v>
      </c>
      <c r="J696">
        <v>2</v>
      </c>
      <c r="K696">
        <v>0</v>
      </c>
      <c r="L696">
        <v>0</v>
      </c>
      <c r="M696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696" cm="1">
        <f t="array" ref="N696">MAX(IF((ProjectInfoTable[ProjectName]=ContinuousStatsTable[[#This Row],[ProjectName]]),(ProjectInfoTable[ProjectName]=ContinuousStatsTable[[#This Row],[ProjectName]])*ProjectInfoTable[NumberOfReplications]))</f>
        <v>30</v>
      </c>
      <c r="O696" cm="1">
        <f t="array" ref="O696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696" cm="1">
        <f t="array" ref="P696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696" cm="1">
        <f t="array" ref="Q696">MAX(IF((ProjectInfoTable[ProjectName]=ContinuousStatsTable[[#This Row],[ProjectName]]),(ProjectInfoTable[ProjectName]=ContinuousStatsTable[[#This Row],[ProjectName]])*ProjectInfoTable[ConfidenceInterval]))</f>
        <v>0.95</v>
      </c>
      <c r="R6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696" cm="1">
        <f t="array" ref="S696">MIN(IF((ContinuousStatsTable[GroupByKey]=ContinuousStatsTable[[#This Row],[GroupByKey]]),(ContinuousStatsTable[GroupByKey]=ContinuousStatsTable[[#This Row],[GroupByKey]])*ContinuousStatsTable[Average]))</f>
        <v>0.231529411073541</v>
      </c>
      <c r="T696" cm="1">
        <f t="array" ref="T696">MAX(IF((ContinuousStatsTable[GroupByKey]=ContinuousStatsTable[[#This Row],[GroupByKey]]),(ContinuousStatsTable[GroupByKey]=ContinuousStatsTable[[#This Row],[GroupByKey]])*ContinuousStatsTable[Average]))</f>
        <v>0.27760298014321699</v>
      </c>
      <c r="U696">
        <f>IF((ContinuousStatsTable[[#This Row],[RepsRequested]]&gt;1),ContinuousStatsTable[[#This Row],[HalfWidth]],ContinuousStatsTable[[#This Row],[BatchMeansHalfWidth]])</f>
        <v>3.9714981560092996E-3</v>
      </c>
    </row>
    <row r="697" spans="1:21" x14ac:dyDescent="0.2">
      <c r="A697" t="s">
        <v>67</v>
      </c>
      <c r="B697" t="s">
        <v>70</v>
      </c>
      <c r="C697">
        <v>29</v>
      </c>
      <c r="D697" t="s">
        <v>103</v>
      </c>
      <c r="E697" t="s">
        <v>97</v>
      </c>
      <c r="F697" t="s">
        <v>95</v>
      </c>
      <c r="G697">
        <v>3</v>
      </c>
      <c r="H697">
        <v>2E+20</v>
      </c>
      <c r="I697">
        <v>3</v>
      </c>
      <c r="J697">
        <v>3</v>
      </c>
      <c r="K697">
        <v>3</v>
      </c>
      <c r="L697">
        <v>0</v>
      </c>
      <c r="M697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697" cm="1">
        <f t="array" ref="N697">MAX(IF((ProjectInfoTable[ProjectName]=ContinuousStatsTable[[#This Row],[ProjectName]]),(ProjectInfoTable[ProjectName]=ContinuousStatsTable[[#This Row],[ProjectName]])*ProjectInfoTable[NumberOfReplications]))</f>
        <v>30</v>
      </c>
      <c r="O697" cm="1">
        <f t="array" ref="O697">IFERROR(AVERAGE(IF((ContinuousStatsTable[GroupByKey]=ContinuousStatsTable[[#This Row],[GroupByKey]]),(ContinuousStatsTable[GroupByKey]=ContinuousStatsTable[[#This Row],[GroupByKey]])*ContinuousStatsTable[Average])),0)</f>
        <v>3</v>
      </c>
      <c r="P697" cm="1">
        <f t="array" ref="P697">IFERROR(_xlfn.STDEV.S(IF((ContinuousStatsTable[GroupByKey]=ContinuousStatsTable[[#This Row],[GroupByKey]]),(ContinuousStatsTable[GroupByKey]=ContinuousStatsTable[[#This Row],[GroupByKey]])*ContinuousStatsTable[Average])),0)</f>
        <v>0</v>
      </c>
      <c r="Q697" cm="1">
        <f t="array" ref="Q697">MAX(IF((ProjectInfoTable[ProjectName]=ContinuousStatsTable[[#This Row],[ProjectName]]),(ProjectInfoTable[ProjectName]=ContinuousStatsTable[[#This Row],[ProjectName]])*ProjectInfoTable[ConfidenceInterval]))</f>
        <v>0.95</v>
      </c>
      <c r="R6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7" cm="1">
        <f t="array" ref="S697">MIN(IF((ContinuousStatsTable[GroupByKey]=ContinuousStatsTable[[#This Row],[GroupByKey]]),(ContinuousStatsTable[GroupByKey]=ContinuousStatsTable[[#This Row],[GroupByKey]])*ContinuousStatsTable[Average]))</f>
        <v>3</v>
      </c>
      <c r="T697" cm="1">
        <f t="array" ref="T697">MAX(IF((ContinuousStatsTable[GroupByKey]=ContinuousStatsTable[[#This Row],[GroupByKey]]),(ContinuousStatsTable[GroupByKey]=ContinuousStatsTable[[#This Row],[GroupByKey]])*ContinuousStatsTable[Average]))</f>
        <v>3</v>
      </c>
      <c r="U697">
        <f>IF((ContinuousStatsTable[[#This Row],[RepsRequested]]&gt;1),ContinuousStatsTable[[#This Row],[HalfWidth]],ContinuousStatsTable[[#This Row],[BatchMeansHalfWidth]])</f>
        <v>0</v>
      </c>
    </row>
    <row r="698" spans="1:21" x14ac:dyDescent="0.2">
      <c r="A698" t="s">
        <v>67</v>
      </c>
      <c r="B698" t="s">
        <v>70</v>
      </c>
      <c r="C698">
        <v>30</v>
      </c>
      <c r="D698" t="s">
        <v>93</v>
      </c>
      <c r="E698" t="s">
        <v>94</v>
      </c>
      <c r="F698" t="s">
        <v>95</v>
      </c>
      <c r="G698">
        <v>0.23684210526315799</v>
      </c>
      <c r="H698">
        <v>2.2019444276864999E-2</v>
      </c>
      <c r="I698">
        <v>0</v>
      </c>
      <c r="J698">
        <v>1</v>
      </c>
      <c r="K698">
        <v>0</v>
      </c>
      <c r="L698">
        <v>0</v>
      </c>
      <c r="M698" t="str">
        <f>ContinuousStatsTable[[#This Row],[ProjectName]]&amp;ContinuousStatsTable[[#This Row],[Name]]&amp;ContinuousStatsTable[[#This Row],[Type]]&amp;ContinuousStatsTable[[#This Row],[Source]]</f>
        <v>Unnamed ProjectCleanerInstantaneous UtilizationResource</v>
      </c>
      <c r="N698" cm="1">
        <f t="array" ref="N698">MAX(IF((ProjectInfoTable[ProjectName]=ContinuousStatsTable[[#This Row],[ProjectName]]),(ProjectInfoTable[ProjectName]=ContinuousStatsTable[[#This Row],[ProjectName]])*ProjectInfoTable[NumberOfReplications]))</f>
        <v>30</v>
      </c>
      <c r="O698" cm="1">
        <f t="array" ref="O698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698" cm="1">
        <f t="array" ref="P698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698" cm="1">
        <f t="array" ref="Q698">MAX(IF((ProjectInfoTable[ProjectName]=ContinuousStatsTable[[#This Row],[ProjectName]]),(ProjectInfoTable[ProjectName]=ContinuousStatsTable[[#This Row],[ProjectName]])*ProjectInfoTable[ConfidenceInterval]))</f>
        <v>0.95</v>
      </c>
      <c r="R6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698" cm="1">
        <f t="array" ref="S698">MIN(IF((ContinuousStatsTable[GroupByKey]=ContinuousStatsTable[[#This Row],[GroupByKey]]),(ContinuousStatsTable[GroupByKey]=ContinuousStatsTable[[#This Row],[GroupByKey]])*ContinuousStatsTable[Average]))</f>
        <v>0.233333333333333</v>
      </c>
      <c r="T698" cm="1">
        <f t="array" ref="T698">MAX(IF((ContinuousStatsTable[GroupByKey]=ContinuousStatsTable[[#This Row],[GroupByKey]]),(ContinuousStatsTable[GroupByKey]=ContinuousStatsTable[[#This Row],[GroupByKey]])*ContinuousStatsTable[Average]))</f>
        <v>0.27905535859326402</v>
      </c>
      <c r="U698">
        <f>IF((ContinuousStatsTable[[#This Row],[RepsRequested]]&gt;1),ContinuousStatsTable[[#This Row],[HalfWidth]],ContinuousStatsTable[[#This Row],[BatchMeansHalfWidth]])</f>
        <v>4.2029769261323026E-3</v>
      </c>
    </row>
    <row r="699" spans="1:21" x14ac:dyDescent="0.2">
      <c r="A699" t="s">
        <v>67</v>
      </c>
      <c r="B699" t="s">
        <v>70</v>
      </c>
      <c r="C699">
        <v>30</v>
      </c>
      <c r="D699" t="s">
        <v>93</v>
      </c>
      <c r="E699" t="s">
        <v>96</v>
      </c>
      <c r="F699" t="s">
        <v>95</v>
      </c>
      <c r="G699">
        <v>0.23684210526315799</v>
      </c>
      <c r="H699">
        <v>2.2019444276864999E-2</v>
      </c>
      <c r="I699">
        <v>0</v>
      </c>
      <c r="J699">
        <v>1</v>
      </c>
      <c r="K699">
        <v>0</v>
      </c>
      <c r="L699">
        <v>0</v>
      </c>
      <c r="M699" t="str">
        <f>ContinuousStatsTable[[#This Row],[ProjectName]]&amp;ContinuousStatsTable[[#This Row],[Name]]&amp;ContinuousStatsTable[[#This Row],[Type]]&amp;ContinuousStatsTable[[#This Row],[Source]]</f>
        <v>Unnamed ProjectCleanerNumber BusyResource</v>
      </c>
      <c r="N699" cm="1">
        <f t="array" ref="N699">MAX(IF((ProjectInfoTable[ProjectName]=ContinuousStatsTable[[#This Row],[ProjectName]]),(ProjectInfoTable[ProjectName]=ContinuousStatsTable[[#This Row],[ProjectName]])*ProjectInfoTable[NumberOfReplications]))</f>
        <v>30</v>
      </c>
      <c r="O699" cm="1">
        <f t="array" ref="O699">IFERROR(AVERAGE(IF((ContinuousStatsTable[GroupByKey]=ContinuousStatsTable[[#This Row],[GroupByKey]]),(ContinuousStatsTable[GroupByKey]=ContinuousStatsTable[[#This Row],[GroupByKey]])*ContinuousStatsTable[Average])),0)</f>
        <v>0.25031804088290305</v>
      </c>
      <c r="P699" cm="1">
        <f t="array" ref="P699">IFERROR(_xlfn.STDEV.S(IF((ContinuousStatsTable[GroupByKey]=ContinuousStatsTable[[#This Row],[GroupByKey]]),(ContinuousStatsTable[GroupByKey]=ContinuousStatsTable[[#This Row],[GroupByKey]])*ContinuousStatsTable[Average])),0)</f>
        <v>1.1255778929137084E-2</v>
      </c>
      <c r="Q699" cm="1">
        <f t="array" ref="Q699">MAX(IF((ProjectInfoTable[ProjectName]=ContinuousStatsTable[[#This Row],[ProjectName]]),(ProjectInfoTable[ProjectName]=ContinuousStatsTable[[#This Row],[ProjectName]])*ProjectInfoTable[ConfidenceInterval]))</f>
        <v>0.95</v>
      </c>
      <c r="R6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4.2029769261323026E-3</v>
      </c>
      <c r="S699" cm="1">
        <f t="array" ref="S699">MIN(IF((ContinuousStatsTable[GroupByKey]=ContinuousStatsTable[[#This Row],[GroupByKey]]),(ContinuousStatsTable[GroupByKey]=ContinuousStatsTable[[#This Row],[GroupByKey]])*ContinuousStatsTable[Average]))</f>
        <v>0.233333333333333</v>
      </c>
      <c r="T699" cm="1">
        <f t="array" ref="T699">MAX(IF((ContinuousStatsTable[GroupByKey]=ContinuousStatsTable[[#This Row],[GroupByKey]]),(ContinuousStatsTable[GroupByKey]=ContinuousStatsTable[[#This Row],[GroupByKey]])*ContinuousStatsTable[Average]))</f>
        <v>0.27905535859326402</v>
      </c>
      <c r="U699">
        <f>IF((ContinuousStatsTable[[#This Row],[RepsRequested]]&gt;1),ContinuousStatsTable[[#This Row],[HalfWidth]],ContinuousStatsTable[[#This Row],[BatchMeansHalfWidth]])</f>
        <v>4.2029769261323026E-3</v>
      </c>
    </row>
    <row r="700" spans="1:21" x14ac:dyDescent="0.2">
      <c r="A700" t="s">
        <v>67</v>
      </c>
      <c r="B700" t="s">
        <v>70</v>
      </c>
      <c r="C700">
        <v>30</v>
      </c>
      <c r="D700" t="s">
        <v>93</v>
      </c>
      <c r="E700" t="s">
        <v>97</v>
      </c>
      <c r="F700" t="s">
        <v>95</v>
      </c>
      <c r="G700">
        <v>1</v>
      </c>
      <c r="H700">
        <v>2E+20</v>
      </c>
      <c r="I700">
        <v>1</v>
      </c>
      <c r="J700">
        <v>1</v>
      </c>
      <c r="K700">
        <v>1</v>
      </c>
      <c r="L700">
        <v>0</v>
      </c>
      <c r="M700" t="str">
        <f>ContinuousStatsTable[[#This Row],[ProjectName]]&amp;ContinuousStatsTable[[#This Row],[Name]]&amp;ContinuousStatsTable[[#This Row],[Type]]&amp;ContinuousStatsTable[[#This Row],[Source]]</f>
        <v>Unnamed ProjectCleanerNumber ScheduledResource</v>
      </c>
      <c r="N700" cm="1">
        <f t="array" ref="N700">MAX(IF((ProjectInfoTable[ProjectName]=ContinuousStatsTable[[#This Row],[ProjectName]]),(ProjectInfoTable[ProjectName]=ContinuousStatsTable[[#This Row],[ProjectName]])*ProjectInfoTable[NumberOfReplications]))</f>
        <v>30</v>
      </c>
      <c r="O700" cm="1">
        <f t="array" ref="O700">IFERROR(AVERAGE(IF((ContinuousStatsTable[GroupByKey]=ContinuousStatsTable[[#This Row],[GroupByKey]]),(ContinuousStatsTable[GroupByKey]=ContinuousStatsTable[[#This Row],[GroupByKey]])*ContinuousStatsTable[Average])),0)</f>
        <v>1</v>
      </c>
      <c r="P700" cm="1">
        <f t="array" ref="P700">IFERROR(_xlfn.STDEV.S(IF((ContinuousStatsTable[GroupByKey]=ContinuousStatsTable[[#This Row],[GroupByKey]]),(ContinuousStatsTable[GroupByKey]=ContinuousStatsTable[[#This Row],[GroupByKey]])*ContinuousStatsTable[Average])),0)</f>
        <v>0</v>
      </c>
      <c r="Q700" cm="1">
        <f t="array" ref="Q700">MAX(IF((ProjectInfoTable[ProjectName]=ContinuousStatsTable[[#This Row],[ProjectName]]),(ProjectInfoTable[ProjectName]=ContinuousStatsTable[[#This Row],[ProjectName]])*ProjectInfoTable[ConfidenceInterval]))</f>
        <v>0.95</v>
      </c>
      <c r="R7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0" cm="1">
        <f t="array" ref="S700">MIN(IF((ContinuousStatsTable[GroupByKey]=ContinuousStatsTable[[#This Row],[GroupByKey]]),(ContinuousStatsTable[GroupByKey]=ContinuousStatsTable[[#This Row],[GroupByKey]])*ContinuousStatsTable[Average]))</f>
        <v>1</v>
      </c>
      <c r="T700" cm="1">
        <f t="array" ref="T700">MAX(IF((ContinuousStatsTable[GroupByKey]=ContinuousStatsTable[[#This Row],[GroupByKey]]),(ContinuousStatsTable[GroupByKey]=ContinuousStatsTable[[#This Row],[GroupByKey]])*ContinuousStatsTable[Average]))</f>
        <v>1</v>
      </c>
      <c r="U700">
        <f>IF((ContinuousStatsTable[[#This Row],[RepsRequested]]&gt;1),ContinuousStatsTable[[#This Row],[HalfWidth]],ContinuousStatsTable[[#This Row],[BatchMeansHalfWidth]])</f>
        <v>0</v>
      </c>
    </row>
    <row r="701" spans="1:21" x14ac:dyDescent="0.2">
      <c r="A701" t="s">
        <v>67</v>
      </c>
      <c r="B701" t="s">
        <v>70</v>
      </c>
      <c r="C701">
        <v>30</v>
      </c>
      <c r="D701" t="s">
        <v>71</v>
      </c>
      <c r="E701" t="s">
        <v>98</v>
      </c>
      <c r="F701" t="s">
        <v>73</v>
      </c>
      <c r="G701">
        <v>1.9664517785186901E-2</v>
      </c>
      <c r="H701">
        <v>2E+20</v>
      </c>
      <c r="I701">
        <v>0</v>
      </c>
      <c r="J701">
        <v>2</v>
      </c>
      <c r="K701">
        <v>0</v>
      </c>
      <c r="L701">
        <v>0</v>
      </c>
      <c r="M701" t="str">
        <f>ContinuousStatsTable[[#This Row],[ProjectName]]&amp;ContinuousStatsTable[[#This Row],[Name]]&amp;ContinuousStatsTable[[#This Row],[Type]]&amp;ContinuousStatsTable[[#This Row],[Source]]</f>
        <v>Unnamed ProjectCleaning_Table.QueueNumber WaitingQueue</v>
      </c>
      <c r="N701" cm="1">
        <f t="array" ref="N701">MAX(IF((ProjectInfoTable[ProjectName]=ContinuousStatsTable[[#This Row],[ProjectName]]),(ProjectInfoTable[ProjectName]=ContinuousStatsTable[[#This Row],[ProjectName]])*ProjectInfoTable[NumberOfReplications]))</f>
        <v>30</v>
      </c>
      <c r="O701" cm="1">
        <f t="array" ref="O701">IFERROR(AVERAGE(IF((ContinuousStatsTable[GroupByKey]=ContinuousStatsTable[[#This Row],[GroupByKey]]),(ContinuousStatsTable[GroupByKey]=ContinuousStatsTable[[#This Row],[GroupByKey]])*ContinuousStatsTable[Average])),0)</f>
        <v>2.8328348974232576E-2</v>
      </c>
      <c r="P701" cm="1">
        <f t="array" ref="P701">IFERROR(_xlfn.STDEV.S(IF((ContinuousStatsTable[GroupByKey]=ContinuousStatsTable[[#This Row],[GroupByKey]]),(ContinuousStatsTable[GroupByKey]=ContinuousStatsTable[[#This Row],[GroupByKey]])*ContinuousStatsTable[Average])),0)</f>
        <v>4.4528625667289773E-3</v>
      </c>
      <c r="Q701" cm="1">
        <f t="array" ref="Q701">MAX(IF((ProjectInfoTable[ProjectName]=ContinuousStatsTable[[#This Row],[ProjectName]]),(ProjectInfoTable[ProjectName]=ContinuousStatsTable[[#This Row],[ProjectName]])*ProjectInfoTable[ConfidenceInterval]))</f>
        <v>0.95</v>
      </c>
      <c r="R7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1.6627262085570247E-3</v>
      </c>
      <c r="S701" cm="1">
        <f t="array" ref="S701">MIN(IF((ContinuousStatsTable[GroupByKey]=ContinuousStatsTable[[#This Row],[GroupByKey]]),(ContinuousStatsTable[GroupByKey]=ContinuousStatsTable[[#This Row],[GroupByKey]])*ContinuousStatsTable[Average]))</f>
        <v>1.9664517785186901E-2</v>
      </c>
      <c r="T701" cm="1">
        <f t="array" ref="T701">MAX(IF((ContinuousStatsTable[GroupByKey]=ContinuousStatsTable[[#This Row],[GroupByKey]]),(ContinuousStatsTable[GroupByKey]=ContinuousStatsTable[[#This Row],[GroupByKey]])*ContinuousStatsTable[Average]))</f>
        <v>3.9738966906982302E-2</v>
      </c>
      <c r="U701">
        <f>IF((ContinuousStatsTable[[#This Row],[RepsRequested]]&gt;1),ContinuousStatsTable[[#This Row],[HalfWidth]],ContinuousStatsTable[[#This Row],[BatchMeansHalfWidth]])</f>
        <v>1.6627262085570247E-3</v>
      </c>
    </row>
    <row r="702" spans="1:21" x14ac:dyDescent="0.2">
      <c r="A702" t="s">
        <v>67</v>
      </c>
      <c r="B702" t="s">
        <v>70</v>
      </c>
      <c r="C702">
        <v>30</v>
      </c>
      <c r="D702" t="s">
        <v>99</v>
      </c>
      <c r="E702" t="s">
        <v>94</v>
      </c>
      <c r="F702" t="s">
        <v>95</v>
      </c>
      <c r="G702">
        <v>0.60135583611811805</v>
      </c>
      <c r="H702">
        <v>2E+20</v>
      </c>
      <c r="I702">
        <v>0</v>
      </c>
      <c r="J702">
        <v>1</v>
      </c>
      <c r="K702">
        <v>1</v>
      </c>
      <c r="L702">
        <v>0</v>
      </c>
      <c r="M702" t="str">
        <f>ContinuousStatsTable[[#This Row],[ProjectName]]&amp;ContinuousStatsTable[[#This Row],[Name]]&amp;ContinuousStatsTable[[#This Row],[Type]]&amp;ContinuousStatsTable[[#This Row],[Source]]</f>
        <v>Unnamed ProjectCookerInstantaneous UtilizationResource</v>
      </c>
      <c r="N702" cm="1">
        <f t="array" ref="N702">MAX(IF((ProjectInfoTable[ProjectName]=ContinuousStatsTable[[#This Row],[ProjectName]]),(ProjectInfoTable[ProjectName]=ContinuousStatsTable[[#This Row],[ProjectName]])*ProjectInfoTable[NumberOfReplications]))</f>
        <v>30</v>
      </c>
      <c r="O702" cm="1">
        <f t="array" ref="O702">IFERROR(AVERAGE(IF((ContinuousStatsTable[GroupByKey]=ContinuousStatsTable[[#This Row],[GroupByKey]]),(ContinuousStatsTable[GroupByKey]=ContinuousStatsTable[[#This Row],[GroupByKey]])*ContinuousStatsTable[Average])),0)</f>
        <v>0.62721981794251769</v>
      </c>
      <c r="P702" cm="1">
        <f t="array" ref="P702">IFERROR(_xlfn.STDEV.S(IF((ContinuousStatsTable[GroupByKey]=ContinuousStatsTable[[#This Row],[GroupByKey]]),(ContinuousStatsTable[GroupByKey]=ContinuousStatsTable[[#This Row],[GroupByKey]])*ContinuousStatsTable[Average])),0)</f>
        <v>2.6376107220918699E-2</v>
      </c>
      <c r="Q702" cm="1">
        <f t="array" ref="Q702">MAX(IF((ProjectInfoTable[ProjectName]=ContinuousStatsTable[[#This Row],[ProjectName]]),(ProjectInfoTable[ProjectName]=ContinuousStatsTable[[#This Row],[ProjectName]])*ProjectInfoTable[ConfidenceInterval]))</f>
        <v>0.95</v>
      </c>
      <c r="R7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9.8490003000806757E-3</v>
      </c>
      <c r="S702" cm="1">
        <f t="array" ref="S702">MIN(IF((ContinuousStatsTable[GroupByKey]=ContinuousStatsTable[[#This Row],[GroupByKey]]),(ContinuousStatsTable[GroupByKey]=ContinuousStatsTable[[#This Row],[GroupByKey]])*ContinuousStatsTable[Average]))</f>
        <v>0.58256422876290004</v>
      </c>
      <c r="T702" cm="1">
        <f t="array" ref="T702">MAX(IF((ContinuousStatsTable[GroupByKey]=ContinuousStatsTable[[#This Row],[GroupByKey]]),(ContinuousStatsTable[GroupByKey]=ContinuousStatsTable[[#This Row],[GroupByKey]])*ContinuousStatsTable[Average]))</f>
        <v>0.68643238055161704</v>
      </c>
      <c r="U702">
        <f>IF((ContinuousStatsTable[[#This Row],[RepsRequested]]&gt;1),ContinuousStatsTable[[#This Row],[HalfWidth]],ContinuousStatsTable[[#This Row],[BatchMeansHalfWidth]])</f>
        <v>9.8490003000806757E-3</v>
      </c>
    </row>
    <row r="703" spans="1:21" x14ac:dyDescent="0.2">
      <c r="A703" t="s">
        <v>67</v>
      </c>
      <c r="B703" t="s">
        <v>70</v>
      </c>
      <c r="C703">
        <v>30</v>
      </c>
      <c r="D703" t="s">
        <v>99</v>
      </c>
      <c r="E703" t="s">
        <v>96</v>
      </c>
      <c r="F703" t="s">
        <v>95</v>
      </c>
      <c r="G703">
        <v>1.2027116722362401</v>
      </c>
      <c r="H703">
        <v>2E+20</v>
      </c>
      <c r="I703">
        <v>0</v>
      </c>
      <c r="J703">
        <v>2</v>
      </c>
      <c r="K703">
        <v>2</v>
      </c>
      <c r="L703">
        <v>0</v>
      </c>
      <c r="M703" t="str">
        <f>ContinuousStatsTable[[#This Row],[ProjectName]]&amp;ContinuousStatsTable[[#This Row],[Name]]&amp;ContinuousStatsTable[[#This Row],[Type]]&amp;ContinuousStatsTable[[#This Row],[Source]]</f>
        <v>Unnamed ProjectCookerNumber BusyResource</v>
      </c>
      <c r="N703" cm="1">
        <f t="array" ref="N703">MAX(IF((ProjectInfoTable[ProjectName]=ContinuousStatsTable[[#This Row],[ProjectName]]),(ProjectInfoTable[ProjectName]=ContinuousStatsTable[[#This Row],[ProjectName]])*ProjectInfoTable[NumberOfReplications]))</f>
        <v>30</v>
      </c>
      <c r="O703" cm="1">
        <f t="array" ref="O703">IFERROR(AVERAGE(IF((ContinuousStatsTable[GroupByKey]=ContinuousStatsTable[[#This Row],[GroupByKey]]),(ContinuousStatsTable[GroupByKey]=ContinuousStatsTable[[#This Row],[GroupByKey]])*ContinuousStatsTable[Average])),0)</f>
        <v>1.2544396358850349</v>
      </c>
      <c r="P703" cm="1">
        <f t="array" ref="P703">IFERROR(_xlfn.STDEV.S(IF((ContinuousStatsTable[GroupByKey]=ContinuousStatsTable[[#This Row],[GroupByKey]]),(ContinuousStatsTable[GroupByKey]=ContinuousStatsTable[[#This Row],[GroupByKey]])*ContinuousStatsTable[Average])),0)</f>
        <v>5.2752214441836441E-2</v>
      </c>
      <c r="Q703" cm="1">
        <f t="array" ref="Q703">MAX(IF((ProjectInfoTable[ProjectName]=ContinuousStatsTable[[#This Row],[ProjectName]]),(ProjectInfoTable[ProjectName]=ContinuousStatsTable[[#This Row],[ProjectName]])*ProjectInfoTable[ConfidenceInterval]))</f>
        <v>0.95</v>
      </c>
      <c r="R7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1.9698000600160998E-2</v>
      </c>
      <c r="S703" cm="1">
        <f t="array" ref="S703">MIN(IF((ContinuousStatsTable[GroupByKey]=ContinuousStatsTable[[#This Row],[GroupByKey]]),(ContinuousStatsTable[GroupByKey]=ContinuousStatsTable[[#This Row],[GroupByKey]])*ContinuousStatsTable[Average]))</f>
        <v>1.1651284575258001</v>
      </c>
      <c r="T703" cm="1">
        <f t="array" ref="T703">MAX(IF((ContinuousStatsTable[GroupByKey]=ContinuousStatsTable[[#This Row],[GroupByKey]]),(ContinuousStatsTable[GroupByKey]=ContinuousStatsTable[[#This Row],[GroupByKey]])*ContinuousStatsTable[Average]))</f>
        <v>1.3728647611032301</v>
      </c>
      <c r="U703">
        <f>IF((ContinuousStatsTable[[#This Row],[RepsRequested]]&gt;1),ContinuousStatsTable[[#This Row],[HalfWidth]],ContinuousStatsTable[[#This Row],[BatchMeansHalfWidth]])</f>
        <v>1.9698000600160998E-2</v>
      </c>
    </row>
    <row r="704" spans="1:21" x14ac:dyDescent="0.2">
      <c r="A704" t="s">
        <v>67</v>
      </c>
      <c r="B704" t="s">
        <v>70</v>
      </c>
      <c r="C704">
        <v>30</v>
      </c>
      <c r="D704" t="s">
        <v>99</v>
      </c>
      <c r="E704" t="s">
        <v>97</v>
      </c>
      <c r="F704" t="s">
        <v>95</v>
      </c>
      <c r="G704">
        <v>2</v>
      </c>
      <c r="H704">
        <v>2E+20</v>
      </c>
      <c r="I704">
        <v>2</v>
      </c>
      <c r="J704">
        <v>2</v>
      </c>
      <c r="K704">
        <v>2</v>
      </c>
      <c r="L704">
        <v>0</v>
      </c>
      <c r="M704" t="str">
        <f>ContinuousStatsTable[[#This Row],[ProjectName]]&amp;ContinuousStatsTable[[#This Row],[Name]]&amp;ContinuousStatsTable[[#This Row],[Type]]&amp;ContinuousStatsTable[[#This Row],[Source]]</f>
        <v>Unnamed ProjectCookerNumber ScheduledResource</v>
      </c>
      <c r="N704" cm="1">
        <f t="array" ref="N704">MAX(IF((ProjectInfoTable[ProjectName]=ContinuousStatsTable[[#This Row],[ProjectName]]),(ProjectInfoTable[ProjectName]=ContinuousStatsTable[[#This Row],[ProjectName]])*ProjectInfoTable[NumberOfReplications]))</f>
        <v>30</v>
      </c>
      <c r="O704" cm="1">
        <f t="array" ref="O704">IFERROR(AVERAGE(IF((ContinuousStatsTable[GroupByKey]=ContinuousStatsTable[[#This Row],[GroupByKey]]),(ContinuousStatsTable[GroupByKey]=ContinuousStatsTable[[#This Row],[GroupByKey]])*ContinuousStatsTable[Average])),0)</f>
        <v>2</v>
      </c>
      <c r="P704" cm="1">
        <f t="array" ref="P704">IFERROR(_xlfn.STDEV.S(IF((ContinuousStatsTable[GroupByKey]=ContinuousStatsTable[[#This Row],[GroupByKey]]),(ContinuousStatsTable[GroupByKey]=ContinuousStatsTable[[#This Row],[GroupByKey]])*ContinuousStatsTable[Average])),0)</f>
        <v>0</v>
      </c>
      <c r="Q704" cm="1">
        <f t="array" ref="Q704">MAX(IF((ProjectInfoTable[ProjectName]=ContinuousStatsTable[[#This Row],[ProjectName]]),(ProjectInfoTable[ProjectName]=ContinuousStatsTable[[#This Row],[ProjectName]])*ProjectInfoTable[ConfidenceInterval]))</f>
        <v>0.95</v>
      </c>
      <c r="R7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4" cm="1">
        <f t="array" ref="S704">MIN(IF((ContinuousStatsTable[GroupByKey]=ContinuousStatsTable[[#This Row],[GroupByKey]]),(ContinuousStatsTable[GroupByKey]=ContinuousStatsTable[[#This Row],[GroupByKey]])*ContinuousStatsTable[Average]))</f>
        <v>2</v>
      </c>
      <c r="T704" cm="1">
        <f t="array" ref="T704">MAX(IF((ContinuousStatsTable[GroupByKey]=ContinuousStatsTable[[#This Row],[GroupByKey]]),(ContinuousStatsTable[GroupByKey]=ContinuousStatsTable[[#This Row],[GroupByKey]])*ContinuousStatsTable[Average]))</f>
        <v>2</v>
      </c>
      <c r="U704">
        <f>IF((ContinuousStatsTable[[#This Row],[RepsRequested]]&gt;1),ContinuousStatsTable[[#This Row],[HalfWidth]],ContinuousStatsTable[[#This Row],[BatchMeansHalfWidth]])</f>
        <v>0</v>
      </c>
    </row>
    <row r="705" spans="1:21" x14ac:dyDescent="0.2">
      <c r="A705" t="s">
        <v>67</v>
      </c>
      <c r="B705" t="s">
        <v>70</v>
      </c>
      <c r="C705">
        <v>30</v>
      </c>
      <c r="D705" t="s">
        <v>74</v>
      </c>
      <c r="E705" t="s">
        <v>100</v>
      </c>
      <c r="F705" t="s">
        <v>76</v>
      </c>
      <c r="G705">
        <v>14.5808616536104</v>
      </c>
      <c r="H705">
        <v>1.2580810506590101</v>
      </c>
      <c r="I705">
        <v>1</v>
      </c>
      <c r="J705">
        <v>31</v>
      </c>
      <c r="K705">
        <v>21</v>
      </c>
      <c r="L705">
        <v>0</v>
      </c>
      <c r="M705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05" cm="1">
        <f t="array" ref="N705">MAX(IF((ProjectInfoTable[ProjectName]=ContinuousStatsTable[[#This Row],[ProjectName]]),(ProjectInfoTable[ProjectName]=ContinuousStatsTable[[#This Row],[ProjectName]])*ProjectInfoTable[NumberOfReplications]))</f>
        <v>30</v>
      </c>
      <c r="O705" cm="1">
        <f t="array" ref="O705">IFERROR(AVERAGE(IF((ContinuousStatsTable[GroupByKey]=ContinuousStatsTable[[#This Row],[GroupByKey]]),(ContinuousStatsTable[GroupByKey]=ContinuousStatsTable[[#This Row],[GroupByKey]])*ContinuousStatsTable[Average])),0)</f>
        <v>15.52057581416776</v>
      </c>
      <c r="P705" cm="1">
        <f t="array" ref="P705">IFERROR(_xlfn.STDEV.S(IF((ContinuousStatsTable[GroupByKey]=ContinuousStatsTable[[#This Row],[GroupByKey]]),(ContinuousStatsTable[GroupByKey]=ContinuousStatsTable[[#This Row],[GroupByKey]])*ContinuousStatsTable[Average])),0)</f>
        <v>0.69281619488833879</v>
      </c>
      <c r="Q705" cm="1">
        <f t="array" ref="Q705">MAX(IF((ProjectInfoTable[ProjectName]=ContinuousStatsTable[[#This Row],[ProjectName]]),(ProjectInfoTable[ProjectName]=ContinuousStatsTable[[#This Row],[ProjectName]])*ProjectInfoTable[ConfidenceInterval]))</f>
        <v>0.95</v>
      </c>
      <c r="R7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0.25870181881670146</v>
      </c>
      <c r="S705" cm="1">
        <f t="array" ref="S705">MIN(IF((ContinuousStatsTable[GroupByKey]=ContinuousStatsTable[[#This Row],[GroupByKey]]),(ContinuousStatsTable[GroupByKey]=ContinuousStatsTable[[#This Row],[GroupByKey]])*ContinuousStatsTable[Average]))</f>
        <v>14.4112589759764</v>
      </c>
      <c r="T705" cm="1">
        <f t="array" ref="T705">MAX(IF((ContinuousStatsTable[GroupByKey]=ContinuousStatsTable[[#This Row],[GroupByKey]]),(ContinuousStatsTable[GroupByKey]=ContinuousStatsTable[[#This Row],[GroupByKey]])*ContinuousStatsTable[Average]))</f>
        <v>16.972707717517899</v>
      </c>
      <c r="U705">
        <f>IF((ContinuousStatsTable[[#This Row],[RepsRequested]]&gt;1),ContinuousStatsTable[[#This Row],[HalfWidth]],ContinuousStatsTable[[#This Row],[BatchMeansHalfWidth]])</f>
        <v>0.25870181881670146</v>
      </c>
    </row>
    <row r="706" spans="1:21" x14ac:dyDescent="0.2">
      <c r="A706" t="s">
        <v>67</v>
      </c>
      <c r="B706" t="s">
        <v>70</v>
      </c>
      <c r="C706">
        <v>30</v>
      </c>
      <c r="D706" t="s">
        <v>82</v>
      </c>
      <c r="E706" t="s">
        <v>98</v>
      </c>
      <c r="F706" t="s">
        <v>73</v>
      </c>
      <c r="G706">
        <v>0.15338739467860599</v>
      </c>
      <c r="H706">
        <v>2E+20</v>
      </c>
      <c r="I706">
        <v>0</v>
      </c>
      <c r="J706">
        <v>4</v>
      </c>
      <c r="K706">
        <v>0</v>
      </c>
      <c r="L706">
        <v>0</v>
      </c>
      <c r="M706" t="str">
        <f>ContinuousStatsTable[[#This Row],[ProjectName]]&amp;ContinuousStatsTable[[#This Row],[Name]]&amp;ContinuousStatsTable[[#This Row],[Type]]&amp;ContinuousStatsTable[[#This Row],[Source]]</f>
        <v>Unnamed ProjectFood_Preparation.QueueNumber WaitingQueue</v>
      </c>
      <c r="N706" cm="1">
        <f t="array" ref="N706">MAX(IF((ProjectInfoTable[ProjectName]=ContinuousStatsTable[[#This Row],[ProjectName]]),(ProjectInfoTable[ProjectName]=ContinuousStatsTable[[#This Row],[ProjectName]])*ProjectInfoTable[NumberOfReplications]))</f>
        <v>30</v>
      </c>
      <c r="O706" cm="1">
        <f t="array" ref="O706">IFERROR(AVERAGE(IF((ContinuousStatsTable[GroupByKey]=ContinuousStatsTable[[#This Row],[GroupByKey]]),(ContinuousStatsTable[GroupByKey]=ContinuousStatsTable[[#This Row],[GroupByKey]])*ContinuousStatsTable[Average])),0)</f>
        <v>0.17621904323041618</v>
      </c>
      <c r="P706" cm="1">
        <f t="array" ref="P706">IFERROR(_xlfn.STDEV.S(IF((ContinuousStatsTable[GroupByKey]=ContinuousStatsTable[[#This Row],[GroupByKey]]),(ContinuousStatsTable[GroupByKey]=ContinuousStatsTable[[#This Row],[GroupByKey]])*ContinuousStatsTable[Average])),0)</f>
        <v>5.3716857482027515E-2</v>
      </c>
      <c r="Q706" cm="1">
        <f t="array" ref="Q706">MAX(IF((ProjectInfoTable[ProjectName]=ContinuousStatsTable[[#This Row],[ProjectName]]),(ProjectInfoTable[ProjectName]=ContinuousStatsTable[[#This Row],[ProjectName]])*ProjectInfoTable[ConfidenceInterval]))</f>
        <v>0.95</v>
      </c>
      <c r="R7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2.0058204231149332E-2</v>
      </c>
      <c r="S706" cm="1">
        <f t="array" ref="S706">MIN(IF((ContinuousStatsTable[GroupByKey]=ContinuousStatsTable[[#This Row],[GroupByKey]]),(ContinuousStatsTable[GroupByKey]=ContinuousStatsTable[[#This Row],[GroupByKey]])*ContinuousStatsTable[Average]))</f>
        <v>7.4406608295854798E-2</v>
      </c>
      <c r="T706" cm="1">
        <f t="array" ref="T706">MAX(IF((ContinuousStatsTable[GroupByKey]=ContinuousStatsTable[[#This Row],[GroupByKey]]),(ContinuousStatsTable[GroupByKey]=ContinuousStatsTable[[#This Row],[GroupByKey]])*ContinuousStatsTable[Average]))</f>
        <v>0.29874320707386398</v>
      </c>
      <c r="U706">
        <f>IF((ContinuousStatsTable[[#This Row],[RepsRequested]]&gt;1),ContinuousStatsTable[[#This Row],[HalfWidth]],ContinuousStatsTable[[#This Row],[BatchMeansHalfWidth]])</f>
        <v>2.0058204231149332E-2</v>
      </c>
    </row>
    <row r="707" spans="1:21" x14ac:dyDescent="0.2">
      <c r="A707" t="s">
        <v>67</v>
      </c>
      <c r="B707" t="s">
        <v>70</v>
      </c>
      <c r="C707">
        <v>30</v>
      </c>
      <c r="D707" t="s">
        <v>101</v>
      </c>
      <c r="E707" t="s">
        <v>94</v>
      </c>
      <c r="F707" t="s">
        <v>95</v>
      </c>
      <c r="G707">
        <v>1.7872807017543901E-3</v>
      </c>
      <c r="H707">
        <v>2.3172041467825201E-4</v>
      </c>
      <c r="I707">
        <v>0</v>
      </c>
      <c r="J707">
        <v>3.7499999999999999E-2</v>
      </c>
      <c r="K707">
        <v>0</v>
      </c>
      <c r="L707">
        <v>0</v>
      </c>
      <c r="M707" t="str">
        <f>ContinuousStatsTable[[#This Row],[ProjectName]]&amp;ContinuousStatsTable[[#This Row],[Name]]&amp;ContinuousStatsTable[[#This Row],[Type]]&amp;ContinuousStatsTable[[#This Row],[Source]]</f>
        <v>Unnamed ProjectInside_TableInstantaneous UtilizationResource</v>
      </c>
      <c r="N707" cm="1">
        <f t="array" ref="N707">MAX(IF((ProjectInfoTable[ProjectName]=ContinuousStatsTable[[#This Row],[ProjectName]]),(ProjectInfoTable[ProjectName]=ContinuousStatsTable[[#This Row],[ProjectName]])*ProjectInfoTable[NumberOfReplications]))</f>
        <v>30</v>
      </c>
      <c r="O707" cm="1">
        <f t="array" ref="O707">IFERROR(AVERAGE(IF((ContinuousStatsTable[GroupByKey]=ContinuousStatsTable[[#This Row],[GroupByKey]]),(ContinuousStatsTable[GroupByKey]=ContinuousStatsTable[[#This Row],[GroupByKey]])*ContinuousStatsTable[Average])),0)</f>
        <v>1.8893070122364514E-3</v>
      </c>
      <c r="P707" cm="1">
        <f t="array" ref="P707">IFERROR(_xlfn.STDEV.S(IF((ContinuousStatsTable[GroupByKey]=ContinuousStatsTable[[#This Row],[GroupByKey]]),(ContinuousStatsTable[GroupByKey]=ContinuousStatsTable[[#This Row],[GroupByKey]])*ContinuousStatsTable[Average])),0)</f>
        <v>1.2015303758165503E-4</v>
      </c>
      <c r="Q707" cm="1">
        <f t="array" ref="Q707">MAX(IF((ProjectInfoTable[ProjectName]=ContinuousStatsTable[[#This Row],[ProjectName]]),(ProjectInfoTable[ProjectName]=ContinuousStatsTable[[#This Row],[ProjectName]])*ProjectInfoTable[ConfidenceInterval]))</f>
        <v>0.95</v>
      </c>
      <c r="R7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4.4865881583116605E-5</v>
      </c>
      <c r="S707" cm="1">
        <f t="array" ref="S707">MIN(IF((ContinuousStatsTable[GroupByKey]=ContinuousStatsTable[[#This Row],[GroupByKey]]),(ContinuousStatsTable[GroupByKey]=ContinuousStatsTable[[#This Row],[GroupByKey]])*ContinuousStatsTable[Average]))</f>
        <v>1.70504385964912E-3</v>
      </c>
      <c r="T707" cm="1">
        <f t="array" ref="T707">MAX(IF((ContinuousStatsTable[GroupByKey]=ContinuousStatsTable[[#This Row],[GroupByKey]]),(ContinuousStatsTable[GroupByKey]=ContinuousStatsTable[[#This Row],[GroupByKey]])*ContinuousStatsTable[Average]))</f>
        <v>2.17031677925951E-3</v>
      </c>
      <c r="U707">
        <f>IF((ContinuousStatsTable[[#This Row],[RepsRequested]]&gt;1),ContinuousStatsTable[[#This Row],[HalfWidth]],ContinuousStatsTable[[#This Row],[BatchMeansHalfWidth]])</f>
        <v>4.4865881583116605E-5</v>
      </c>
    </row>
    <row r="708" spans="1:21" x14ac:dyDescent="0.2">
      <c r="A708" t="s">
        <v>67</v>
      </c>
      <c r="B708" t="s">
        <v>70</v>
      </c>
      <c r="C708">
        <v>30</v>
      </c>
      <c r="D708" t="s">
        <v>101</v>
      </c>
      <c r="E708" t="s">
        <v>96</v>
      </c>
      <c r="F708" t="s">
        <v>95</v>
      </c>
      <c r="G708">
        <v>0.14298245614035099</v>
      </c>
      <c r="H708">
        <v>1.8537633174260101E-2</v>
      </c>
      <c r="I708">
        <v>0</v>
      </c>
      <c r="J708">
        <v>3</v>
      </c>
      <c r="K708">
        <v>0</v>
      </c>
      <c r="L708">
        <v>0</v>
      </c>
      <c r="M708" t="str">
        <f>ContinuousStatsTable[[#This Row],[ProjectName]]&amp;ContinuousStatsTable[[#This Row],[Name]]&amp;ContinuousStatsTable[[#This Row],[Type]]&amp;ContinuousStatsTable[[#This Row],[Source]]</f>
        <v>Unnamed ProjectInside_TableNumber BusyResource</v>
      </c>
      <c r="N708" cm="1">
        <f t="array" ref="N708">MAX(IF((ProjectInfoTable[ProjectName]=ContinuousStatsTable[[#This Row],[ProjectName]]),(ProjectInfoTable[ProjectName]=ContinuousStatsTable[[#This Row],[ProjectName]])*ProjectInfoTable[NumberOfReplications]))</f>
        <v>30</v>
      </c>
      <c r="O708" cm="1">
        <f t="array" ref="O708">IFERROR(AVERAGE(IF((ContinuousStatsTable[GroupByKey]=ContinuousStatsTable[[#This Row],[GroupByKey]]),(ContinuousStatsTable[GroupByKey]=ContinuousStatsTable[[#This Row],[GroupByKey]])*ContinuousStatsTable[Average])),0)</f>
        <v>0.15114456097891607</v>
      </c>
      <c r="P708" cm="1">
        <f t="array" ref="P708">IFERROR(_xlfn.STDEV.S(IF((ContinuousStatsTable[GroupByKey]=ContinuousStatsTable[[#This Row],[GroupByKey]]),(ContinuousStatsTable[GroupByKey]=ContinuousStatsTable[[#This Row],[GroupByKey]])*ContinuousStatsTable[Average])),0)</f>
        <v>9.6122430065323644E-3</v>
      </c>
      <c r="Q708" cm="1">
        <f t="array" ref="Q708">MAX(IF((ProjectInfoTable[ProjectName]=ContinuousStatsTable[[#This Row],[ProjectName]]),(ProjectInfoTable[ProjectName]=ContinuousStatsTable[[#This Row],[ProjectName]])*ProjectInfoTable[ConfidenceInterval]))</f>
        <v>0.95</v>
      </c>
      <c r="R7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3.5892705266493139E-3</v>
      </c>
      <c r="S708" cm="1">
        <f t="array" ref="S708">MIN(IF((ContinuousStatsTable[GroupByKey]=ContinuousStatsTable[[#This Row],[GroupByKey]]),(ContinuousStatsTable[GroupByKey]=ContinuousStatsTable[[#This Row],[GroupByKey]])*ContinuousStatsTable[Average]))</f>
        <v>0.13640350877193</v>
      </c>
      <c r="T708" cm="1">
        <f t="array" ref="T708">MAX(IF((ContinuousStatsTable[GroupByKey]=ContinuousStatsTable[[#This Row],[GroupByKey]]),(ContinuousStatsTable[GroupByKey]=ContinuousStatsTable[[#This Row],[GroupByKey]])*ContinuousStatsTable[Average]))</f>
        <v>0.17362534234076099</v>
      </c>
      <c r="U708">
        <f>IF((ContinuousStatsTable[[#This Row],[RepsRequested]]&gt;1),ContinuousStatsTable[[#This Row],[HalfWidth]],ContinuousStatsTable[[#This Row],[BatchMeansHalfWidth]])</f>
        <v>3.5892705266493139E-3</v>
      </c>
    </row>
    <row r="709" spans="1:21" x14ac:dyDescent="0.2">
      <c r="A709" t="s">
        <v>67</v>
      </c>
      <c r="B709" t="s">
        <v>70</v>
      </c>
      <c r="C709">
        <v>30</v>
      </c>
      <c r="D709" t="s">
        <v>101</v>
      </c>
      <c r="E709" t="s">
        <v>97</v>
      </c>
      <c r="F709" t="s">
        <v>95</v>
      </c>
      <c r="G709">
        <v>80</v>
      </c>
      <c r="H709">
        <v>2E+20</v>
      </c>
      <c r="I709">
        <v>80</v>
      </c>
      <c r="J709">
        <v>80</v>
      </c>
      <c r="K709">
        <v>80</v>
      </c>
      <c r="L709">
        <v>0</v>
      </c>
      <c r="M709" t="str">
        <f>ContinuousStatsTable[[#This Row],[ProjectName]]&amp;ContinuousStatsTable[[#This Row],[Name]]&amp;ContinuousStatsTable[[#This Row],[Type]]&amp;ContinuousStatsTable[[#This Row],[Source]]</f>
        <v>Unnamed ProjectInside_TableNumber ScheduledResource</v>
      </c>
      <c r="N709" cm="1">
        <f t="array" ref="N709">MAX(IF((ProjectInfoTable[ProjectName]=ContinuousStatsTable[[#This Row],[ProjectName]]),(ProjectInfoTable[ProjectName]=ContinuousStatsTable[[#This Row],[ProjectName]])*ProjectInfoTable[NumberOfReplications]))</f>
        <v>30</v>
      </c>
      <c r="O709" cm="1">
        <f t="array" ref="O709">IFERROR(AVERAGE(IF((ContinuousStatsTable[GroupByKey]=ContinuousStatsTable[[#This Row],[GroupByKey]]),(ContinuousStatsTable[GroupByKey]=ContinuousStatsTable[[#This Row],[GroupByKey]])*ContinuousStatsTable[Average])),0)</f>
        <v>80</v>
      </c>
      <c r="P709" cm="1">
        <f t="array" ref="P709">IFERROR(_xlfn.STDEV.S(IF((ContinuousStatsTable[GroupByKey]=ContinuousStatsTable[[#This Row],[GroupByKey]]),(ContinuousStatsTable[GroupByKey]=ContinuousStatsTable[[#This Row],[GroupByKey]])*ContinuousStatsTable[Average])),0)</f>
        <v>0</v>
      </c>
      <c r="Q709" cm="1">
        <f t="array" ref="Q709">MAX(IF((ProjectInfoTable[ProjectName]=ContinuousStatsTable[[#This Row],[ProjectName]]),(ProjectInfoTable[ProjectName]=ContinuousStatsTable[[#This Row],[ProjectName]])*ProjectInfoTable[ConfidenceInterval]))</f>
        <v>0.95</v>
      </c>
      <c r="R7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9" cm="1">
        <f t="array" ref="S709">MIN(IF((ContinuousStatsTable[GroupByKey]=ContinuousStatsTable[[#This Row],[GroupByKey]]),(ContinuousStatsTable[GroupByKey]=ContinuousStatsTable[[#This Row],[GroupByKey]])*ContinuousStatsTable[Average]))</f>
        <v>80</v>
      </c>
      <c r="T709" cm="1">
        <f t="array" ref="T709">MAX(IF((ContinuousStatsTable[GroupByKey]=ContinuousStatsTable[[#This Row],[GroupByKey]]),(ContinuousStatsTable[GroupByKey]=ContinuousStatsTable[[#This Row],[GroupByKey]])*ContinuousStatsTable[Average]))</f>
        <v>80</v>
      </c>
      <c r="U709">
        <f>IF((ContinuousStatsTable[[#This Row],[RepsRequested]]&gt;1),ContinuousStatsTable[[#This Row],[HalfWidth]],ContinuousStatsTable[[#This Row],[BatchMeansHalfWidth]])</f>
        <v>0</v>
      </c>
    </row>
    <row r="710" spans="1:21" x14ac:dyDescent="0.2">
      <c r="A710" t="s">
        <v>67</v>
      </c>
      <c r="B710" t="s">
        <v>70</v>
      </c>
      <c r="C710">
        <v>30</v>
      </c>
      <c r="D710" t="s">
        <v>86</v>
      </c>
      <c r="E710" t="s">
        <v>98</v>
      </c>
      <c r="F710" t="s">
        <v>73</v>
      </c>
      <c r="G710">
        <v>0</v>
      </c>
      <c r="H710">
        <v>2E+20</v>
      </c>
      <c r="I710">
        <v>0</v>
      </c>
      <c r="J710">
        <v>0</v>
      </c>
      <c r="K710">
        <v>0</v>
      </c>
      <c r="L710">
        <v>0</v>
      </c>
      <c r="M710" t="str">
        <f>ContinuousStatsTable[[#This Row],[ProjectName]]&amp;ContinuousStatsTable[[#This Row],[Name]]&amp;ContinuousStatsTable[[#This Row],[Type]]&amp;ContinuousStatsTable[[#This Row],[Source]]</f>
        <v>Unnamed ProjectInside_Table_Standing.QueueNumber WaitingQueue</v>
      </c>
      <c r="N710" cm="1">
        <f t="array" ref="N710">MAX(IF((ProjectInfoTable[ProjectName]=ContinuousStatsTable[[#This Row],[ProjectName]]),(ProjectInfoTable[ProjectName]=ContinuousStatsTable[[#This Row],[ProjectName]])*ProjectInfoTable[NumberOfReplications]))</f>
        <v>30</v>
      </c>
      <c r="O710" cm="1">
        <f t="array" ref="O710">IFERROR(AVERAGE(IF((ContinuousStatsTable[GroupByKey]=ContinuousStatsTable[[#This Row],[GroupByKey]]),(ContinuousStatsTable[GroupByKey]=ContinuousStatsTable[[#This Row],[GroupByKey]])*ContinuousStatsTable[Average])),0)</f>
        <v>0</v>
      </c>
      <c r="P710" cm="1">
        <f t="array" ref="P710">IFERROR(_xlfn.STDEV.S(IF((ContinuousStatsTable[GroupByKey]=ContinuousStatsTable[[#This Row],[GroupByKey]]),(ContinuousStatsTable[GroupByKey]=ContinuousStatsTable[[#This Row],[GroupByKey]])*ContinuousStatsTable[Average])),0)</f>
        <v>0</v>
      </c>
      <c r="Q710" cm="1">
        <f t="array" ref="Q710">MAX(IF((ProjectInfoTable[ProjectName]=ContinuousStatsTable[[#This Row],[ProjectName]]),(ProjectInfoTable[ProjectName]=ContinuousStatsTable[[#This Row],[ProjectName]])*ProjectInfoTable[ConfidenceInterval]))</f>
        <v>0.95</v>
      </c>
      <c r="R7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0" cm="1">
        <f t="array" ref="S710">MIN(IF((ContinuousStatsTable[GroupByKey]=ContinuousStatsTable[[#This Row],[GroupByKey]]),(ContinuousStatsTable[GroupByKey]=ContinuousStatsTable[[#This Row],[GroupByKey]])*ContinuousStatsTable[Average]))</f>
        <v>0</v>
      </c>
      <c r="T710" cm="1">
        <f t="array" ref="T710">MAX(IF((ContinuousStatsTable[GroupByKey]=ContinuousStatsTable[[#This Row],[GroupByKey]]),(ContinuousStatsTable[GroupByKey]=ContinuousStatsTable[[#This Row],[GroupByKey]])*ContinuousStatsTable[Average]))</f>
        <v>0</v>
      </c>
      <c r="U710">
        <f>IF((ContinuousStatsTable[[#This Row],[RepsRequested]]&gt;1),ContinuousStatsTable[[#This Row],[HalfWidth]],ContinuousStatsTable[[#This Row],[BatchMeansHalfWidth]])</f>
        <v>0</v>
      </c>
    </row>
    <row r="711" spans="1:21" x14ac:dyDescent="0.2">
      <c r="A711" t="s">
        <v>67</v>
      </c>
      <c r="B711" t="s">
        <v>70</v>
      </c>
      <c r="C711">
        <v>30</v>
      </c>
      <c r="D711" t="s">
        <v>87</v>
      </c>
      <c r="E711" t="s">
        <v>98</v>
      </c>
      <c r="F711" t="s">
        <v>73</v>
      </c>
      <c r="G711">
        <v>0</v>
      </c>
      <c r="H711">
        <v>2E+20</v>
      </c>
      <c r="I711">
        <v>0</v>
      </c>
      <c r="J711">
        <v>0</v>
      </c>
      <c r="K711">
        <v>0</v>
      </c>
      <c r="L711">
        <v>0</v>
      </c>
      <c r="M711" t="str">
        <f>ContinuousStatsTable[[#This Row],[ProjectName]]&amp;ContinuousStatsTable[[#This Row],[Name]]&amp;ContinuousStatsTable[[#This Row],[Type]]&amp;ContinuousStatsTable[[#This Row],[Source]]</f>
        <v>Unnamed ProjectInside_Table_Waiting_QueueNumber WaitingQueue</v>
      </c>
      <c r="N711" cm="1">
        <f t="array" ref="N711">MAX(IF((ProjectInfoTable[ProjectName]=ContinuousStatsTable[[#This Row],[ProjectName]]),(ProjectInfoTable[ProjectName]=ContinuousStatsTable[[#This Row],[ProjectName]])*ProjectInfoTable[NumberOfReplications]))</f>
        <v>30</v>
      </c>
      <c r="O711" cm="1">
        <f t="array" ref="O711">IFERROR(AVERAGE(IF((ContinuousStatsTable[GroupByKey]=ContinuousStatsTable[[#This Row],[GroupByKey]]),(ContinuousStatsTable[GroupByKey]=ContinuousStatsTable[[#This Row],[GroupByKey]])*ContinuousStatsTable[Average])),0)</f>
        <v>0</v>
      </c>
      <c r="P711" cm="1">
        <f t="array" ref="P711">IFERROR(_xlfn.STDEV.S(IF((ContinuousStatsTable[GroupByKey]=ContinuousStatsTable[[#This Row],[GroupByKey]]),(ContinuousStatsTable[GroupByKey]=ContinuousStatsTable[[#This Row],[GroupByKey]])*ContinuousStatsTable[Average])),0)</f>
        <v>0</v>
      </c>
      <c r="Q711" cm="1">
        <f t="array" ref="Q711">MAX(IF((ProjectInfoTable[ProjectName]=ContinuousStatsTable[[#This Row],[ProjectName]]),(ProjectInfoTable[ProjectName]=ContinuousStatsTable[[#This Row],[ProjectName]])*ProjectInfoTable[ConfidenceInterval]))</f>
        <v>0.95</v>
      </c>
      <c r="R7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1" cm="1">
        <f t="array" ref="S711">MIN(IF((ContinuousStatsTable[GroupByKey]=ContinuousStatsTable[[#This Row],[GroupByKey]]),(ContinuousStatsTable[GroupByKey]=ContinuousStatsTable[[#This Row],[GroupByKey]])*ContinuousStatsTable[Average]))</f>
        <v>0</v>
      </c>
      <c r="T711" cm="1">
        <f t="array" ref="T711">MAX(IF((ContinuousStatsTable[GroupByKey]=ContinuousStatsTable[[#This Row],[GroupByKey]]),(ContinuousStatsTable[GroupByKey]=ContinuousStatsTable[[#This Row],[GroupByKey]])*ContinuousStatsTable[Average]))</f>
        <v>0</v>
      </c>
      <c r="U711">
        <f>IF((ContinuousStatsTable[[#This Row],[RepsRequested]]&gt;1),ContinuousStatsTable[[#This Row],[HalfWidth]],ContinuousStatsTable[[#This Row],[BatchMeansHalfWidth]])</f>
        <v>0</v>
      </c>
    </row>
    <row r="712" spans="1:21" x14ac:dyDescent="0.2">
      <c r="A712" t="s">
        <v>67</v>
      </c>
      <c r="B712" t="s">
        <v>70</v>
      </c>
      <c r="C712">
        <v>30</v>
      </c>
      <c r="D712" t="s">
        <v>88</v>
      </c>
      <c r="E712" t="s">
        <v>98</v>
      </c>
      <c r="F712" t="s">
        <v>73</v>
      </c>
      <c r="G712">
        <v>1.49460586735111</v>
      </c>
      <c r="H712">
        <v>9.41909149844114E-2</v>
      </c>
      <c r="I712">
        <v>0</v>
      </c>
      <c r="J712">
        <v>4</v>
      </c>
      <c r="K712">
        <v>3</v>
      </c>
      <c r="L712">
        <v>0</v>
      </c>
      <c r="M712" t="str">
        <f>ContinuousStatsTable[[#This Row],[ProjectName]]&amp;ContinuousStatsTable[[#This Row],[Name]]&amp;ContinuousStatsTable[[#This Row],[Type]]&amp;ContinuousStatsTable[[#This Row],[Source]]</f>
        <v>Unnamed ProjectOrder_Group.QueueNumber WaitingQueue</v>
      </c>
      <c r="N712" cm="1">
        <f t="array" ref="N712">MAX(IF((ProjectInfoTable[ProjectName]=ContinuousStatsTable[[#This Row],[ProjectName]]),(ProjectInfoTable[ProjectName]=ContinuousStatsTable[[#This Row],[ProjectName]])*ProjectInfoTable[NumberOfReplications]))</f>
        <v>30</v>
      </c>
      <c r="O712" cm="1">
        <f t="array" ref="O712">IFERROR(AVERAGE(IF((ContinuousStatsTable[GroupByKey]=ContinuousStatsTable[[#This Row],[GroupByKey]]),(ContinuousStatsTable[GroupByKey]=ContinuousStatsTable[[#This Row],[GroupByKey]])*ContinuousStatsTable[Average])),0)</f>
        <v>1.4993952408135176</v>
      </c>
      <c r="P712" cm="1">
        <f t="array" ref="P712">IFERROR(_xlfn.STDEV.S(IF((ContinuousStatsTable[GroupByKey]=ContinuousStatsTable[[#This Row],[GroupByKey]]),(ContinuousStatsTable[GroupByKey]=ContinuousStatsTable[[#This Row],[GroupByKey]])*ContinuousStatsTable[Average])),0)</f>
        <v>4.292556618615595E-2</v>
      </c>
      <c r="Q712" cm="1">
        <f t="array" ref="Q712">MAX(IF((ProjectInfoTable[ProjectName]=ContinuousStatsTable[[#This Row],[ProjectName]]),(ProjectInfoTable[ProjectName]=ContinuousStatsTable[[#This Row],[ProjectName]])*ProjectInfoTable[ConfidenceInterval]))</f>
        <v>0.95</v>
      </c>
      <c r="R7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1.602866983772662E-2</v>
      </c>
      <c r="S712" cm="1">
        <f t="array" ref="S712">MIN(IF((ContinuousStatsTable[GroupByKey]=ContinuousStatsTable[[#This Row],[GroupByKey]]),(ContinuousStatsTable[GroupByKey]=ContinuousStatsTable[[#This Row],[GroupByKey]])*ContinuousStatsTable[Average]))</f>
        <v>1.4062336911317099</v>
      </c>
      <c r="T712" cm="1">
        <f t="array" ref="T712">MAX(IF((ContinuousStatsTable[GroupByKey]=ContinuousStatsTable[[#This Row],[GroupByKey]]),(ContinuousStatsTable[GroupByKey]=ContinuousStatsTable[[#This Row],[GroupByKey]])*ContinuousStatsTable[Average]))</f>
        <v>1.5889769030929</v>
      </c>
      <c r="U712">
        <f>IF((ContinuousStatsTable[[#This Row],[RepsRequested]]&gt;1),ContinuousStatsTable[[#This Row],[HalfWidth]],ContinuousStatsTable[[#This Row],[BatchMeansHalfWidth]])</f>
        <v>1.602866983772662E-2</v>
      </c>
    </row>
    <row r="713" spans="1:21" x14ac:dyDescent="0.2">
      <c r="A713" t="s">
        <v>67</v>
      </c>
      <c r="B713" t="s">
        <v>70</v>
      </c>
      <c r="C713">
        <v>30</v>
      </c>
      <c r="D713" t="s">
        <v>102</v>
      </c>
      <c r="E713" t="s">
        <v>94</v>
      </c>
      <c r="F713" t="s">
        <v>95</v>
      </c>
      <c r="G713">
        <v>4.7368421052631504E-3</v>
      </c>
      <c r="H713">
        <v>6.7382675876437802E-4</v>
      </c>
      <c r="I713">
        <v>0</v>
      </c>
      <c r="J713">
        <v>0.1</v>
      </c>
      <c r="K713">
        <v>0</v>
      </c>
      <c r="L713">
        <v>0</v>
      </c>
      <c r="M713" t="str">
        <f>ContinuousStatsTable[[#This Row],[ProjectName]]&amp;ContinuousStatsTable[[#This Row],[Name]]&amp;ContinuousStatsTable[[#This Row],[Type]]&amp;ContinuousStatsTable[[#This Row],[Source]]</f>
        <v>Unnamed ProjectOutside_TableInstantaneous UtilizationResource</v>
      </c>
      <c r="N713" cm="1">
        <f t="array" ref="N713">MAX(IF((ProjectInfoTable[ProjectName]=ContinuousStatsTable[[#This Row],[ProjectName]]),(ProjectInfoTable[ProjectName]=ContinuousStatsTable[[#This Row],[ProjectName]])*ProjectInfoTable[NumberOfReplications]))</f>
        <v>30</v>
      </c>
      <c r="O713" cm="1">
        <f t="array" ref="O713">IFERROR(AVERAGE(IF((ContinuousStatsTable[GroupByKey]=ContinuousStatsTable[[#This Row],[GroupByKey]]),(ContinuousStatsTable[GroupByKey]=ContinuousStatsTable[[#This Row],[GroupByKey]])*ContinuousStatsTable[Average])),0)</f>
        <v>4.9565971649701088E-3</v>
      </c>
      <c r="P713" cm="1">
        <f t="array" ref="P713">IFERROR(_xlfn.STDEV.S(IF((ContinuousStatsTable[GroupByKey]=ContinuousStatsTable[[#This Row],[GroupByKey]]),(ContinuousStatsTable[GroupByKey]=ContinuousStatsTable[[#This Row],[GroupByKey]])*ContinuousStatsTable[Average])),0)</f>
        <v>2.7167433725199523E-4</v>
      </c>
      <c r="Q713" cm="1">
        <f t="array" ref="Q713">MAX(IF((ProjectInfoTable[ProjectName]=ContinuousStatsTable[[#This Row],[ProjectName]]),(ProjectInfoTable[ProjectName]=ContinuousStatsTable[[#This Row],[ProjectName]])*ProjectInfoTable[ConfidenceInterval]))</f>
        <v>0.95</v>
      </c>
      <c r="R7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1.0144486472958472E-4</v>
      </c>
      <c r="S713" cm="1">
        <f t="array" ref="S713">MIN(IF((ContinuousStatsTable[GroupByKey]=ContinuousStatsTable[[#This Row],[GroupByKey]]),(ContinuousStatsTable[GroupByKey]=ContinuousStatsTable[[#This Row],[GroupByKey]])*ContinuousStatsTable[Average]))</f>
        <v>4.4956140350877203E-3</v>
      </c>
      <c r="T713" cm="1">
        <f t="array" ref="T713">MAX(IF((ContinuousStatsTable[GroupByKey]=ContinuousStatsTable[[#This Row],[GroupByKey]]),(ContinuousStatsTable[GroupByKey]=ContinuousStatsTable[[#This Row],[GroupByKey]])*ContinuousStatsTable[Average]))</f>
        <v>5.5482456140350904E-3</v>
      </c>
      <c r="U713">
        <f>IF((ContinuousStatsTable[[#This Row],[RepsRequested]]&gt;1),ContinuousStatsTable[[#This Row],[HalfWidth]],ContinuousStatsTable[[#This Row],[BatchMeansHalfWidth]])</f>
        <v>1.0144486472958472E-4</v>
      </c>
    </row>
    <row r="714" spans="1:21" x14ac:dyDescent="0.2">
      <c r="A714" t="s">
        <v>67</v>
      </c>
      <c r="B714" t="s">
        <v>70</v>
      </c>
      <c r="C714">
        <v>30</v>
      </c>
      <c r="D714" t="s">
        <v>102</v>
      </c>
      <c r="E714" t="s">
        <v>96</v>
      </c>
      <c r="F714" t="s">
        <v>95</v>
      </c>
      <c r="G714">
        <v>9.4736842105263105E-2</v>
      </c>
      <c r="H714">
        <v>1.34765351752876E-2</v>
      </c>
      <c r="I714">
        <v>0</v>
      </c>
      <c r="J714">
        <v>2</v>
      </c>
      <c r="K714">
        <v>0</v>
      </c>
      <c r="L714">
        <v>0</v>
      </c>
      <c r="M714" t="str">
        <f>ContinuousStatsTable[[#This Row],[ProjectName]]&amp;ContinuousStatsTable[[#This Row],[Name]]&amp;ContinuousStatsTable[[#This Row],[Type]]&amp;ContinuousStatsTable[[#This Row],[Source]]</f>
        <v>Unnamed ProjectOutside_TableNumber BusyResource</v>
      </c>
      <c r="N714" cm="1">
        <f t="array" ref="N714">MAX(IF((ProjectInfoTable[ProjectName]=ContinuousStatsTable[[#This Row],[ProjectName]]),(ProjectInfoTable[ProjectName]=ContinuousStatsTable[[#This Row],[ProjectName]])*ProjectInfoTable[NumberOfReplications]))</f>
        <v>30</v>
      </c>
      <c r="O714" cm="1">
        <f t="array" ref="O714">IFERROR(AVERAGE(IF((ContinuousStatsTable[GroupByKey]=ContinuousStatsTable[[#This Row],[GroupByKey]]),(ContinuousStatsTable[GroupByKey]=ContinuousStatsTable[[#This Row],[GroupByKey]])*ContinuousStatsTable[Average])),0)</f>
        <v>9.9131943299402212E-2</v>
      </c>
      <c r="P714" cm="1">
        <f t="array" ref="P714">IFERROR(_xlfn.STDEV.S(IF((ContinuousStatsTable[GroupByKey]=ContinuousStatsTable[[#This Row],[GroupByKey]]),(ContinuousStatsTable[GroupByKey]=ContinuousStatsTable[[#This Row],[GroupByKey]])*ContinuousStatsTable[Average])),0)</f>
        <v>5.4334867450399086E-3</v>
      </c>
      <c r="Q714" cm="1">
        <f t="array" ref="Q714">MAX(IF((ProjectInfoTable[ProjectName]=ContinuousStatsTable[[#This Row],[ProjectName]]),(ProjectInfoTable[ProjectName]=ContinuousStatsTable[[#This Row],[ProjectName]])*ProjectInfoTable[ConfidenceInterval]))</f>
        <v>0.95</v>
      </c>
      <c r="R7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2.0288972945916956E-3</v>
      </c>
      <c r="S714" cm="1">
        <f t="array" ref="S714">MIN(IF((ContinuousStatsTable[GroupByKey]=ContinuousStatsTable[[#This Row],[GroupByKey]]),(ContinuousStatsTable[GroupByKey]=ContinuousStatsTable[[#This Row],[GroupByKey]])*ContinuousStatsTable[Average]))</f>
        <v>8.9912280701754305E-2</v>
      </c>
      <c r="T714" cm="1">
        <f t="array" ref="T714">MAX(IF((ContinuousStatsTable[GroupByKey]=ContinuousStatsTable[[#This Row],[GroupByKey]]),(ContinuousStatsTable[GroupByKey]=ContinuousStatsTable[[#This Row],[GroupByKey]])*ContinuousStatsTable[Average]))</f>
        <v>0.110964912280702</v>
      </c>
      <c r="U714">
        <f>IF((ContinuousStatsTable[[#This Row],[RepsRequested]]&gt;1),ContinuousStatsTable[[#This Row],[HalfWidth]],ContinuousStatsTable[[#This Row],[BatchMeansHalfWidth]])</f>
        <v>2.0288972945916956E-3</v>
      </c>
    </row>
    <row r="715" spans="1:21" x14ac:dyDescent="0.2">
      <c r="A715" t="s">
        <v>67</v>
      </c>
      <c r="B715" t="s">
        <v>70</v>
      </c>
      <c r="C715">
        <v>30</v>
      </c>
      <c r="D715" t="s">
        <v>102</v>
      </c>
      <c r="E715" t="s">
        <v>97</v>
      </c>
      <c r="F715" t="s">
        <v>95</v>
      </c>
      <c r="G715">
        <v>20</v>
      </c>
      <c r="H715">
        <v>2E+20</v>
      </c>
      <c r="I715">
        <v>20</v>
      </c>
      <c r="J715">
        <v>20</v>
      </c>
      <c r="K715">
        <v>20</v>
      </c>
      <c r="L715">
        <v>0</v>
      </c>
      <c r="M715" t="str">
        <f>ContinuousStatsTable[[#This Row],[ProjectName]]&amp;ContinuousStatsTable[[#This Row],[Name]]&amp;ContinuousStatsTable[[#This Row],[Type]]&amp;ContinuousStatsTable[[#This Row],[Source]]</f>
        <v>Unnamed ProjectOutside_TableNumber ScheduledResource</v>
      </c>
      <c r="N715" cm="1">
        <f t="array" ref="N715">MAX(IF((ProjectInfoTable[ProjectName]=ContinuousStatsTable[[#This Row],[ProjectName]]),(ProjectInfoTable[ProjectName]=ContinuousStatsTable[[#This Row],[ProjectName]])*ProjectInfoTable[NumberOfReplications]))</f>
        <v>30</v>
      </c>
      <c r="O715" cm="1">
        <f t="array" ref="O715">IFERROR(AVERAGE(IF((ContinuousStatsTable[GroupByKey]=ContinuousStatsTable[[#This Row],[GroupByKey]]),(ContinuousStatsTable[GroupByKey]=ContinuousStatsTable[[#This Row],[GroupByKey]])*ContinuousStatsTable[Average])),0)</f>
        <v>20</v>
      </c>
      <c r="P715" cm="1">
        <f t="array" ref="P715">IFERROR(_xlfn.STDEV.S(IF((ContinuousStatsTable[GroupByKey]=ContinuousStatsTable[[#This Row],[GroupByKey]]),(ContinuousStatsTable[GroupByKey]=ContinuousStatsTable[[#This Row],[GroupByKey]])*ContinuousStatsTable[Average])),0)</f>
        <v>0</v>
      </c>
      <c r="Q715" cm="1">
        <f t="array" ref="Q715">MAX(IF((ProjectInfoTable[ProjectName]=ContinuousStatsTable[[#This Row],[ProjectName]]),(ProjectInfoTable[ProjectName]=ContinuousStatsTable[[#This Row],[ProjectName]])*ProjectInfoTable[ConfidenceInterval]))</f>
        <v>0.95</v>
      </c>
      <c r="R7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5" cm="1">
        <f t="array" ref="S715">MIN(IF((ContinuousStatsTable[GroupByKey]=ContinuousStatsTable[[#This Row],[GroupByKey]]),(ContinuousStatsTable[GroupByKey]=ContinuousStatsTable[[#This Row],[GroupByKey]])*ContinuousStatsTable[Average]))</f>
        <v>20</v>
      </c>
      <c r="T715" cm="1">
        <f t="array" ref="T715">MAX(IF((ContinuousStatsTable[GroupByKey]=ContinuousStatsTable[[#This Row],[GroupByKey]]),(ContinuousStatsTable[GroupByKey]=ContinuousStatsTable[[#This Row],[GroupByKey]])*ContinuousStatsTable[Average]))</f>
        <v>20</v>
      </c>
      <c r="U715">
        <f>IF((ContinuousStatsTable[[#This Row],[RepsRequested]]&gt;1),ContinuousStatsTable[[#This Row],[HalfWidth]],ContinuousStatsTable[[#This Row],[BatchMeansHalfWidth]])</f>
        <v>0</v>
      </c>
    </row>
    <row r="716" spans="1:21" x14ac:dyDescent="0.2">
      <c r="A716" t="s">
        <v>67</v>
      </c>
      <c r="B716" t="s">
        <v>70</v>
      </c>
      <c r="C716">
        <v>30</v>
      </c>
      <c r="D716" t="s">
        <v>90</v>
      </c>
      <c r="E716" t="s">
        <v>98</v>
      </c>
      <c r="F716" t="s">
        <v>73</v>
      </c>
      <c r="G716">
        <v>0</v>
      </c>
      <c r="H716">
        <v>2E+20</v>
      </c>
      <c r="I716">
        <v>0</v>
      </c>
      <c r="J716">
        <v>0</v>
      </c>
      <c r="K716">
        <v>0</v>
      </c>
      <c r="L716">
        <v>0</v>
      </c>
      <c r="M716" t="str">
        <f>ContinuousStatsTable[[#This Row],[ProjectName]]&amp;ContinuousStatsTable[[#This Row],[Name]]&amp;ContinuousStatsTable[[#This Row],[Type]]&amp;ContinuousStatsTable[[#This Row],[Source]]</f>
        <v>Unnamed ProjectOutside_Table_Standing.QueueNumber WaitingQueue</v>
      </c>
      <c r="N716" cm="1">
        <f t="array" ref="N716">MAX(IF((ProjectInfoTable[ProjectName]=ContinuousStatsTable[[#This Row],[ProjectName]]),(ProjectInfoTable[ProjectName]=ContinuousStatsTable[[#This Row],[ProjectName]])*ProjectInfoTable[NumberOfReplications]))</f>
        <v>30</v>
      </c>
      <c r="O716" cm="1">
        <f t="array" ref="O716">IFERROR(AVERAGE(IF((ContinuousStatsTable[GroupByKey]=ContinuousStatsTable[[#This Row],[GroupByKey]]),(ContinuousStatsTable[GroupByKey]=ContinuousStatsTable[[#This Row],[GroupByKey]])*ContinuousStatsTable[Average])),0)</f>
        <v>0</v>
      </c>
      <c r="P716" cm="1">
        <f t="array" ref="P716">IFERROR(_xlfn.STDEV.S(IF((ContinuousStatsTable[GroupByKey]=ContinuousStatsTable[[#This Row],[GroupByKey]]),(ContinuousStatsTable[GroupByKey]=ContinuousStatsTable[[#This Row],[GroupByKey]])*ContinuousStatsTable[Average])),0)</f>
        <v>0</v>
      </c>
      <c r="Q716" cm="1">
        <f t="array" ref="Q716">MAX(IF((ProjectInfoTable[ProjectName]=ContinuousStatsTable[[#This Row],[ProjectName]]),(ProjectInfoTable[ProjectName]=ContinuousStatsTable[[#This Row],[ProjectName]])*ProjectInfoTable[ConfidenceInterval]))</f>
        <v>0.95</v>
      </c>
      <c r="R7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6" cm="1">
        <f t="array" ref="S716">MIN(IF((ContinuousStatsTable[GroupByKey]=ContinuousStatsTable[[#This Row],[GroupByKey]]),(ContinuousStatsTable[GroupByKey]=ContinuousStatsTable[[#This Row],[GroupByKey]])*ContinuousStatsTable[Average]))</f>
        <v>0</v>
      </c>
      <c r="T716" cm="1">
        <f t="array" ref="T716">MAX(IF((ContinuousStatsTable[GroupByKey]=ContinuousStatsTable[[#This Row],[GroupByKey]]),(ContinuousStatsTable[GroupByKey]=ContinuousStatsTable[[#This Row],[GroupByKey]])*ContinuousStatsTable[Average]))</f>
        <v>0</v>
      </c>
      <c r="U716">
        <f>IF((ContinuousStatsTable[[#This Row],[RepsRequested]]&gt;1),ContinuousStatsTable[[#This Row],[HalfWidth]],ContinuousStatsTable[[#This Row],[BatchMeansHalfWidth]])</f>
        <v>0</v>
      </c>
    </row>
    <row r="717" spans="1:21" x14ac:dyDescent="0.2">
      <c r="A717" t="s">
        <v>67</v>
      </c>
      <c r="B717" t="s">
        <v>70</v>
      </c>
      <c r="C717">
        <v>30</v>
      </c>
      <c r="D717" t="s">
        <v>91</v>
      </c>
      <c r="E717" t="s">
        <v>98</v>
      </c>
      <c r="F717" t="s">
        <v>73</v>
      </c>
      <c r="G717">
        <v>0</v>
      </c>
      <c r="H717">
        <v>2E+20</v>
      </c>
      <c r="I717">
        <v>0</v>
      </c>
      <c r="J717">
        <v>0</v>
      </c>
      <c r="K717">
        <v>0</v>
      </c>
      <c r="L717">
        <v>0</v>
      </c>
      <c r="M717" t="str">
        <f>ContinuousStatsTable[[#This Row],[ProjectName]]&amp;ContinuousStatsTable[[#This Row],[Name]]&amp;ContinuousStatsTable[[#This Row],[Type]]&amp;ContinuousStatsTable[[#This Row],[Source]]</f>
        <v>Unnamed ProjectOutside_Table_Waiting_QueueNumber WaitingQueue</v>
      </c>
      <c r="N717" cm="1">
        <f t="array" ref="N717">MAX(IF((ProjectInfoTable[ProjectName]=ContinuousStatsTable[[#This Row],[ProjectName]]),(ProjectInfoTable[ProjectName]=ContinuousStatsTable[[#This Row],[ProjectName]])*ProjectInfoTable[NumberOfReplications]))</f>
        <v>30</v>
      </c>
      <c r="O717" cm="1">
        <f t="array" ref="O717">IFERROR(AVERAGE(IF((ContinuousStatsTable[GroupByKey]=ContinuousStatsTable[[#This Row],[GroupByKey]]),(ContinuousStatsTable[GroupByKey]=ContinuousStatsTable[[#This Row],[GroupByKey]])*ContinuousStatsTable[Average])),0)</f>
        <v>0</v>
      </c>
      <c r="P717" cm="1">
        <f t="array" ref="P717">IFERROR(_xlfn.STDEV.S(IF((ContinuousStatsTable[GroupByKey]=ContinuousStatsTable[[#This Row],[GroupByKey]]),(ContinuousStatsTable[GroupByKey]=ContinuousStatsTable[[#This Row],[GroupByKey]])*ContinuousStatsTable[Average])),0)</f>
        <v>0</v>
      </c>
      <c r="Q717" cm="1">
        <f t="array" ref="Q717">MAX(IF((ProjectInfoTable[ProjectName]=ContinuousStatsTable[[#This Row],[ProjectName]]),(ProjectInfoTable[ProjectName]=ContinuousStatsTable[[#This Row],[ProjectName]])*ProjectInfoTable[ConfidenceInterval]))</f>
        <v>0.95</v>
      </c>
      <c r="R7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7" cm="1">
        <f t="array" ref="S717">MIN(IF((ContinuousStatsTable[GroupByKey]=ContinuousStatsTable[[#This Row],[GroupByKey]]),(ContinuousStatsTable[GroupByKey]=ContinuousStatsTable[[#This Row],[GroupByKey]])*ContinuousStatsTable[Average]))</f>
        <v>0</v>
      </c>
      <c r="T717" cm="1">
        <f t="array" ref="T717">MAX(IF((ContinuousStatsTable[GroupByKey]=ContinuousStatsTable[[#This Row],[GroupByKey]]),(ContinuousStatsTable[GroupByKey]=ContinuousStatsTable[[#This Row],[GroupByKey]])*ContinuousStatsTable[Average]))</f>
        <v>0</v>
      </c>
      <c r="U717">
        <f>IF((ContinuousStatsTable[[#This Row],[RepsRequested]]&gt;1),ContinuousStatsTable[[#This Row],[HalfWidth]],ContinuousStatsTable[[#This Row],[BatchMeansHalfWidth]])</f>
        <v>0</v>
      </c>
    </row>
    <row r="718" spans="1:21" x14ac:dyDescent="0.2">
      <c r="A718" t="s">
        <v>67</v>
      </c>
      <c r="B718" t="s">
        <v>70</v>
      </c>
      <c r="C718">
        <v>30</v>
      </c>
      <c r="D718" t="s">
        <v>92</v>
      </c>
      <c r="E718" t="s">
        <v>98</v>
      </c>
      <c r="F718" t="s">
        <v>73</v>
      </c>
      <c r="G718">
        <v>0</v>
      </c>
      <c r="H718">
        <v>2E+20</v>
      </c>
      <c r="I718">
        <v>0</v>
      </c>
      <c r="J718">
        <v>0</v>
      </c>
      <c r="K718">
        <v>0</v>
      </c>
      <c r="L718">
        <v>0</v>
      </c>
      <c r="M718" t="str">
        <f>ContinuousStatsTable[[#This Row],[ProjectName]]&amp;ContinuousStatsTable[[#This Row],[Name]]&amp;ContinuousStatsTable[[#This Row],[Type]]&amp;ContinuousStatsTable[[#This Row],[Source]]</f>
        <v>Unnamed ProjectTaking_Order.QueueNumber WaitingQueue</v>
      </c>
      <c r="N718" cm="1">
        <f t="array" ref="N718">MAX(IF((ProjectInfoTable[ProjectName]=ContinuousStatsTable[[#This Row],[ProjectName]]),(ProjectInfoTable[ProjectName]=ContinuousStatsTable[[#This Row],[ProjectName]])*ProjectInfoTable[NumberOfReplications]))</f>
        <v>30</v>
      </c>
      <c r="O718" cm="1">
        <f t="array" ref="O718">IFERROR(AVERAGE(IF((ContinuousStatsTable[GroupByKey]=ContinuousStatsTable[[#This Row],[GroupByKey]]),(ContinuousStatsTable[GroupByKey]=ContinuousStatsTable[[#This Row],[GroupByKey]])*ContinuousStatsTable[Average])),0)</f>
        <v>0</v>
      </c>
      <c r="P718" cm="1">
        <f t="array" ref="P718">IFERROR(_xlfn.STDEV.S(IF((ContinuousStatsTable[GroupByKey]=ContinuousStatsTable[[#This Row],[GroupByKey]]),(ContinuousStatsTable[GroupByKey]=ContinuousStatsTable[[#This Row],[GroupByKey]])*ContinuousStatsTable[Average])),0)</f>
        <v>0</v>
      </c>
      <c r="Q718" cm="1">
        <f t="array" ref="Q718">MAX(IF((ProjectInfoTable[ProjectName]=ContinuousStatsTable[[#This Row],[ProjectName]]),(ProjectInfoTable[ProjectName]=ContinuousStatsTable[[#This Row],[ProjectName]])*ProjectInfoTable[ConfidenceInterval]))</f>
        <v>0.95</v>
      </c>
      <c r="R7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8" cm="1">
        <f t="array" ref="S718">MIN(IF((ContinuousStatsTable[GroupByKey]=ContinuousStatsTable[[#This Row],[GroupByKey]]),(ContinuousStatsTable[GroupByKey]=ContinuousStatsTable[[#This Row],[GroupByKey]])*ContinuousStatsTable[Average]))</f>
        <v>0</v>
      </c>
      <c r="T718" cm="1">
        <f t="array" ref="T718">MAX(IF((ContinuousStatsTable[GroupByKey]=ContinuousStatsTable[[#This Row],[GroupByKey]]),(ContinuousStatsTable[GroupByKey]=ContinuousStatsTable[[#This Row],[GroupByKey]])*ContinuousStatsTable[Average]))</f>
        <v>0</v>
      </c>
      <c r="U718">
        <f>IF((ContinuousStatsTable[[#This Row],[RepsRequested]]&gt;1),ContinuousStatsTable[[#This Row],[HalfWidth]],ContinuousStatsTable[[#This Row],[BatchMeansHalfWidth]])</f>
        <v>0</v>
      </c>
    </row>
    <row r="719" spans="1:21" x14ac:dyDescent="0.2">
      <c r="A719" t="s">
        <v>67</v>
      </c>
      <c r="B719" t="s">
        <v>70</v>
      </c>
      <c r="C719">
        <v>30</v>
      </c>
      <c r="D719" t="s">
        <v>103</v>
      </c>
      <c r="E719" t="s">
        <v>94</v>
      </c>
      <c r="F719" t="s">
        <v>95</v>
      </c>
      <c r="G719">
        <v>7.9150486146479002E-2</v>
      </c>
      <c r="H719">
        <v>2E+20</v>
      </c>
      <c r="I719">
        <v>0</v>
      </c>
      <c r="J719">
        <v>0.66666666666666696</v>
      </c>
      <c r="K719">
        <v>0</v>
      </c>
      <c r="L719">
        <v>0</v>
      </c>
      <c r="M719" t="str">
        <f>ContinuousStatsTable[[#This Row],[ProjectName]]&amp;ContinuousStatsTable[[#This Row],[Name]]&amp;ContinuousStatsTable[[#This Row],[Type]]&amp;ContinuousStatsTable[[#This Row],[Source]]</f>
        <v>Unnamed ProjectWaiterInstantaneous UtilizationResource</v>
      </c>
      <c r="N719" cm="1">
        <f t="array" ref="N719">MAX(IF((ProjectInfoTable[ProjectName]=ContinuousStatsTable[[#This Row],[ProjectName]]),(ProjectInfoTable[ProjectName]=ContinuousStatsTable[[#This Row],[ProjectName]])*ProjectInfoTable[NumberOfReplications]))</f>
        <v>30</v>
      </c>
      <c r="O719" cm="1">
        <f t="array" ref="O719">IFERROR(AVERAGE(IF((ContinuousStatsTable[GroupByKey]=ContinuousStatsTable[[#This Row],[GroupByKey]]),(ContinuousStatsTable[GroupByKey]=ContinuousStatsTable[[#This Row],[GroupByKey]])*ContinuousStatsTable[Average])),0)</f>
        <v>8.3509459606410805E-2</v>
      </c>
      <c r="P719" cm="1">
        <f t="array" ref="P719">IFERROR(_xlfn.STDEV.S(IF((ContinuousStatsTable[GroupByKey]=ContinuousStatsTable[[#This Row],[GroupByKey]]),(ContinuousStatsTable[GroupByKey]=ContinuousStatsTable[[#This Row],[GroupByKey]])*ContinuousStatsTable[Average])),0)</f>
        <v>3.5452891325333828E-3</v>
      </c>
      <c r="Q719" cm="1">
        <f t="array" ref="Q719">MAX(IF((ProjectInfoTable[ProjectName]=ContinuousStatsTable[[#This Row],[ProjectName]]),(ProjectInfoTable[ProjectName]=ContinuousStatsTable[[#This Row],[ProjectName]])*ProjectInfoTable[ConfidenceInterval]))</f>
        <v>0.95</v>
      </c>
      <c r="R7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1.3238327186697659E-3</v>
      </c>
      <c r="S719" cm="1">
        <f t="array" ref="S719">MIN(IF((ContinuousStatsTable[GroupByKey]=ContinuousStatsTable[[#This Row],[GroupByKey]]),(ContinuousStatsTable[GroupByKey]=ContinuousStatsTable[[#This Row],[GroupByKey]])*ContinuousStatsTable[Average]))</f>
        <v>7.7176470357846902E-2</v>
      </c>
      <c r="T719" cm="1">
        <f t="array" ref="T719">MAX(IF((ContinuousStatsTable[GroupByKey]=ContinuousStatsTable[[#This Row],[GroupByKey]]),(ContinuousStatsTable[GroupByKey]=ContinuousStatsTable[[#This Row],[GroupByKey]])*ContinuousStatsTable[Average]))</f>
        <v>9.2534326714405896E-2</v>
      </c>
      <c r="U719">
        <f>IF((ContinuousStatsTable[[#This Row],[RepsRequested]]&gt;1),ContinuousStatsTable[[#This Row],[HalfWidth]],ContinuousStatsTable[[#This Row],[BatchMeansHalfWidth]])</f>
        <v>1.3238327186697659E-3</v>
      </c>
    </row>
    <row r="720" spans="1:21" x14ac:dyDescent="0.2">
      <c r="A720" t="s">
        <v>67</v>
      </c>
      <c r="B720" t="s">
        <v>70</v>
      </c>
      <c r="C720">
        <v>30</v>
      </c>
      <c r="D720" t="s">
        <v>103</v>
      </c>
      <c r="E720" t="s">
        <v>96</v>
      </c>
      <c r="F720" t="s">
        <v>95</v>
      </c>
      <c r="G720">
        <v>0.23745145843943699</v>
      </c>
      <c r="H720">
        <v>2E+20</v>
      </c>
      <c r="I720">
        <v>0</v>
      </c>
      <c r="J720">
        <v>2</v>
      </c>
      <c r="K720">
        <v>0</v>
      </c>
      <c r="L720">
        <v>0</v>
      </c>
      <c r="M720" t="str">
        <f>ContinuousStatsTable[[#This Row],[ProjectName]]&amp;ContinuousStatsTable[[#This Row],[Name]]&amp;ContinuousStatsTable[[#This Row],[Type]]&amp;ContinuousStatsTable[[#This Row],[Source]]</f>
        <v>Unnamed ProjectWaiterNumber BusyResource</v>
      </c>
      <c r="N720" cm="1">
        <f t="array" ref="N720">MAX(IF((ProjectInfoTable[ProjectName]=ContinuousStatsTable[[#This Row],[ProjectName]]),(ProjectInfoTable[ProjectName]=ContinuousStatsTable[[#This Row],[ProjectName]])*ProjectInfoTable[NumberOfReplications]))</f>
        <v>30</v>
      </c>
      <c r="O720" cm="1">
        <f t="array" ref="O720">IFERROR(AVERAGE(IF((ContinuousStatsTable[GroupByKey]=ContinuousStatsTable[[#This Row],[GroupByKey]]),(ContinuousStatsTable[GroupByKey]=ContinuousStatsTable[[#This Row],[GroupByKey]])*ContinuousStatsTable[Average])),0)</f>
        <v>0.2505283788192324</v>
      </c>
      <c r="P720" cm="1">
        <f t="array" ref="P720">IFERROR(_xlfn.STDEV.S(IF((ContinuousStatsTable[GroupByKey]=ContinuousStatsTable[[#This Row],[GroupByKey]]),(ContinuousStatsTable[GroupByKey]=ContinuousStatsTable[[#This Row],[GroupByKey]])*ContinuousStatsTable[Average])),0)</f>
        <v>1.0635867397600153E-2</v>
      </c>
      <c r="Q720" cm="1">
        <f t="array" ref="Q720">MAX(IF((ProjectInfoTable[ProjectName]=ContinuousStatsTable[[#This Row],[ProjectName]]),(ProjectInfoTable[ProjectName]=ContinuousStatsTable[[#This Row],[ProjectName]])*ProjectInfoTable[ConfidenceInterval]))</f>
        <v>0.95</v>
      </c>
      <c r="R7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3.9714981560092996E-3</v>
      </c>
      <c r="S720" cm="1">
        <f t="array" ref="S720">MIN(IF((ContinuousStatsTable[GroupByKey]=ContinuousStatsTable[[#This Row],[GroupByKey]]),(ContinuousStatsTable[GroupByKey]=ContinuousStatsTable[[#This Row],[GroupByKey]])*ContinuousStatsTable[Average]))</f>
        <v>0.231529411073541</v>
      </c>
      <c r="T720" cm="1">
        <f t="array" ref="T720">MAX(IF((ContinuousStatsTable[GroupByKey]=ContinuousStatsTable[[#This Row],[GroupByKey]]),(ContinuousStatsTable[GroupByKey]=ContinuousStatsTable[[#This Row],[GroupByKey]])*ContinuousStatsTable[Average]))</f>
        <v>0.27760298014321699</v>
      </c>
      <c r="U720">
        <f>IF((ContinuousStatsTable[[#This Row],[RepsRequested]]&gt;1),ContinuousStatsTable[[#This Row],[HalfWidth]],ContinuousStatsTable[[#This Row],[BatchMeansHalfWidth]])</f>
        <v>3.9714981560092996E-3</v>
      </c>
    </row>
    <row r="721" spans="1:21" x14ac:dyDescent="0.2">
      <c r="A721" t="s">
        <v>67</v>
      </c>
      <c r="B721" t="s">
        <v>70</v>
      </c>
      <c r="C721">
        <v>30</v>
      </c>
      <c r="D721" t="s">
        <v>103</v>
      </c>
      <c r="E721" t="s">
        <v>97</v>
      </c>
      <c r="F721" t="s">
        <v>95</v>
      </c>
      <c r="G721">
        <v>3</v>
      </c>
      <c r="H721">
        <v>2E+20</v>
      </c>
      <c r="I721">
        <v>3</v>
      </c>
      <c r="J721">
        <v>3</v>
      </c>
      <c r="K721">
        <v>3</v>
      </c>
      <c r="L721">
        <v>0</v>
      </c>
      <c r="M721" t="str">
        <f>ContinuousStatsTable[[#This Row],[ProjectName]]&amp;ContinuousStatsTable[[#This Row],[Name]]&amp;ContinuousStatsTable[[#This Row],[Type]]&amp;ContinuousStatsTable[[#This Row],[Source]]</f>
        <v>Unnamed ProjectWaiterNumber ScheduledResource</v>
      </c>
      <c r="N721" cm="1">
        <f t="array" ref="N721">MAX(IF((ProjectInfoTable[ProjectName]=ContinuousStatsTable[[#This Row],[ProjectName]]),(ProjectInfoTable[ProjectName]=ContinuousStatsTable[[#This Row],[ProjectName]])*ProjectInfoTable[NumberOfReplications]))</f>
        <v>30</v>
      </c>
      <c r="O721" cm="1">
        <f t="array" ref="O721">IFERROR(AVERAGE(IF((ContinuousStatsTable[GroupByKey]=ContinuousStatsTable[[#This Row],[GroupByKey]]),(ContinuousStatsTable[GroupByKey]=ContinuousStatsTable[[#This Row],[GroupByKey]])*ContinuousStatsTable[Average])),0)</f>
        <v>3</v>
      </c>
      <c r="P721" cm="1">
        <f t="array" ref="P721">IFERROR(_xlfn.STDEV.S(IF((ContinuousStatsTable[GroupByKey]=ContinuousStatsTable[[#This Row],[GroupByKey]]),(ContinuousStatsTable[GroupByKey]=ContinuousStatsTable[[#This Row],[GroupByKey]])*ContinuousStatsTable[Average])),0)</f>
        <v>0</v>
      </c>
      <c r="Q721" cm="1">
        <f t="array" ref="Q721">MAX(IF((ProjectInfoTable[ProjectName]=ContinuousStatsTable[[#This Row],[ProjectName]]),(ProjectInfoTable[ProjectName]=ContinuousStatsTable[[#This Row],[ProjectName]])*ProjectInfoTable[ConfidenceInterval]))</f>
        <v>0.95</v>
      </c>
      <c r="R7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1" cm="1">
        <f t="array" ref="S721">MIN(IF((ContinuousStatsTable[GroupByKey]=ContinuousStatsTable[[#This Row],[GroupByKey]]),(ContinuousStatsTable[GroupByKey]=ContinuousStatsTable[[#This Row],[GroupByKey]])*ContinuousStatsTable[Average]))</f>
        <v>3</v>
      </c>
      <c r="T721" cm="1">
        <f t="array" ref="T721">MAX(IF((ContinuousStatsTable[GroupByKey]=ContinuousStatsTable[[#This Row],[GroupByKey]]),(ContinuousStatsTable[GroupByKey]=ContinuousStatsTable[[#This Row],[GroupByKey]])*ContinuousStatsTable[Average]))</f>
        <v>3</v>
      </c>
      <c r="U721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721">
    <cfRule type="expression" dxfId="31" priority="9">
      <formula>H2=200000000000000000000</formula>
    </cfRule>
  </conditionalFormatting>
  <conditionalFormatting sqref="H2:H721">
    <cfRule type="expression" dxfId="30" priority="7">
      <formula>H2=300000000000000000000</formula>
    </cfRule>
  </conditionalFormatting>
  <conditionalFormatting sqref="M2:U721">
    <cfRule type="expression" dxfId="29" priority="5">
      <formula>MOD(ROW(),2)=0</formula>
    </cfRule>
  </conditionalFormatting>
  <conditionalFormatting sqref="U2:U721">
    <cfRule type="expression" dxfId="28" priority="3">
      <formula>U2=200000000000000000000</formula>
    </cfRule>
    <cfRule type="expression" dxfId="27" priority="4">
      <formula>U2=300000000000000000000</formula>
    </cfRule>
  </conditionalFormatting>
  <conditionalFormatting sqref="R2:R721 U2:U721">
    <cfRule type="expression" dxfId="2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14.1640625" bestFit="1" customWidth="1"/>
    <col min="2" max="2" width="21.1640625" bestFit="1" customWidth="1"/>
    <col min="3" max="3" width="12.5" bestFit="1" customWidth="1"/>
    <col min="4" max="4" width="8.1640625" bestFit="1" customWidth="1"/>
    <col min="5" max="5" width="7.33203125" bestFit="1" customWidth="1"/>
    <col min="6" max="6" width="9" bestFit="1" customWidth="1"/>
    <col min="7" max="7" width="16.1640625" bestFit="1" customWidth="1"/>
    <col min="8" max="8" width="13.6640625" bestFit="1" customWidth="1"/>
    <col min="9" max="9" width="16.1640625" bestFit="1" customWidth="1"/>
    <col min="10" max="10" width="10.1640625" bestFit="1" customWidth="1"/>
    <col min="11" max="11" width="19" bestFit="1" customWidth="1"/>
    <col min="12" max="12" width="19.5" bestFit="1" customWidth="1"/>
    <col min="13" max="13" width="11.6640625" bestFit="1" customWidth="1"/>
    <col min="14" max="14" width="11.5" bestFit="1" customWidth="1"/>
    <col min="15" max="15" width="11.83203125" bestFit="1" customWidth="1"/>
  </cols>
  <sheetData>
    <row r="1" spans="1:15" x14ac:dyDescent="0.2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16" priority="2">
      <formula>MOD(ROW(),2)=0</formula>
    </cfRule>
  </conditionalFormatting>
  <conditionalFormatting sqref="M2">
    <cfRule type="expression" dxfId="15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91"/>
  <sheetViews>
    <sheetView workbookViewId="0">
      <selection activeCell="A2" sqref="A2:H31"/>
    </sheetView>
  </sheetViews>
  <sheetFormatPr baseColWidth="10" defaultColWidth="8.83203125" defaultRowHeight="15" x14ac:dyDescent="0.2"/>
  <cols>
    <col min="1" max="1" width="15.1640625" bestFit="1" customWidth="1"/>
    <col min="2" max="2" width="21.1640625" bestFit="1" customWidth="1"/>
    <col min="3" max="3" width="12.5" bestFit="1" customWidth="1"/>
    <col min="4" max="4" width="30.33203125" bestFit="1" customWidth="1"/>
    <col min="5" max="5" width="18.1640625" bestFit="1" customWidth="1"/>
    <col min="6" max="6" width="9" bestFit="1" customWidth="1"/>
    <col min="7" max="7" width="16.1640625" bestFit="1" customWidth="1"/>
    <col min="8" max="8" width="11.33203125" bestFit="1" customWidth="1"/>
    <col min="9" max="9" width="70" bestFit="1" customWidth="1"/>
    <col min="10" max="10" width="16.1640625" bestFit="1" customWidth="1"/>
    <col min="11" max="11" width="12" bestFit="1" customWidth="1"/>
    <col min="12" max="12" width="19" bestFit="1" customWidth="1"/>
    <col min="13" max="13" width="19.5" bestFit="1" customWidth="1"/>
    <col min="14" max="16" width="12" bestFit="1" customWidth="1"/>
  </cols>
  <sheetData>
    <row r="1" spans="1:16" x14ac:dyDescent="0.2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66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2">
      <c r="A2" t="s">
        <v>67</v>
      </c>
      <c r="B2" t="s">
        <v>70</v>
      </c>
      <c r="C2">
        <v>1</v>
      </c>
      <c r="D2" t="s">
        <v>104</v>
      </c>
      <c r="E2" t="s">
        <v>105</v>
      </c>
      <c r="F2" t="s">
        <v>95</v>
      </c>
      <c r="G2">
        <v>285</v>
      </c>
      <c r="H2">
        <v>0</v>
      </c>
      <c r="I2" t="str">
        <f>OutputTable[[#This Row],[ProjectName]]&amp;OutputTable[[#This Row],[Name]]&amp;OutputTable[[#This Row],[Type]]&amp;OutputTable[[#This Row],[Source]]</f>
        <v>Unnamed ProjectCleaner.NumberSeizedTotal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285.39999999999998</v>
      </c>
      <c r="L2" cm="1">
        <f t="array" ref="L2">IFERROR(_xlfn.STDEV.S(IF((OutputTable[GroupByKey]=OutputTable[[#This Row],[GroupByKey]]),(OutputTable[GroupByKey]=OutputTable[[#This Row],[GroupByKey]])*OutputTable[RecordedValue])),0)</f>
        <v>12.88302812979555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2" cm="1">
        <f t="array" ref="O2">MIN(IF((OutputTable[GroupByKey]=OutputTable[[#This Row],[GroupByKey]]),(OutputTable[GroupByKey]=OutputTable[[#This Row],[GroupByKey]])*OutputTable[RecordedValue]))</f>
        <v>266</v>
      </c>
      <c r="P2" cm="1">
        <f t="array" ref="P2">MAX(IF((OutputTable[GroupByKey]=OutputTable[[#This Row],[GroupByKey]]),(OutputTable[GroupByKey]=OutputTable[[#This Row],[GroupByKey]])*OutputTable[RecordedValue]))</f>
        <v>318</v>
      </c>
    </row>
    <row r="3" spans="1:16" x14ac:dyDescent="0.2">
      <c r="A3" t="s">
        <v>67</v>
      </c>
      <c r="B3" t="s">
        <v>70</v>
      </c>
      <c r="C3">
        <v>1</v>
      </c>
      <c r="D3" t="s">
        <v>106</v>
      </c>
      <c r="E3" t="s">
        <v>107</v>
      </c>
      <c r="F3" t="s">
        <v>95</v>
      </c>
      <c r="G3">
        <v>0.24992438174105699</v>
      </c>
      <c r="H3">
        <v>0</v>
      </c>
      <c r="I3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0.25031804088290305</v>
      </c>
      <c r="L3" cm="1">
        <f t="array" ref="L3">IFERROR(_xlfn.STDEV.S(IF((OutputTable[GroupByKey]=OutputTable[[#This Row],[GroupByKey]]),(OutputTable[GroupByKey]=OutputTable[[#This Row],[GroupByKey]])*OutputTable[RecordedValue])),0)</f>
        <v>1.1255778929137084E-2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3" cm="1">
        <f t="array" ref="O3">MIN(IF((OutputTable[GroupByKey]=OutputTable[[#This Row],[GroupByKey]]),(OutputTable[GroupByKey]=OutputTable[[#This Row],[GroupByKey]])*OutputTable[RecordedValue]))</f>
        <v>0.233333333333333</v>
      </c>
      <c r="P3" cm="1">
        <f t="array" ref="P3">MAX(IF((OutputTable[GroupByKey]=OutputTable[[#This Row],[GroupByKey]]),(OutputTable[GroupByKey]=OutputTable[[#This Row],[GroupByKey]])*OutputTable[RecordedValue]))</f>
        <v>0.27905535859326402</v>
      </c>
    </row>
    <row r="4" spans="1:16" x14ac:dyDescent="0.2">
      <c r="A4" t="s">
        <v>67</v>
      </c>
      <c r="B4" t="s">
        <v>70</v>
      </c>
      <c r="C4">
        <v>1</v>
      </c>
      <c r="D4" t="s">
        <v>108</v>
      </c>
      <c r="E4" t="s">
        <v>105</v>
      </c>
      <c r="F4" t="s">
        <v>95</v>
      </c>
      <c r="G4">
        <v>286</v>
      </c>
      <c r="H4">
        <v>0</v>
      </c>
      <c r="I4" t="str">
        <f>OutputTable[[#This Row],[ProjectName]]&amp;OutputTable[[#This Row],[Name]]&amp;OutputTable[[#This Row],[Type]]&amp;OutputTable[[#This Row],[Source]]</f>
        <v>Unnamed ProjectCooker.NumberSeizedTotal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285.66666666666669</v>
      </c>
      <c r="L4" cm="1">
        <f t="array" ref="L4">IFERROR(_xlfn.STDEV.S(IF((OutputTable[GroupByKey]=OutputTable[[#This Row],[GroupByKey]]),(OutputTable[GroupByKey]=OutputTable[[#This Row],[GroupByKey]])*OutputTable[RecordedValue])),0)</f>
        <v>12.949060233064802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4" cm="1">
        <f t="array" ref="O4">MIN(IF((OutputTable[GroupByKey]=OutputTable[[#This Row],[GroupByKey]]),(OutputTable[GroupByKey]=OutputTable[[#This Row],[GroupByKey]])*OutputTable[RecordedValue]))</f>
        <v>264</v>
      </c>
      <c r="P4" cm="1">
        <f t="array" ref="P4">MAX(IF((OutputTable[GroupByKey]=OutputTable[[#This Row],[GroupByKey]]),(OutputTable[GroupByKey]=OutputTable[[#This Row],[GroupByKey]])*OutputTable[RecordedValue]))</f>
        <v>320</v>
      </c>
    </row>
    <row r="5" spans="1:16" x14ac:dyDescent="0.2">
      <c r="A5" t="s">
        <v>67</v>
      </c>
      <c r="B5" t="s">
        <v>70</v>
      </c>
      <c r="C5">
        <v>1</v>
      </c>
      <c r="D5" t="s">
        <v>109</v>
      </c>
      <c r="E5" t="s">
        <v>107</v>
      </c>
      <c r="F5" t="s">
        <v>95</v>
      </c>
      <c r="G5">
        <v>0.63371258005858999</v>
      </c>
      <c r="H5">
        <v>0</v>
      </c>
      <c r="I5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0.62721981794251769</v>
      </c>
      <c r="L5" cm="1">
        <f t="array" ref="L5">IFERROR(_xlfn.STDEV.S(IF((OutputTable[GroupByKey]=OutputTable[[#This Row],[GroupByKey]]),(OutputTable[GroupByKey]=OutputTable[[#This Row],[GroupByKey]])*OutputTable[RecordedValue])),0)</f>
        <v>2.6376107220918699E-2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5" cm="1">
        <f t="array" ref="O5">MIN(IF((OutputTable[GroupByKey]=OutputTable[[#This Row],[GroupByKey]]),(OutputTable[GroupByKey]=OutputTable[[#This Row],[GroupByKey]])*OutputTable[RecordedValue]))</f>
        <v>0.58256422876290004</v>
      </c>
      <c r="P5" cm="1">
        <f t="array" ref="P5">MAX(IF((OutputTable[GroupByKey]=OutputTable[[#This Row],[GroupByKey]]),(OutputTable[GroupByKey]=OutputTable[[#This Row],[GroupByKey]])*OutputTable[RecordedValue]))</f>
        <v>0.68643238055161704</v>
      </c>
    </row>
    <row r="6" spans="1:16" x14ac:dyDescent="0.2">
      <c r="A6" t="s">
        <v>67</v>
      </c>
      <c r="B6" t="s">
        <v>70</v>
      </c>
      <c r="C6">
        <v>1</v>
      </c>
      <c r="D6" t="s">
        <v>110</v>
      </c>
      <c r="E6" t="s">
        <v>111</v>
      </c>
      <c r="F6" t="s">
        <v>76</v>
      </c>
      <c r="G6">
        <v>856</v>
      </c>
      <c r="H6">
        <v>0</v>
      </c>
      <c r="I6" t="str">
        <f>OutputTable[[#This Row],[ProjectName]]&amp;OutputTable[[#This Row],[Name]]&amp;OutputTable[[#This Row],[Type]]&amp;OutputTable[[#This Row],[Source]]</f>
        <v>Unnamed ProjectCustomer.NumberInNumber InEntity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855.93333333333328</v>
      </c>
      <c r="L6" cm="1">
        <f t="array" ref="L6">IFERROR(_xlfn.STDEV.S(IF((OutputTable[GroupByKey]=OutputTable[[#This Row],[GroupByKey]]),(OutputTable[GroupByKey]=OutputTable[[#This Row],[GroupByKey]])*OutputTable[RecordedValue])),0)</f>
        <v>38.659373073509371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6" cm="1">
        <f t="array" ref="O6">MIN(IF((OutputTable[GroupByKey]=OutputTable[[#This Row],[GroupByKey]]),(OutputTable[GroupByKey]=OutputTable[[#This Row],[GroupByKey]])*OutputTable[RecordedValue]))</f>
        <v>792</v>
      </c>
      <c r="P6" cm="1">
        <f t="array" ref="P6">MAX(IF((OutputTable[GroupByKey]=OutputTable[[#This Row],[GroupByKey]]),(OutputTable[GroupByKey]=OutputTable[[#This Row],[GroupByKey]])*OutputTable[RecordedValue]))</f>
        <v>958</v>
      </c>
    </row>
    <row r="7" spans="1:16" x14ac:dyDescent="0.2">
      <c r="A7" t="s">
        <v>67</v>
      </c>
      <c r="B7" t="s">
        <v>70</v>
      </c>
      <c r="C7">
        <v>1</v>
      </c>
      <c r="D7" t="s">
        <v>112</v>
      </c>
      <c r="E7" t="s">
        <v>113</v>
      </c>
      <c r="F7" t="s">
        <v>76</v>
      </c>
      <c r="G7">
        <v>857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ProjectCustomer.NumberOutNumber OutEntity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855.3</v>
      </c>
      <c r="L7" cm="1">
        <f t="array" ref="L7">IFERROR(_xlfn.STDEV.S(IF((OutputTable[GroupByKey]=OutputTable[[#This Row],[GroupByKey]]),(OutputTable[GroupByKey]=OutputTable[[#This Row],[GroupByKey]])*OutputTable[RecordedValue])),0)</f>
        <v>38.322722169527033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7" cm="1">
        <f t="array" ref="O7">MIN(IF((OutputTable[GroupByKey]=OutputTable[[#This Row],[GroupByKey]]),(OutputTable[GroupByKey]=OutputTable[[#This Row],[GroupByKey]])*OutputTable[RecordedValue]))</f>
        <v>798</v>
      </c>
      <c r="P7" cm="1">
        <f t="array" ref="P7">MAX(IF((OutputTable[GroupByKey]=OutputTable[[#This Row],[GroupByKey]]),(OutputTable[GroupByKey]=OutputTable[[#This Row],[GroupByKey]])*OutputTable[RecordedValue]))</f>
        <v>954</v>
      </c>
    </row>
    <row r="8" spans="1:16" x14ac:dyDescent="0.2">
      <c r="A8" t="s">
        <v>67</v>
      </c>
      <c r="B8" t="s">
        <v>70</v>
      </c>
      <c r="C8">
        <v>1</v>
      </c>
      <c r="D8" t="s">
        <v>114</v>
      </c>
      <c r="E8" t="s">
        <v>105</v>
      </c>
      <c r="F8" t="s">
        <v>95</v>
      </c>
      <c r="G8">
        <v>355</v>
      </c>
      <c r="H8">
        <v>0</v>
      </c>
      <c r="I8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344.6</v>
      </c>
      <c r="L8" cm="1">
        <f t="array" ref="L8">IFERROR(_xlfn.STDEV.S(IF((OutputTable[GroupByKey]=OutputTable[[#This Row],[GroupByKey]]),(OutputTable[GroupByKey]=OutputTable[[#This Row],[GroupByKey]])*OutputTable[RecordedValue])),0)</f>
        <v>21.890952311479008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8" cm="1">
        <f t="array" ref="O8">MIN(IF((OutputTable[GroupByKey]=OutputTable[[#This Row],[GroupByKey]]),(OutputTable[GroupByKey]=OutputTable[[#This Row],[GroupByKey]])*OutputTable[RecordedValue]))</f>
        <v>311</v>
      </c>
      <c r="P8" cm="1">
        <f t="array" ref="P8">MAX(IF((OutputTable[GroupByKey]=OutputTable[[#This Row],[GroupByKey]]),(OutputTable[GroupByKey]=OutputTable[[#This Row],[GroupByKey]])*OutputTable[RecordedValue]))</f>
        <v>396</v>
      </c>
    </row>
    <row r="9" spans="1:16" x14ac:dyDescent="0.2">
      <c r="A9" t="s">
        <v>67</v>
      </c>
      <c r="B9" t="s">
        <v>70</v>
      </c>
      <c r="C9">
        <v>1</v>
      </c>
      <c r="D9" t="s">
        <v>115</v>
      </c>
      <c r="E9" t="s">
        <v>107</v>
      </c>
      <c r="F9" t="s">
        <v>95</v>
      </c>
      <c r="G9">
        <v>1.9462719298245601E-3</v>
      </c>
      <c r="H9">
        <v>0</v>
      </c>
      <c r="I9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1.889307012236451E-3</v>
      </c>
      <c r="L9" cm="1">
        <f t="array" ref="L9">IFERROR(_xlfn.STDEV.S(IF((OutputTable[GroupByKey]=OutputTable[[#This Row],[GroupByKey]]),(OutputTable[GroupByKey]=OutputTable[[#This Row],[GroupByKey]])*OutputTable[RecordedValue])),0)</f>
        <v>1.2015303758165521E-4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9" cm="1">
        <f t="array" ref="O9">MIN(IF((OutputTable[GroupByKey]=OutputTable[[#This Row],[GroupByKey]]),(OutputTable[GroupByKey]=OutputTable[[#This Row],[GroupByKey]])*OutputTable[RecordedValue]))</f>
        <v>1.70504385964912E-3</v>
      </c>
      <c r="P9" cm="1">
        <f t="array" ref="P9">MAX(IF((OutputTable[GroupByKey]=OutputTable[[#This Row],[GroupByKey]]),(OutputTable[GroupByKey]=OutputTable[[#This Row],[GroupByKey]])*OutputTable[RecordedValue]))</f>
        <v>2.17031677925951E-3</v>
      </c>
    </row>
    <row r="10" spans="1:16" x14ac:dyDescent="0.2">
      <c r="A10" t="s">
        <v>67</v>
      </c>
      <c r="B10" t="s">
        <v>70</v>
      </c>
      <c r="C10">
        <v>1</v>
      </c>
      <c r="D10" t="s">
        <v>116</v>
      </c>
      <c r="E10" t="s">
        <v>105</v>
      </c>
      <c r="F10" t="s">
        <v>95</v>
      </c>
      <c r="G10">
        <v>215</v>
      </c>
      <c r="H10">
        <v>0</v>
      </c>
      <c r="I10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225.93333333333334</v>
      </c>
      <c r="L10" cm="1">
        <f t="array" ref="L10">IFERROR(_xlfn.STDEV.S(IF((OutputTable[GroupByKey]=OutputTable[[#This Row],[GroupByKey]]),(OutputTable[GroupByKey]=OutputTable[[#This Row],[GroupByKey]])*OutputTable[RecordedValue])),0)</f>
        <v>12.403929670244338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10" cm="1">
        <f t="array" ref="O10">MIN(IF((OutputTable[GroupByKey]=OutputTable[[#This Row],[GroupByKey]]),(OutputTable[GroupByKey]=OutputTable[[#This Row],[GroupByKey]])*OutputTable[RecordedValue]))</f>
        <v>205</v>
      </c>
      <c r="P10" cm="1">
        <f t="array" ref="P10">MAX(IF((OutputTable[GroupByKey]=OutputTable[[#This Row],[GroupByKey]]),(OutputTable[GroupByKey]=OutputTable[[#This Row],[GroupByKey]])*OutputTable[RecordedValue]))</f>
        <v>253</v>
      </c>
    </row>
    <row r="11" spans="1:16" x14ac:dyDescent="0.2">
      <c r="A11" t="s">
        <v>67</v>
      </c>
      <c r="B11" t="s">
        <v>70</v>
      </c>
      <c r="C11">
        <v>1</v>
      </c>
      <c r="D11" t="s">
        <v>117</v>
      </c>
      <c r="E11" t="s">
        <v>107</v>
      </c>
      <c r="F11" t="s">
        <v>95</v>
      </c>
      <c r="G11">
        <v>4.7149122807017604E-3</v>
      </c>
      <c r="H11">
        <v>0</v>
      </c>
      <c r="I11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4.9565971649701106E-3</v>
      </c>
      <c r="L11" cm="1">
        <f t="array" ref="L11">IFERROR(_xlfn.STDEV.S(IF((OutputTable[GroupByKey]=OutputTable[[#This Row],[GroupByKey]]),(OutputTable[GroupByKey]=OutputTable[[#This Row],[GroupByKey]])*OutputTable[RecordedValue])),0)</f>
        <v>2.7167433725199517E-4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11" cm="1">
        <f t="array" ref="O11">MIN(IF((OutputTable[GroupByKey]=OutputTable[[#This Row],[GroupByKey]]),(OutputTable[GroupByKey]=OutputTable[[#This Row],[GroupByKey]])*OutputTable[RecordedValue]))</f>
        <v>4.4956140350877203E-3</v>
      </c>
      <c r="P11" cm="1">
        <f t="array" ref="P11">MAX(IF((OutputTable[GroupByKey]=OutputTable[[#This Row],[GroupByKey]]),(OutputTable[GroupByKey]=OutputTable[[#This Row],[GroupByKey]])*OutputTable[RecordedValue]))</f>
        <v>5.5482456140350904E-3</v>
      </c>
    </row>
    <row r="12" spans="1:16" x14ac:dyDescent="0.2">
      <c r="A12" t="s">
        <v>67</v>
      </c>
      <c r="B12" t="s">
        <v>70</v>
      </c>
      <c r="C12">
        <v>1</v>
      </c>
      <c r="D12" t="s">
        <v>118</v>
      </c>
      <c r="E12" t="s">
        <v>113</v>
      </c>
      <c r="F12" t="s">
        <v>119</v>
      </c>
      <c r="G12">
        <v>285</v>
      </c>
      <c r="H12">
        <v>0</v>
      </c>
      <c r="I12" t="str">
        <f>OutputTable[[#This Row],[ProjectName]]&amp;OutputTable[[#This Row],[Name]]&amp;OutputTable[[#This Row],[Type]]&amp;OutputTable[[#This Row],[Source]]</f>
        <v>Unnamed ProjectSystem.NumberOutNumber OutSystem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285.3</v>
      </c>
      <c r="L12" cm="1">
        <f t="array" ref="L12">IFERROR(_xlfn.STDEV.S(IF((OutputTable[GroupByKey]=OutputTable[[#This Row],[GroupByKey]]),(OutputTable[GroupByKey]=OutputTable[[#This Row],[GroupByKey]])*OutputTable[RecordedValue])),0)</f>
        <v>12.739160368585981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12" cm="1">
        <f t="array" ref="O12">MIN(IF((OutputTable[GroupByKey]=OutputTable[[#This Row],[GroupByKey]]),(OutputTable[GroupByKey]=OutputTable[[#This Row],[GroupByKey]])*OutputTable[RecordedValue]))</f>
        <v>266</v>
      </c>
      <c r="P12" cm="1">
        <f t="array" ref="P12">MAX(IF((OutputTable[GroupByKey]=OutputTable[[#This Row],[GroupByKey]]),(OutputTable[GroupByKey]=OutputTable[[#This Row],[GroupByKey]])*OutputTable[RecordedValue]))</f>
        <v>318</v>
      </c>
    </row>
    <row r="13" spans="1:16" x14ac:dyDescent="0.2">
      <c r="A13" t="s">
        <v>67</v>
      </c>
      <c r="B13" t="s">
        <v>70</v>
      </c>
      <c r="C13">
        <v>1</v>
      </c>
      <c r="D13" t="s">
        <v>120</v>
      </c>
      <c r="E13" t="s">
        <v>105</v>
      </c>
      <c r="F13" t="s">
        <v>95</v>
      </c>
      <c r="G13">
        <v>143</v>
      </c>
      <c r="H13">
        <v>0</v>
      </c>
      <c r="I13" t="str">
        <f>OutputTable[[#This Row],[ProjectName]]&amp;OutputTable[[#This Row],[Name]]&amp;OutputTable[[#This Row],[Type]]&amp;OutputTable[[#This Row],[Source]]</f>
        <v>Unnamed ProjectWaiter.NumberSeizedTotal Number SeizedResource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142.66666666666666</v>
      </c>
      <c r="L13" cm="1">
        <f t="array" ref="L13">IFERROR(_xlfn.STDEV.S(IF((OutputTable[GroupByKey]=OutputTable[[#This Row],[GroupByKey]]),(OutputTable[GroupByKey]=OutputTable[[#This Row],[GroupByKey]])*OutputTable[RecordedValue])),0)</f>
        <v>6.4505190025531167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13" cm="1">
        <f t="array" ref="O13">MIN(IF((OutputTable[GroupByKey]=OutputTable[[#This Row],[GroupByKey]]),(OutputTable[GroupByKey]=OutputTable[[#This Row],[GroupByKey]])*OutputTable[RecordedValue]))</f>
        <v>132</v>
      </c>
      <c r="P13" cm="1">
        <f t="array" ref="P13">MAX(IF((OutputTable[GroupByKey]=OutputTable[[#This Row],[GroupByKey]]),(OutputTable[GroupByKey]=OutputTable[[#This Row],[GroupByKey]])*OutputTable[RecordedValue]))</f>
        <v>160</v>
      </c>
    </row>
    <row r="14" spans="1:16" x14ac:dyDescent="0.2">
      <c r="A14" t="s">
        <v>67</v>
      </c>
      <c r="B14" t="s">
        <v>70</v>
      </c>
      <c r="C14">
        <v>1</v>
      </c>
      <c r="D14" t="s">
        <v>121</v>
      </c>
      <c r="E14" t="s">
        <v>107</v>
      </c>
      <c r="F14" t="s">
        <v>95</v>
      </c>
      <c r="G14">
        <v>8.3000031811691299E-2</v>
      </c>
      <c r="H14">
        <v>0</v>
      </c>
      <c r="I14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8.3509459606410805E-2</v>
      </c>
      <c r="L14" cm="1">
        <f t="array" ref="L14">IFERROR(_xlfn.STDEV.S(IF((OutputTable[GroupByKey]=OutputTable[[#This Row],[GroupByKey]]),(OutputTable[GroupByKey]=OutputTable[[#This Row],[GroupByKey]])*OutputTable[RecordedValue])),0)</f>
        <v>3.5452891325333867E-3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14" cm="1">
        <f t="array" ref="O14">MIN(IF((OutputTable[GroupByKey]=OutputTable[[#This Row],[GroupByKey]]),(OutputTable[GroupByKey]=OutputTable[[#This Row],[GroupByKey]])*OutputTable[RecordedValue]))</f>
        <v>7.7176470357847096E-2</v>
      </c>
      <c r="P14" cm="1">
        <f t="array" ref="P14">MAX(IF((OutputTable[GroupByKey]=OutputTable[[#This Row],[GroupByKey]]),(OutputTable[GroupByKey]=OutputTable[[#This Row],[GroupByKey]])*OutputTable[RecordedValue]))</f>
        <v>9.2534326714405798E-2</v>
      </c>
    </row>
    <row r="15" spans="1:16" x14ac:dyDescent="0.2">
      <c r="A15" t="s">
        <v>67</v>
      </c>
      <c r="B15" t="s">
        <v>70</v>
      </c>
      <c r="C15">
        <v>2</v>
      </c>
      <c r="D15" t="s">
        <v>104</v>
      </c>
      <c r="E15" t="s">
        <v>105</v>
      </c>
      <c r="F15" t="s">
        <v>95</v>
      </c>
      <c r="G15">
        <v>292</v>
      </c>
      <c r="H15">
        <v>0</v>
      </c>
      <c r="I15" t="str">
        <f>OutputTable[[#This Row],[ProjectName]]&amp;OutputTable[[#This Row],[Name]]&amp;OutputTable[[#This Row],[Type]]&amp;OutputTable[[#This Row],[Source]]</f>
        <v>Unnamed ProjectCleaner.NumberSeizedTotal Number SeizedResource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285.39999999999998</v>
      </c>
      <c r="L15" cm="1">
        <f t="array" ref="L15">IFERROR(_xlfn.STDEV.S(IF((OutputTable[GroupByKey]=OutputTable[[#This Row],[GroupByKey]]),(OutputTable[GroupByKey]=OutputTable[[#This Row],[GroupByKey]])*OutputTable[RecordedValue])),0)</f>
        <v>12.88302812979555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15" cm="1">
        <f t="array" ref="O15">MIN(IF((OutputTable[GroupByKey]=OutputTable[[#This Row],[GroupByKey]]),(OutputTable[GroupByKey]=OutputTable[[#This Row],[GroupByKey]])*OutputTable[RecordedValue]))</f>
        <v>266</v>
      </c>
      <c r="P15" cm="1">
        <f t="array" ref="P15">MAX(IF((OutputTable[GroupByKey]=OutputTable[[#This Row],[GroupByKey]]),(OutputTable[GroupByKey]=OutputTable[[#This Row],[GroupByKey]])*OutputTable[RecordedValue]))</f>
        <v>318</v>
      </c>
    </row>
    <row r="16" spans="1:16" x14ac:dyDescent="0.2">
      <c r="A16" t="s">
        <v>67</v>
      </c>
      <c r="B16" t="s">
        <v>70</v>
      </c>
      <c r="C16">
        <v>2</v>
      </c>
      <c r="D16" t="s">
        <v>106</v>
      </c>
      <c r="E16" t="s">
        <v>107</v>
      </c>
      <c r="F16" t="s">
        <v>95</v>
      </c>
      <c r="G16">
        <v>0.25535692401649401</v>
      </c>
      <c r="H16">
        <v>0</v>
      </c>
      <c r="I16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0.25031804088290305</v>
      </c>
      <c r="L16" cm="1">
        <f t="array" ref="L16">IFERROR(_xlfn.STDEV.S(IF((OutputTable[GroupByKey]=OutputTable[[#This Row],[GroupByKey]]),(OutputTable[GroupByKey]=OutputTable[[#This Row],[GroupByKey]])*OutputTable[RecordedValue])),0)</f>
        <v>1.1255778929137084E-2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16" cm="1">
        <f t="array" ref="O16">MIN(IF((OutputTable[GroupByKey]=OutputTable[[#This Row],[GroupByKey]]),(OutputTable[GroupByKey]=OutputTable[[#This Row],[GroupByKey]])*OutputTable[RecordedValue]))</f>
        <v>0.233333333333333</v>
      </c>
      <c r="P16" cm="1">
        <f t="array" ref="P16">MAX(IF((OutputTable[GroupByKey]=OutputTable[[#This Row],[GroupByKey]]),(OutputTable[GroupByKey]=OutputTable[[#This Row],[GroupByKey]])*OutputTable[RecordedValue]))</f>
        <v>0.27905535859326402</v>
      </c>
    </row>
    <row r="17" spans="1:16" x14ac:dyDescent="0.2">
      <c r="A17" t="s">
        <v>67</v>
      </c>
      <c r="B17" t="s">
        <v>70</v>
      </c>
      <c r="C17">
        <v>2</v>
      </c>
      <c r="D17" t="s">
        <v>108</v>
      </c>
      <c r="E17" t="s">
        <v>105</v>
      </c>
      <c r="F17" t="s">
        <v>95</v>
      </c>
      <c r="G17">
        <v>292</v>
      </c>
      <c r="H17">
        <v>0</v>
      </c>
      <c r="I17" t="str">
        <f>OutputTable[[#This Row],[ProjectName]]&amp;OutputTable[[#This Row],[Name]]&amp;OutputTable[[#This Row],[Type]]&amp;OutputTable[[#This Row],[Source]]</f>
        <v>Unnamed ProjectCooker.NumberSeizedTotal Number SeizedResource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285.66666666666669</v>
      </c>
      <c r="L17" cm="1">
        <f t="array" ref="L17">IFERROR(_xlfn.STDEV.S(IF((OutputTable[GroupByKey]=OutputTable[[#This Row],[GroupByKey]]),(OutputTable[GroupByKey]=OutputTable[[#This Row],[GroupByKey]])*OutputTable[RecordedValue])),0)</f>
        <v>12.949060233064802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17" cm="1">
        <f t="array" ref="O17">MIN(IF((OutputTable[GroupByKey]=OutputTable[[#This Row],[GroupByKey]]),(OutputTable[GroupByKey]=OutputTable[[#This Row],[GroupByKey]])*OutputTable[RecordedValue]))</f>
        <v>264</v>
      </c>
      <c r="P17" cm="1">
        <f t="array" ref="P17">MAX(IF((OutputTable[GroupByKey]=OutputTable[[#This Row],[GroupByKey]]),(OutputTable[GroupByKey]=OutputTable[[#This Row],[GroupByKey]])*OutputTable[RecordedValue]))</f>
        <v>320</v>
      </c>
    </row>
    <row r="18" spans="1:16" x14ac:dyDescent="0.2">
      <c r="A18" t="s">
        <v>67</v>
      </c>
      <c r="B18" t="s">
        <v>70</v>
      </c>
      <c r="C18">
        <v>2</v>
      </c>
      <c r="D18" t="s">
        <v>109</v>
      </c>
      <c r="E18" t="s">
        <v>107</v>
      </c>
      <c r="F18" t="s">
        <v>95</v>
      </c>
      <c r="G18">
        <v>0.63596717797976898</v>
      </c>
      <c r="H18">
        <v>0</v>
      </c>
      <c r="I18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0.62721981794251769</v>
      </c>
      <c r="L18" cm="1">
        <f t="array" ref="L18">IFERROR(_xlfn.STDEV.S(IF((OutputTable[GroupByKey]=OutputTable[[#This Row],[GroupByKey]]),(OutputTable[GroupByKey]=OutputTable[[#This Row],[GroupByKey]])*OutputTable[RecordedValue])),0)</f>
        <v>2.6376107220918699E-2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18" cm="1">
        <f t="array" ref="O18">MIN(IF((OutputTable[GroupByKey]=OutputTable[[#This Row],[GroupByKey]]),(OutputTable[GroupByKey]=OutputTable[[#This Row],[GroupByKey]])*OutputTable[RecordedValue]))</f>
        <v>0.58256422876290004</v>
      </c>
      <c r="P18" cm="1">
        <f t="array" ref="P18">MAX(IF((OutputTable[GroupByKey]=OutputTable[[#This Row],[GroupByKey]]),(OutputTable[GroupByKey]=OutputTable[[#This Row],[GroupByKey]])*OutputTable[RecordedValue]))</f>
        <v>0.68643238055161704</v>
      </c>
    </row>
    <row r="19" spans="1:16" x14ac:dyDescent="0.2">
      <c r="A19" t="s">
        <v>67</v>
      </c>
      <c r="B19" t="s">
        <v>70</v>
      </c>
      <c r="C19">
        <v>2</v>
      </c>
      <c r="D19" t="s">
        <v>110</v>
      </c>
      <c r="E19" t="s">
        <v>111</v>
      </c>
      <c r="F19" t="s">
        <v>76</v>
      </c>
      <c r="G19">
        <v>874</v>
      </c>
      <c r="H19">
        <v>0</v>
      </c>
      <c r="I19" t="str">
        <f>OutputTable[[#This Row],[ProjectName]]&amp;OutputTable[[#This Row],[Name]]&amp;OutputTable[[#This Row],[Type]]&amp;OutputTable[[#This Row],[Source]]</f>
        <v>Unnamed ProjectCustomer.NumberInNumber InEntity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855.93333333333328</v>
      </c>
      <c r="L19" cm="1">
        <f t="array" ref="L19">IFERROR(_xlfn.STDEV.S(IF((OutputTable[GroupByKey]=OutputTable[[#This Row],[GroupByKey]]),(OutputTable[GroupByKey]=OutputTable[[#This Row],[GroupByKey]])*OutputTable[RecordedValue])),0)</f>
        <v>38.659373073509371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19" cm="1">
        <f t="array" ref="O19">MIN(IF((OutputTable[GroupByKey]=OutputTable[[#This Row],[GroupByKey]]),(OutputTable[GroupByKey]=OutputTable[[#This Row],[GroupByKey]])*OutputTable[RecordedValue]))</f>
        <v>792</v>
      </c>
      <c r="P19" cm="1">
        <f t="array" ref="P19">MAX(IF((OutputTable[GroupByKey]=OutputTable[[#This Row],[GroupByKey]]),(OutputTable[GroupByKey]=OutputTable[[#This Row],[GroupByKey]])*OutputTable[RecordedValue]))</f>
        <v>958</v>
      </c>
    </row>
    <row r="20" spans="1:16" x14ac:dyDescent="0.2">
      <c r="A20" t="s">
        <v>67</v>
      </c>
      <c r="B20" t="s">
        <v>70</v>
      </c>
      <c r="C20">
        <v>2</v>
      </c>
      <c r="D20" t="s">
        <v>112</v>
      </c>
      <c r="E20" t="s">
        <v>113</v>
      </c>
      <c r="F20" t="s">
        <v>76</v>
      </c>
      <c r="G20">
        <v>871</v>
      </c>
      <c r="H20">
        <v>0</v>
      </c>
      <c r="I20" t="str">
        <f>OutputTable[[#This Row],[ProjectName]]&amp;OutputTable[[#This Row],[Name]]&amp;OutputTable[[#This Row],[Type]]&amp;OutputTable[[#This Row],[Source]]</f>
        <v>Unnamed ProjectCustomer.NumberOutNumber OutEntity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855.3</v>
      </c>
      <c r="L20" cm="1">
        <f t="array" ref="L20">IFERROR(_xlfn.STDEV.S(IF((OutputTable[GroupByKey]=OutputTable[[#This Row],[GroupByKey]]),(OutputTable[GroupByKey]=OutputTable[[#This Row],[GroupByKey]])*OutputTable[RecordedValue])),0)</f>
        <v>38.322722169527033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20" cm="1">
        <f t="array" ref="O20">MIN(IF((OutputTable[GroupByKey]=OutputTable[[#This Row],[GroupByKey]]),(OutputTable[GroupByKey]=OutputTable[[#This Row],[GroupByKey]])*OutputTable[RecordedValue]))</f>
        <v>798</v>
      </c>
      <c r="P20" cm="1">
        <f t="array" ref="P20">MAX(IF((OutputTable[GroupByKey]=OutputTable[[#This Row],[GroupByKey]]),(OutputTable[GroupByKey]=OutputTable[[#This Row],[GroupByKey]])*OutputTable[RecordedValue]))</f>
        <v>954</v>
      </c>
    </row>
    <row r="21" spans="1:16" x14ac:dyDescent="0.2">
      <c r="A21" t="s">
        <v>67</v>
      </c>
      <c r="B21" t="s">
        <v>70</v>
      </c>
      <c r="C21">
        <v>2</v>
      </c>
      <c r="D21" t="s">
        <v>114</v>
      </c>
      <c r="E21" t="s">
        <v>105</v>
      </c>
      <c r="F21" t="s">
        <v>95</v>
      </c>
      <c r="G21">
        <v>337</v>
      </c>
      <c r="H21">
        <v>0</v>
      </c>
      <c r="I21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344.6</v>
      </c>
      <c r="L21" cm="1">
        <f t="array" ref="L21">IFERROR(_xlfn.STDEV.S(IF((OutputTable[GroupByKey]=OutputTable[[#This Row],[GroupByKey]]),(OutputTable[GroupByKey]=OutputTable[[#This Row],[GroupByKey]])*OutputTable[RecordedValue])),0)</f>
        <v>21.890952311479008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21" cm="1">
        <f t="array" ref="O21">MIN(IF((OutputTable[GroupByKey]=OutputTable[[#This Row],[GroupByKey]]),(OutputTable[GroupByKey]=OutputTable[[#This Row],[GroupByKey]])*OutputTable[RecordedValue]))</f>
        <v>311</v>
      </c>
      <c r="P21" cm="1">
        <f t="array" ref="P21">MAX(IF((OutputTable[GroupByKey]=OutputTable[[#This Row],[GroupByKey]]),(OutputTable[GroupByKey]=OutputTable[[#This Row],[GroupByKey]])*OutputTable[RecordedValue]))</f>
        <v>396</v>
      </c>
    </row>
    <row r="22" spans="1:16" x14ac:dyDescent="0.2">
      <c r="A22" t="s">
        <v>67</v>
      </c>
      <c r="B22" t="s">
        <v>70</v>
      </c>
      <c r="C22">
        <v>2</v>
      </c>
      <c r="D22" t="s">
        <v>115</v>
      </c>
      <c r="E22" t="s">
        <v>107</v>
      </c>
      <c r="F22" t="s">
        <v>95</v>
      </c>
      <c r="G22">
        <v>1.85028430171782E-3</v>
      </c>
      <c r="H22">
        <v>0</v>
      </c>
      <c r="I22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1.889307012236451E-3</v>
      </c>
      <c r="L22" cm="1">
        <f t="array" ref="L22">IFERROR(_xlfn.STDEV.S(IF((OutputTable[GroupByKey]=OutputTable[[#This Row],[GroupByKey]]),(OutputTable[GroupByKey]=OutputTable[[#This Row],[GroupByKey]])*OutputTable[RecordedValue])),0)</f>
        <v>1.2015303758165521E-4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22" cm="1">
        <f t="array" ref="O22">MIN(IF((OutputTable[GroupByKey]=OutputTable[[#This Row],[GroupByKey]]),(OutputTable[GroupByKey]=OutputTable[[#This Row],[GroupByKey]])*OutputTable[RecordedValue]))</f>
        <v>1.70504385964912E-3</v>
      </c>
      <c r="P22" cm="1">
        <f t="array" ref="P22">MAX(IF((OutputTable[GroupByKey]=OutputTable[[#This Row],[GroupByKey]]),(OutputTable[GroupByKey]=OutputTable[[#This Row],[GroupByKey]])*OutputTable[RecordedValue]))</f>
        <v>2.17031677925951E-3</v>
      </c>
    </row>
    <row r="23" spans="1:16" x14ac:dyDescent="0.2">
      <c r="A23" t="s">
        <v>67</v>
      </c>
      <c r="B23" t="s">
        <v>70</v>
      </c>
      <c r="C23">
        <v>2</v>
      </c>
      <c r="D23" t="s">
        <v>116</v>
      </c>
      <c r="E23" t="s">
        <v>105</v>
      </c>
      <c r="F23" t="s">
        <v>95</v>
      </c>
      <c r="G23">
        <v>245</v>
      </c>
      <c r="H23">
        <v>0</v>
      </c>
      <c r="I23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225.93333333333334</v>
      </c>
      <c r="L23" cm="1">
        <f t="array" ref="L23">IFERROR(_xlfn.STDEV.S(IF((OutputTable[GroupByKey]=OutputTable[[#This Row],[GroupByKey]]),(OutputTable[GroupByKey]=OutputTable[[#This Row],[GroupByKey]])*OutputTable[RecordedValue])),0)</f>
        <v>12.403929670244338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23" cm="1">
        <f t="array" ref="O23">MIN(IF((OutputTable[GroupByKey]=OutputTable[[#This Row],[GroupByKey]]),(OutputTable[GroupByKey]=OutputTable[[#This Row],[GroupByKey]])*OutputTable[RecordedValue]))</f>
        <v>205</v>
      </c>
      <c r="P23" cm="1">
        <f t="array" ref="P23">MAX(IF((OutputTable[GroupByKey]=OutputTable[[#This Row],[GroupByKey]]),(OutputTable[GroupByKey]=OutputTable[[#This Row],[GroupByKey]])*OutputTable[RecordedValue]))</f>
        <v>253</v>
      </c>
    </row>
    <row r="24" spans="1:16" x14ac:dyDescent="0.2">
      <c r="A24" t="s">
        <v>67</v>
      </c>
      <c r="B24" t="s">
        <v>70</v>
      </c>
      <c r="C24">
        <v>2</v>
      </c>
      <c r="D24" t="s">
        <v>117</v>
      </c>
      <c r="E24" t="s">
        <v>107</v>
      </c>
      <c r="F24" t="s">
        <v>95</v>
      </c>
      <c r="G24">
        <v>5.3728070175438599E-3</v>
      </c>
      <c r="H24">
        <v>0</v>
      </c>
      <c r="I24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4.9565971649701106E-3</v>
      </c>
      <c r="L24" cm="1">
        <f t="array" ref="L24">IFERROR(_xlfn.STDEV.S(IF((OutputTable[GroupByKey]=OutputTable[[#This Row],[GroupByKey]]),(OutputTable[GroupByKey]=OutputTable[[#This Row],[GroupByKey]])*OutputTable[RecordedValue])),0)</f>
        <v>2.7167433725199517E-4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24" cm="1">
        <f t="array" ref="O24">MIN(IF((OutputTable[GroupByKey]=OutputTable[[#This Row],[GroupByKey]]),(OutputTable[GroupByKey]=OutputTable[[#This Row],[GroupByKey]])*OutputTable[RecordedValue]))</f>
        <v>4.4956140350877203E-3</v>
      </c>
      <c r="P24" cm="1">
        <f t="array" ref="P24">MAX(IF((OutputTable[GroupByKey]=OutputTable[[#This Row],[GroupByKey]]),(OutputTable[GroupByKey]=OutputTable[[#This Row],[GroupByKey]])*OutputTable[RecordedValue]))</f>
        <v>5.5482456140350904E-3</v>
      </c>
    </row>
    <row r="25" spans="1:16" x14ac:dyDescent="0.2">
      <c r="A25" t="s">
        <v>67</v>
      </c>
      <c r="B25" t="s">
        <v>70</v>
      </c>
      <c r="C25">
        <v>2</v>
      </c>
      <c r="D25" t="s">
        <v>118</v>
      </c>
      <c r="E25" t="s">
        <v>113</v>
      </c>
      <c r="F25" t="s">
        <v>119</v>
      </c>
      <c r="G25">
        <v>291</v>
      </c>
      <c r="H25">
        <v>0</v>
      </c>
      <c r="I25" t="str">
        <f>OutputTable[[#This Row],[ProjectName]]&amp;OutputTable[[#This Row],[Name]]&amp;OutputTable[[#This Row],[Type]]&amp;OutputTable[[#This Row],[Source]]</f>
        <v>Unnamed ProjectSystem.NumberOutNumber OutSystem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285.3</v>
      </c>
      <c r="L25" cm="1">
        <f t="array" ref="L25">IFERROR(_xlfn.STDEV.S(IF((OutputTable[GroupByKey]=OutputTable[[#This Row],[GroupByKey]]),(OutputTable[GroupByKey]=OutputTable[[#This Row],[GroupByKey]])*OutputTable[RecordedValue])),0)</f>
        <v>12.739160368585981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25" cm="1">
        <f t="array" ref="O25">MIN(IF((OutputTable[GroupByKey]=OutputTable[[#This Row],[GroupByKey]]),(OutputTable[GroupByKey]=OutputTable[[#This Row],[GroupByKey]])*OutputTable[RecordedValue]))</f>
        <v>266</v>
      </c>
      <c r="P25" cm="1">
        <f t="array" ref="P25">MAX(IF((OutputTable[GroupByKey]=OutputTable[[#This Row],[GroupByKey]]),(OutputTable[GroupByKey]=OutputTable[[#This Row],[GroupByKey]])*OutputTable[RecordedValue]))</f>
        <v>318</v>
      </c>
    </row>
    <row r="26" spans="1:16" x14ac:dyDescent="0.2">
      <c r="A26" t="s">
        <v>67</v>
      </c>
      <c r="B26" t="s">
        <v>70</v>
      </c>
      <c r="C26">
        <v>2</v>
      </c>
      <c r="D26" t="s">
        <v>120</v>
      </c>
      <c r="E26" t="s">
        <v>105</v>
      </c>
      <c r="F26" t="s">
        <v>95</v>
      </c>
      <c r="G26">
        <v>146</v>
      </c>
      <c r="H26">
        <v>0</v>
      </c>
      <c r="I26" t="str">
        <f>OutputTable[[#This Row],[ProjectName]]&amp;OutputTable[[#This Row],[Name]]&amp;OutputTable[[#This Row],[Type]]&amp;OutputTable[[#This Row],[Source]]</f>
        <v>Unnamed ProjectWaiter.NumberSeizedTotal Number SeizedResource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142.66666666666666</v>
      </c>
      <c r="L26" cm="1">
        <f t="array" ref="L26">IFERROR(_xlfn.STDEV.S(IF((OutputTable[GroupByKey]=OutputTable[[#This Row],[GroupByKey]]),(OutputTable[GroupByKey]=OutputTable[[#This Row],[GroupByKey]])*OutputTable[RecordedValue])),0)</f>
        <v>6.4505190025531167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26" cm="1">
        <f t="array" ref="O26">MIN(IF((OutputTable[GroupByKey]=OutputTable[[#This Row],[GroupByKey]]),(OutputTable[GroupByKey]=OutputTable[[#This Row],[GroupByKey]])*OutputTable[RecordedValue]))</f>
        <v>132</v>
      </c>
      <c r="P26" cm="1">
        <f t="array" ref="P26">MAX(IF((OutputTable[GroupByKey]=OutputTable[[#This Row],[GroupByKey]]),(OutputTable[GroupByKey]=OutputTable[[#This Row],[GroupByKey]])*OutputTable[RecordedValue]))</f>
        <v>160</v>
      </c>
    </row>
    <row r="27" spans="1:16" x14ac:dyDescent="0.2">
      <c r="A27" t="s">
        <v>67</v>
      </c>
      <c r="B27" t="s">
        <v>70</v>
      </c>
      <c r="C27">
        <v>2</v>
      </c>
      <c r="D27" t="s">
        <v>121</v>
      </c>
      <c r="E27" t="s">
        <v>107</v>
      </c>
      <c r="F27" t="s">
        <v>95</v>
      </c>
      <c r="G27">
        <v>8.61721786576886E-2</v>
      </c>
      <c r="H27">
        <v>0</v>
      </c>
      <c r="I27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8.3509459606410805E-2</v>
      </c>
      <c r="L27" cm="1">
        <f t="array" ref="L27">IFERROR(_xlfn.STDEV.S(IF((OutputTable[GroupByKey]=OutputTable[[#This Row],[GroupByKey]]),(OutputTable[GroupByKey]=OutputTable[[#This Row],[GroupByKey]])*OutputTable[RecordedValue])),0)</f>
        <v>3.5452891325333867E-3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27" cm="1">
        <f t="array" ref="O27">MIN(IF((OutputTable[GroupByKey]=OutputTable[[#This Row],[GroupByKey]]),(OutputTable[GroupByKey]=OutputTable[[#This Row],[GroupByKey]])*OutputTable[RecordedValue]))</f>
        <v>7.7176470357847096E-2</v>
      </c>
      <c r="P27" cm="1">
        <f t="array" ref="P27">MAX(IF((OutputTable[GroupByKey]=OutputTable[[#This Row],[GroupByKey]]),(OutputTable[GroupByKey]=OutputTable[[#This Row],[GroupByKey]])*OutputTable[RecordedValue]))</f>
        <v>9.2534326714405798E-2</v>
      </c>
    </row>
    <row r="28" spans="1:16" x14ac:dyDescent="0.2">
      <c r="A28" t="s">
        <v>67</v>
      </c>
      <c r="B28" t="s">
        <v>70</v>
      </c>
      <c r="C28">
        <v>3</v>
      </c>
      <c r="D28" t="s">
        <v>104</v>
      </c>
      <c r="E28" t="s">
        <v>105</v>
      </c>
      <c r="F28" t="s">
        <v>95</v>
      </c>
      <c r="G28">
        <v>280</v>
      </c>
      <c r="H28">
        <v>0</v>
      </c>
      <c r="I28" t="str">
        <f>OutputTable[[#This Row],[ProjectName]]&amp;OutputTable[[#This Row],[Name]]&amp;OutputTable[[#This Row],[Type]]&amp;OutputTable[[#This Row],[Source]]</f>
        <v>Unnamed ProjectCleaner.NumberSeizedTotal Number SeizedResource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285.39999999999998</v>
      </c>
      <c r="L28" cm="1">
        <f t="array" ref="L28">IFERROR(_xlfn.STDEV.S(IF((OutputTable[GroupByKey]=OutputTable[[#This Row],[GroupByKey]]),(OutputTable[GroupByKey]=OutputTable[[#This Row],[GroupByKey]])*OutputTable[RecordedValue])),0)</f>
        <v>12.88302812979555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28" cm="1">
        <f t="array" ref="O28">MIN(IF((OutputTable[GroupByKey]=OutputTable[[#This Row],[GroupByKey]]),(OutputTable[GroupByKey]=OutputTable[[#This Row],[GroupByKey]])*OutputTable[RecordedValue]))</f>
        <v>266</v>
      </c>
      <c r="P28" cm="1">
        <f t="array" ref="P28">MAX(IF((OutputTable[GroupByKey]=OutputTable[[#This Row],[GroupByKey]]),(OutputTable[GroupByKey]=OutputTable[[#This Row],[GroupByKey]])*OutputTable[RecordedValue]))</f>
        <v>318</v>
      </c>
    </row>
    <row r="29" spans="1:16" x14ac:dyDescent="0.2">
      <c r="A29" t="s">
        <v>67</v>
      </c>
      <c r="B29" t="s">
        <v>70</v>
      </c>
      <c r="C29">
        <v>3</v>
      </c>
      <c r="D29" t="s">
        <v>106</v>
      </c>
      <c r="E29" t="s">
        <v>107</v>
      </c>
      <c r="F29" t="s">
        <v>95</v>
      </c>
      <c r="G29">
        <v>0.24561403508771901</v>
      </c>
      <c r="H29">
        <v>0</v>
      </c>
      <c r="I29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0.25031804088290305</v>
      </c>
      <c r="L29" cm="1">
        <f t="array" ref="L29">IFERROR(_xlfn.STDEV.S(IF((OutputTable[GroupByKey]=OutputTable[[#This Row],[GroupByKey]]),(OutputTable[GroupByKey]=OutputTable[[#This Row],[GroupByKey]])*OutputTable[RecordedValue])),0)</f>
        <v>1.1255778929137084E-2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29" cm="1">
        <f t="array" ref="O29">MIN(IF((OutputTable[GroupByKey]=OutputTable[[#This Row],[GroupByKey]]),(OutputTable[GroupByKey]=OutputTable[[#This Row],[GroupByKey]])*OutputTable[RecordedValue]))</f>
        <v>0.233333333333333</v>
      </c>
      <c r="P29" cm="1">
        <f t="array" ref="P29">MAX(IF((OutputTable[GroupByKey]=OutputTable[[#This Row],[GroupByKey]]),(OutputTable[GroupByKey]=OutputTable[[#This Row],[GroupByKey]])*OutputTable[RecordedValue]))</f>
        <v>0.27905535859326402</v>
      </c>
    </row>
    <row r="30" spans="1:16" x14ac:dyDescent="0.2">
      <c r="A30" t="s">
        <v>67</v>
      </c>
      <c r="B30" t="s">
        <v>70</v>
      </c>
      <c r="C30">
        <v>3</v>
      </c>
      <c r="D30" t="s">
        <v>108</v>
      </c>
      <c r="E30" t="s">
        <v>105</v>
      </c>
      <c r="F30" t="s">
        <v>95</v>
      </c>
      <c r="G30">
        <v>282</v>
      </c>
      <c r="H30">
        <v>0</v>
      </c>
      <c r="I30" t="str">
        <f>OutputTable[[#This Row],[ProjectName]]&amp;OutputTable[[#This Row],[Name]]&amp;OutputTable[[#This Row],[Type]]&amp;OutputTable[[#This Row],[Source]]</f>
        <v>Unnamed ProjectCooker.NumberSeizedTotal Number SeizedResource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285.66666666666669</v>
      </c>
      <c r="L30" cm="1">
        <f t="array" ref="L30">IFERROR(_xlfn.STDEV.S(IF((OutputTable[GroupByKey]=OutputTable[[#This Row],[GroupByKey]]),(OutputTable[GroupByKey]=OutputTable[[#This Row],[GroupByKey]])*OutputTable[RecordedValue])),0)</f>
        <v>12.949060233064802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30" cm="1">
        <f t="array" ref="O30">MIN(IF((OutputTable[GroupByKey]=OutputTable[[#This Row],[GroupByKey]]),(OutputTable[GroupByKey]=OutputTable[[#This Row],[GroupByKey]])*OutputTable[RecordedValue]))</f>
        <v>264</v>
      </c>
      <c r="P30" cm="1">
        <f t="array" ref="P30">MAX(IF((OutputTable[GroupByKey]=OutputTable[[#This Row],[GroupByKey]]),(OutputTable[GroupByKey]=OutputTable[[#This Row],[GroupByKey]])*OutputTable[RecordedValue]))</f>
        <v>320</v>
      </c>
    </row>
    <row r="31" spans="1:16" x14ac:dyDescent="0.2">
      <c r="A31" t="s">
        <v>67</v>
      </c>
      <c r="B31" t="s">
        <v>70</v>
      </c>
      <c r="C31">
        <v>3</v>
      </c>
      <c r="D31" t="s">
        <v>109</v>
      </c>
      <c r="E31" t="s">
        <v>107</v>
      </c>
      <c r="F31" t="s">
        <v>95</v>
      </c>
      <c r="G31">
        <v>0.62199892977198901</v>
      </c>
      <c r="H31">
        <v>0</v>
      </c>
      <c r="I31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0.62721981794251769</v>
      </c>
      <c r="L31" cm="1">
        <f t="array" ref="L31">IFERROR(_xlfn.STDEV.S(IF((OutputTable[GroupByKey]=OutputTable[[#This Row],[GroupByKey]]),(OutputTable[GroupByKey]=OutputTable[[#This Row],[GroupByKey]])*OutputTable[RecordedValue])),0)</f>
        <v>2.6376107220918699E-2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31" cm="1">
        <f t="array" ref="O31">MIN(IF((OutputTable[GroupByKey]=OutputTable[[#This Row],[GroupByKey]]),(OutputTable[GroupByKey]=OutputTable[[#This Row],[GroupByKey]])*OutputTable[RecordedValue]))</f>
        <v>0.58256422876290004</v>
      </c>
      <c r="P31" cm="1">
        <f t="array" ref="P31">MAX(IF((OutputTable[GroupByKey]=OutputTable[[#This Row],[GroupByKey]]),(OutputTable[GroupByKey]=OutputTable[[#This Row],[GroupByKey]])*OutputTable[RecordedValue]))</f>
        <v>0.68643238055161704</v>
      </c>
    </row>
    <row r="32" spans="1:16" x14ac:dyDescent="0.2">
      <c r="A32" t="s">
        <v>67</v>
      </c>
      <c r="B32" t="s">
        <v>70</v>
      </c>
      <c r="C32">
        <v>3</v>
      </c>
      <c r="D32" t="s">
        <v>110</v>
      </c>
      <c r="E32" t="s">
        <v>111</v>
      </c>
      <c r="F32" t="s">
        <v>76</v>
      </c>
      <c r="G32">
        <v>846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855.93333333333328</v>
      </c>
      <c r="L32" cm="1">
        <f t="array" ref="L32">IFERROR(_xlfn.STDEV.S(IF((OutputTable[GroupByKey]=OutputTable[[#This Row],[GroupByKey]]),(OutputTable[GroupByKey]=OutputTable[[#This Row],[GroupByKey]])*OutputTable[RecordedValue])),0)</f>
        <v>38.659373073509371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32" cm="1">
        <f t="array" ref="O32">MIN(IF((OutputTable[GroupByKey]=OutputTable[[#This Row],[GroupByKey]]),(OutputTable[GroupByKey]=OutputTable[[#This Row],[GroupByKey]])*OutputTable[RecordedValue]))</f>
        <v>792</v>
      </c>
      <c r="P32" cm="1">
        <f t="array" ref="P32">MAX(IF((OutputTable[GroupByKey]=OutputTable[[#This Row],[GroupByKey]]),(OutputTable[GroupByKey]=OutputTable[[#This Row],[GroupByKey]])*OutputTable[RecordedValue]))</f>
        <v>958</v>
      </c>
    </row>
    <row r="33" spans="1:16" x14ac:dyDescent="0.2">
      <c r="A33" t="s">
        <v>67</v>
      </c>
      <c r="B33" t="s">
        <v>70</v>
      </c>
      <c r="C33">
        <v>3</v>
      </c>
      <c r="D33" t="s">
        <v>112</v>
      </c>
      <c r="E33" t="s">
        <v>113</v>
      </c>
      <c r="F33" t="s">
        <v>76</v>
      </c>
      <c r="G33">
        <v>840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855.3</v>
      </c>
      <c r="L33" cm="1">
        <f t="array" ref="L33">IFERROR(_xlfn.STDEV.S(IF((OutputTable[GroupByKey]=OutputTable[[#This Row],[GroupByKey]]),(OutputTable[GroupByKey]=OutputTable[[#This Row],[GroupByKey]])*OutputTable[RecordedValue])),0)</f>
        <v>38.322722169527033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33" cm="1">
        <f t="array" ref="O33">MIN(IF((OutputTable[GroupByKey]=OutputTable[[#This Row],[GroupByKey]]),(OutputTable[GroupByKey]=OutputTable[[#This Row],[GroupByKey]])*OutputTable[RecordedValue]))</f>
        <v>798</v>
      </c>
      <c r="P33" cm="1">
        <f t="array" ref="P33">MAX(IF((OutputTable[GroupByKey]=OutputTable[[#This Row],[GroupByKey]]),(OutputTable[GroupByKey]=OutputTable[[#This Row],[GroupByKey]])*OutputTable[RecordedValue]))</f>
        <v>954</v>
      </c>
    </row>
    <row r="34" spans="1:16" x14ac:dyDescent="0.2">
      <c r="A34" t="s">
        <v>67</v>
      </c>
      <c r="B34" t="s">
        <v>70</v>
      </c>
      <c r="C34">
        <v>3</v>
      </c>
      <c r="D34" t="s">
        <v>114</v>
      </c>
      <c r="E34" t="s">
        <v>105</v>
      </c>
      <c r="F34" t="s">
        <v>95</v>
      </c>
      <c r="G34">
        <v>353</v>
      </c>
      <c r="H34">
        <v>0</v>
      </c>
      <c r="I34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344.6</v>
      </c>
      <c r="L34" cm="1">
        <f t="array" ref="L34">IFERROR(_xlfn.STDEV.S(IF((OutputTable[GroupByKey]=OutputTable[[#This Row],[GroupByKey]]),(OutputTable[GroupByKey]=OutputTable[[#This Row],[GroupByKey]])*OutputTable[RecordedValue])),0)</f>
        <v>21.890952311479008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34" cm="1">
        <f t="array" ref="O34">MIN(IF((OutputTable[GroupByKey]=OutputTable[[#This Row],[GroupByKey]]),(OutputTable[GroupByKey]=OutputTable[[#This Row],[GroupByKey]])*OutputTable[RecordedValue]))</f>
        <v>311</v>
      </c>
      <c r="P34" cm="1">
        <f t="array" ref="P34">MAX(IF((OutputTable[GroupByKey]=OutputTable[[#This Row],[GroupByKey]]),(OutputTable[GroupByKey]=OutputTable[[#This Row],[GroupByKey]])*OutputTable[RecordedValue]))</f>
        <v>396</v>
      </c>
    </row>
    <row r="35" spans="1:16" x14ac:dyDescent="0.2">
      <c r="A35" t="s">
        <v>67</v>
      </c>
      <c r="B35" t="s">
        <v>70</v>
      </c>
      <c r="C35">
        <v>3</v>
      </c>
      <c r="D35" t="s">
        <v>115</v>
      </c>
      <c r="E35" t="s">
        <v>107</v>
      </c>
      <c r="F35" t="s">
        <v>95</v>
      </c>
      <c r="G35">
        <v>1.93275207382834E-3</v>
      </c>
      <c r="H35">
        <v>0</v>
      </c>
      <c r="I35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1.889307012236451E-3</v>
      </c>
      <c r="L35" cm="1">
        <f t="array" ref="L35">IFERROR(_xlfn.STDEV.S(IF((OutputTable[GroupByKey]=OutputTable[[#This Row],[GroupByKey]]),(OutputTable[GroupByKey]=OutputTable[[#This Row],[GroupByKey]])*OutputTable[RecordedValue])),0)</f>
        <v>1.2015303758165521E-4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35" cm="1">
        <f t="array" ref="O35">MIN(IF((OutputTable[GroupByKey]=OutputTable[[#This Row],[GroupByKey]]),(OutputTable[GroupByKey]=OutputTable[[#This Row],[GroupByKey]])*OutputTable[RecordedValue]))</f>
        <v>1.70504385964912E-3</v>
      </c>
      <c r="P35" cm="1">
        <f t="array" ref="P35">MAX(IF((OutputTable[GroupByKey]=OutputTable[[#This Row],[GroupByKey]]),(OutputTable[GroupByKey]=OutputTable[[#This Row],[GroupByKey]])*OutputTable[RecordedValue]))</f>
        <v>2.17031677925951E-3</v>
      </c>
    </row>
    <row r="36" spans="1:16" x14ac:dyDescent="0.2">
      <c r="A36" t="s">
        <v>67</v>
      </c>
      <c r="B36" t="s">
        <v>70</v>
      </c>
      <c r="C36">
        <v>3</v>
      </c>
      <c r="D36" t="s">
        <v>116</v>
      </c>
      <c r="E36" t="s">
        <v>105</v>
      </c>
      <c r="F36" t="s">
        <v>95</v>
      </c>
      <c r="G36">
        <v>211</v>
      </c>
      <c r="H36">
        <v>0</v>
      </c>
      <c r="I36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225.93333333333334</v>
      </c>
      <c r="L36" cm="1">
        <f t="array" ref="L36">IFERROR(_xlfn.STDEV.S(IF((OutputTable[GroupByKey]=OutputTable[[#This Row],[GroupByKey]]),(OutputTable[GroupByKey]=OutputTable[[#This Row],[GroupByKey]])*OutputTable[RecordedValue])),0)</f>
        <v>12.403929670244338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36" cm="1">
        <f t="array" ref="O36">MIN(IF((OutputTable[GroupByKey]=OutputTable[[#This Row],[GroupByKey]]),(OutputTable[GroupByKey]=OutputTable[[#This Row],[GroupByKey]])*OutputTable[RecordedValue]))</f>
        <v>205</v>
      </c>
      <c r="P36" cm="1">
        <f t="array" ref="P36">MAX(IF((OutputTable[GroupByKey]=OutputTable[[#This Row],[GroupByKey]]),(OutputTable[GroupByKey]=OutputTable[[#This Row],[GroupByKey]])*OutputTable[RecordedValue]))</f>
        <v>253</v>
      </c>
    </row>
    <row r="37" spans="1:16" x14ac:dyDescent="0.2">
      <c r="A37" t="s">
        <v>67</v>
      </c>
      <c r="B37" t="s">
        <v>70</v>
      </c>
      <c r="C37">
        <v>3</v>
      </c>
      <c r="D37" t="s">
        <v>117</v>
      </c>
      <c r="E37" t="s">
        <v>107</v>
      </c>
      <c r="F37" t="s">
        <v>95</v>
      </c>
      <c r="G37">
        <v>4.6271929824561403E-3</v>
      </c>
      <c r="H37">
        <v>0</v>
      </c>
      <c r="I37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4.9565971649701106E-3</v>
      </c>
      <c r="L37" cm="1">
        <f t="array" ref="L37">IFERROR(_xlfn.STDEV.S(IF((OutputTable[GroupByKey]=OutputTable[[#This Row],[GroupByKey]]),(OutputTable[GroupByKey]=OutputTable[[#This Row],[GroupByKey]])*OutputTable[RecordedValue])),0)</f>
        <v>2.7167433725199517E-4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37" cm="1">
        <f t="array" ref="O37">MIN(IF((OutputTable[GroupByKey]=OutputTable[[#This Row],[GroupByKey]]),(OutputTable[GroupByKey]=OutputTable[[#This Row],[GroupByKey]])*OutputTable[RecordedValue]))</f>
        <v>4.4956140350877203E-3</v>
      </c>
      <c r="P37" cm="1">
        <f t="array" ref="P37">MAX(IF((OutputTable[GroupByKey]=OutputTable[[#This Row],[GroupByKey]]),(OutputTable[GroupByKey]=OutputTable[[#This Row],[GroupByKey]])*OutputTable[RecordedValue]))</f>
        <v>5.5482456140350904E-3</v>
      </c>
    </row>
    <row r="38" spans="1:16" x14ac:dyDescent="0.2">
      <c r="A38" t="s">
        <v>67</v>
      </c>
      <c r="B38" t="s">
        <v>70</v>
      </c>
      <c r="C38">
        <v>3</v>
      </c>
      <c r="D38" t="s">
        <v>118</v>
      </c>
      <c r="E38" t="s">
        <v>113</v>
      </c>
      <c r="F38" t="s">
        <v>119</v>
      </c>
      <c r="G38">
        <v>280</v>
      </c>
      <c r="H38">
        <v>0</v>
      </c>
      <c r="I38" t="str">
        <f>OutputTable[[#This Row],[ProjectName]]&amp;OutputTable[[#This Row],[Name]]&amp;OutputTable[[#This Row],[Type]]&amp;OutputTable[[#This Row],[Source]]</f>
        <v>Unnamed ProjectSystem.NumberOutNumber OutSystem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285.3</v>
      </c>
      <c r="L38" cm="1">
        <f t="array" ref="L38">IFERROR(_xlfn.STDEV.S(IF((OutputTable[GroupByKey]=OutputTable[[#This Row],[GroupByKey]]),(OutputTable[GroupByKey]=OutputTable[[#This Row],[GroupByKey]])*OutputTable[RecordedValue])),0)</f>
        <v>12.739160368585981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38" cm="1">
        <f t="array" ref="O38">MIN(IF((OutputTable[GroupByKey]=OutputTable[[#This Row],[GroupByKey]]),(OutputTable[GroupByKey]=OutputTable[[#This Row],[GroupByKey]])*OutputTable[RecordedValue]))</f>
        <v>266</v>
      </c>
      <c r="P38" cm="1">
        <f t="array" ref="P38">MAX(IF((OutputTable[GroupByKey]=OutputTable[[#This Row],[GroupByKey]]),(OutputTable[GroupByKey]=OutputTable[[#This Row],[GroupByKey]])*OutputTable[RecordedValue]))</f>
        <v>318</v>
      </c>
    </row>
    <row r="39" spans="1:16" x14ac:dyDescent="0.2">
      <c r="A39" t="s">
        <v>67</v>
      </c>
      <c r="B39" t="s">
        <v>70</v>
      </c>
      <c r="C39">
        <v>3</v>
      </c>
      <c r="D39" t="s">
        <v>120</v>
      </c>
      <c r="E39" t="s">
        <v>105</v>
      </c>
      <c r="F39" t="s">
        <v>95</v>
      </c>
      <c r="G39">
        <v>141</v>
      </c>
      <c r="H39">
        <v>0</v>
      </c>
      <c r="I39" t="str">
        <f>OutputTable[[#This Row],[ProjectName]]&amp;OutputTable[[#This Row],[Name]]&amp;OutputTable[[#This Row],[Type]]&amp;OutputTable[[#This Row],[Source]]</f>
        <v>Unnamed ProjectWaiter.NumberSeizedTotal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142.66666666666666</v>
      </c>
      <c r="L39" cm="1">
        <f t="array" ref="L39">IFERROR(_xlfn.STDEV.S(IF((OutputTable[GroupByKey]=OutputTable[[#This Row],[GroupByKey]]),(OutputTable[GroupByKey]=OutputTable[[#This Row],[GroupByKey]])*OutputTable[RecordedValue])),0)</f>
        <v>6.4505190025531167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39" cm="1">
        <f t="array" ref="O39">MIN(IF((OutputTable[GroupByKey]=OutputTable[[#This Row],[GroupByKey]]),(OutputTable[GroupByKey]=OutputTable[[#This Row],[GroupByKey]])*OutputTable[RecordedValue]))</f>
        <v>132</v>
      </c>
      <c r="P39" cm="1">
        <f t="array" ref="P39">MAX(IF((OutputTable[GroupByKey]=OutputTable[[#This Row],[GroupByKey]]),(OutputTable[GroupByKey]=OutputTable[[#This Row],[GroupByKey]])*OutputTable[RecordedValue]))</f>
        <v>160</v>
      </c>
    </row>
    <row r="40" spans="1:16" x14ac:dyDescent="0.2">
      <c r="A40" t="s">
        <v>67</v>
      </c>
      <c r="B40" t="s">
        <v>70</v>
      </c>
      <c r="C40">
        <v>3</v>
      </c>
      <c r="D40" t="s">
        <v>121</v>
      </c>
      <c r="E40" t="s">
        <v>107</v>
      </c>
      <c r="F40" t="s">
        <v>95</v>
      </c>
      <c r="G40">
        <v>8.35315698203834E-2</v>
      </c>
      <c r="H40">
        <v>0</v>
      </c>
      <c r="I40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8.3509459606410805E-2</v>
      </c>
      <c r="L40" cm="1">
        <f t="array" ref="L40">IFERROR(_xlfn.STDEV.S(IF((OutputTable[GroupByKey]=OutputTable[[#This Row],[GroupByKey]]),(OutputTable[GroupByKey]=OutputTable[[#This Row],[GroupByKey]])*OutputTable[RecordedValue])),0)</f>
        <v>3.5452891325333867E-3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40" cm="1">
        <f t="array" ref="O40">MIN(IF((OutputTable[GroupByKey]=OutputTable[[#This Row],[GroupByKey]]),(OutputTable[GroupByKey]=OutputTable[[#This Row],[GroupByKey]])*OutputTable[RecordedValue]))</f>
        <v>7.7176470357847096E-2</v>
      </c>
      <c r="P40" cm="1">
        <f t="array" ref="P40">MAX(IF((OutputTable[GroupByKey]=OutputTable[[#This Row],[GroupByKey]]),(OutputTable[GroupByKey]=OutputTable[[#This Row],[GroupByKey]])*OutputTable[RecordedValue]))</f>
        <v>9.2534326714405798E-2</v>
      </c>
    </row>
    <row r="41" spans="1:16" x14ac:dyDescent="0.2">
      <c r="A41" t="s">
        <v>67</v>
      </c>
      <c r="B41" t="s">
        <v>70</v>
      </c>
      <c r="C41">
        <v>4</v>
      </c>
      <c r="D41" t="s">
        <v>104</v>
      </c>
      <c r="E41" t="s">
        <v>105</v>
      </c>
      <c r="F41" t="s">
        <v>95</v>
      </c>
      <c r="G41">
        <v>310</v>
      </c>
      <c r="H41">
        <v>0</v>
      </c>
      <c r="I41" t="str">
        <f>OutputTable[[#This Row],[ProjectName]]&amp;OutputTable[[#This Row],[Name]]&amp;OutputTable[[#This Row],[Type]]&amp;OutputTable[[#This Row],[Source]]</f>
        <v>Unnamed ProjectCleaner.NumberSeizedTotal Number SeizedResource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285.39999999999998</v>
      </c>
      <c r="L41" cm="1">
        <f t="array" ref="L41">IFERROR(_xlfn.STDEV.S(IF((OutputTable[GroupByKey]=OutputTable[[#This Row],[GroupByKey]]),(OutputTable[GroupByKey]=OutputTable[[#This Row],[GroupByKey]])*OutputTable[RecordedValue])),0)</f>
        <v>12.88302812979555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41" cm="1">
        <f t="array" ref="O41">MIN(IF((OutputTable[GroupByKey]=OutputTable[[#This Row],[GroupByKey]]),(OutputTable[GroupByKey]=OutputTable[[#This Row],[GroupByKey]])*OutputTable[RecordedValue]))</f>
        <v>266</v>
      </c>
      <c r="P41" cm="1">
        <f t="array" ref="P41">MAX(IF((OutputTable[GroupByKey]=OutputTable[[#This Row],[GroupByKey]]),(OutputTable[GroupByKey]=OutputTable[[#This Row],[GroupByKey]])*OutputTable[RecordedValue]))</f>
        <v>318</v>
      </c>
    </row>
    <row r="42" spans="1:16" x14ac:dyDescent="0.2">
      <c r="A42" t="s">
        <v>67</v>
      </c>
      <c r="B42" t="s">
        <v>70</v>
      </c>
      <c r="C42">
        <v>4</v>
      </c>
      <c r="D42" t="s">
        <v>106</v>
      </c>
      <c r="E42" t="s">
        <v>107</v>
      </c>
      <c r="F42" t="s">
        <v>95</v>
      </c>
      <c r="G42">
        <v>0.27192982456140302</v>
      </c>
      <c r="H42">
        <v>0</v>
      </c>
      <c r="I42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0.25031804088290305</v>
      </c>
      <c r="L42" cm="1">
        <f t="array" ref="L42">IFERROR(_xlfn.STDEV.S(IF((OutputTable[GroupByKey]=OutputTable[[#This Row],[GroupByKey]]),(OutputTable[GroupByKey]=OutputTable[[#This Row],[GroupByKey]])*OutputTable[RecordedValue])),0)</f>
        <v>1.1255778929137084E-2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42" cm="1">
        <f t="array" ref="O42">MIN(IF((OutputTable[GroupByKey]=OutputTable[[#This Row],[GroupByKey]]),(OutputTable[GroupByKey]=OutputTable[[#This Row],[GroupByKey]])*OutputTable[RecordedValue]))</f>
        <v>0.233333333333333</v>
      </c>
      <c r="P42" cm="1">
        <f t="array" ref="P42">MAX(IF((OutputTable[GroupByKey]=OutputTable[[#This Row],[GroupByKey]]),(OutputTable[GroupByKey]=OutputTable[[#This Row],[GroupByKey]])*OutputTable[RecordedValue]))</f>
        <v>0.27905535859326402</v>
      </c>
    </row>
    <row r="43" spans="1:16" x14ac:dyDescent="0.2">
      <c r="A43" t="s">
        <v>67</v>
      </c>
      <c r="B43" t="s">
        <v>70</v>
      </c>
      <c r="C43">
        <v>4</v>
      </c>
      <c r="D43" t="s">
        <v>108</v>
      </c>
      <c r="E43" t="s">
        <v>105</v>
      </c>
      <c r="F43" t="s">
        <v>95</v>
      </c>
      <c r="G43">
        <v>312</v>
      </c>
      <c r="H43">
        <v>0</v>
      </c>
      <c r="I43" t="str">
        <f>OutputTable[[#This Row],[ProjectName]]&amp;OutputTable[[#This Row],[Name]]&amp;OutputTable[[#This Row],[Type]]&amp;OutputTable[[#This Row],[Source]]</f>
        <v>Unnamed ProjectCooker.NumberSeizedTotal Number SeizedResource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285.66666666666669</v>
      </c>
      <c r="L43" cm="1">
        <f t="array" ref="L43">IFERROR(_xlfn.STDEV.S(IF((OutputTable[GroupByKey]=OutputTable[[#This Row],[GroupByKey]]),(OutputTable[GroupByKey]=OutputTable[[#This Row],[GroupByKey]])*OutputTable[RecordedValue])),0)</f>
        <v>12.949060233064802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43" cm="1">
        <f t="array" ref="O43">MIN(IF((OutputTable[GroupByKey]=OutputTable[[#This Row],[GroupByKey]]),(OutputTable[GroupByKey]=OutputTable[[#This Row],[GroupByKey]])*OutputTable[RecordedValue]))</f>
        <v>264</v>
      </c>
      <c r="P43" cm="1">
        <f t="array" ref="P43">MAX(IF((OutputTable[GroupByKey]=OutputTable[[#This Row],[GroupByKey]]),(OutputTable[GroupByKey]=OutputTable[[#This Row],[GroupByKey]])*OutputTable[RecordedValue]))</f>
        <v>320</v>
      </c>
    </row>
    <row r="44" spans="1:16" x14ac:dyDescent="0.2">
      <c r="A44" t="s">
        <v>67</v>
      </c>
      <c r="B44" t="s">
        <v>70</v>
      </c>
      <c r="C44">
        <v>4</v>
      </c>
      <c r="D44" t="s">
        <v>109</v>
      </c>
      <c r="E44" t="s">
        <v>107</v>
      </c>
      <c r="F44" t="s">
        <v>95</v>
      </c>
      <c r="G44">
        <v>0.68643238055161704</v>
      </c>
      <c r="H44">
        <v>0</v>
      </c>
      <c r="I44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0.62721981794251769</v>
      </c>
      <c r="L44" cm="1">
        <f t="array" ref="L44">IFERROR(_xlfn.STDEV.S(IF((OutputTable[GroupByKey]=OutputTable[[#This Row],[GroupByKey]]),(OutputTable[GroupByKey]=OutputTable[[#This Row],[GroupByKey]])*OutputTable[RecordedValue])),0)</f>
        <v>2.6376107220918699E-2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44" cm="1">
        <f t="array" ref="O44">MIN(IF((OutputTable[GroupByKey]=OutputTable[[#This Row],[GroupByKey]]),(OutputTable[GroupByKey]=OutputTable[[#This Row],[GroupByKey]])*OutputTable[RecordedValue]))</f>
        <v>0.58256422876290004</v>
      </c>
      <c r="P44" cm="1">
        <f t="array" ref="P44">MAX(IF((OutputTable[GroupByKey]=OutputTable[[#This Row],[GroupByKey]]),(OutputTable[GroupByKey]=OutputTable[[#This Row],[GroupByKey]])*OutputTable[RecordedValue]))</f>
        <v>0.68643238055161704</v>
      </c>
    </row>
    <row r="45" spans="1:16" x14ac:dyDescent="0.2">
      <c r="A45" t="s">
        <v>67</v>
      </c>
      <c r="B45" t="s">
        <v>70</v>
      </c>
      <c r="C45">
        <v>4</v>
      </c>
      <c r="D45" t="s">
        <v>110</v>
      </c>
      <c r="E45" t="s">
        <v>111</v>
      </c>
      <c r="F45" t="s">
        <v>76</v>
      </c>
      <c r="G45">
        <v>937</v>
      </c>
      <c r="H45">
        <v>0</v>
      </c>
      <c r="I45" t="str">
        <f>OutputTable[[#This Row],[ProjectName]]&amp;OutputTable[[#This Row],[Name]]&amp;OutputTable[[#This Row],[Type]]&amp;OutputTable[[#This Row],[Source]]</f>
        <v>Unnamed ProjectCustomer.NumberInNumber InEntity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855.93333333333328</v>
      </c>
      <c r="L45" cm="1">
        <f t="array" ref="L45">IFERROR(_xlfn.STDEV.S(IF((OutputTable[GroupByKey]=OutputTable[[#This Row],[GroupByKey]]),(OutputTable[GroupByKey]=OutputTable[[#This Row],[GroupByKey]])*OutputTable[RecordedValue])),0)</f>
        <v>38.659373073509371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45" cm="1">
        <f t="array" ref="O45">MIN(IF((OutputTable[GroupByKey]=OutputTable[[#This Row],[GroupByKey]]),(OutputTable[GroupByKey]=OutputTable[[#This Row],[GroupByKey]])*OutputTable[RecordedValue]))</f>
        <v>792</v>
      </c>
      <c r="P45" cm="1">
        <f t="array" ref="P45">MAX(IF((OutputTable[GroupByKey]=OutputTable[[#This Row],[GroupByKey]]),(OutputTable[GroupByKey]=OutputTable[[#This Row],[GroupByKey]])*OutputTable[RecordedValue]))</f>
        <v>958</v>
      </c>
    </row>
    <row r="46" spans="1:16" x14ac:dyDescent="0.2">
      <c r="A46" t="s">
        <v>67</v>
      </c>
      <c r="B46" t="s">
        <v>70</v>
      </c>
      <c r="C46">
        <v>4</v>
      </c>
      <c r="D46" t="s">
        <v>112</v>
      </c>
      <c r="E46" t="s">
        <v>113</v>
      </c>
      <c r="F46" t="s">
        <v>76</v>
      </c>
      <c r="G46">
        <v>930</v>
      </c>
      <c r="H46">
        <v>0</v>
      </c>
      <c r="I46" t="str">
        <f>OutputTable[[#This Row],[ProjectName]]&amp;OutputTable[[#This Row],[Name]]&amp;OutputTable[[#This Row],[Type]]&amp;OutputTable[[#This Row],[Source]]</f>
        <v>Unnamed ProjectCustomer.NumberOutNumber OutEntity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855.3</v>
      </c>
      <c r="L46" cm="1">
        <f t="array" ref="L46">IFERROR(_xlfn.STDEV.S(IF((OutputTable[GroupByKey]=OutputTable[[#This Row],[GroupByKey]]),(OutputTable[GroupByKey]=OutputTable[[#This Row],[GroupByKey]])*OutputTable[RecordedValue])),0)</f>
        <v>38.322722169527033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46" cm="1">
        <f t="array" ref="O46">MIN(IF((OutputTable[GroupByKey]=OutputTable[[#This Row],[GroupByKey]]),(OutputTable[GroupByKey]=OutputTable[[#This Row],[GroupByKey]])*OutputTable[RecordedValue]))</f>
        <v>798</v>
      </c>
      <c r="P46" cm="1">
        <f t="array" ref="P46">MAX(IF((OutputTable[GroupByKey]=OutputTable[[#This Row],[GroupByKey]]),(OutputTable[GroupByKey]=OutputTable[[#This Row],[GroupByKey]])*OutputTable[RecordedValue]))</f>
        <v>954</v>
      </c>
    </row>
    <row r="47" spans="1:16" x14ac:dyDescent="0.2">
      <c r="A47" t="s">
        <v>67</v>
      </c>
      <c r="B47" t="s">
        <v>70</v>
      </c>
      <c r="C47">
        <v>4</v>
      </c>
      <c r="D47" t="s">
        <v>114</v>
      </c>
      <c r="E47" t="s">
        <v>105</v>
      </c>
      <c r="F47" t="s">
        <v>95</v>
      </c>
      <c r="G47">
        <v>396</v>
      </c>
      <c r="H47">
        <v>0</v>
      </c>
      <c r="I47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344.6</v>
      </c>
      <c r="L47" cm="1">
        <f t="array" ref="L47">IFERROR(_xlfn.STDEV.S(IF((OutputTable[GroupByKey]=OutputTable[[#This Row],[GroupByKey]]),(OutputTable[GroupByKey]=OutputTable[[#This Row],[GroupByKey]])*OutputTable[RecordedValue])),0)</f>
        <v>21.890952311479008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47" cm="1">
        <f t="array" ref="O47">MIN(IF((OutputTable[GroupByKey]=OutputTable[[#This Row],[GroupByKey]]),(OutputTable[GroupByKey]=OutputTable[[#This Row],[GroupByKey]])*OutputTable[RecordedValue]))</f>
        <v>311</v>
      </c>
      <c r="P47" cm="1">
        <f t="array" ref="P47">MAX(IF((OutputTable[GroupByKey]=OutputTable[[#This Row],[GroupByKey]]),(OutputTable[GroupByKey]=OutputTable[[#This Row],[GroupByKey]])*OutputTable[RecordedValue]))</f>
        <v>396</v>
      </c>
    </row>
    <row r="48" spans="1:16" x14ac:dyDescent="0.2">
      <c r="A48" t="s">
        <v>67</v>
      </c>
      <c r="B48" t="s">
        <v>70</v>
      </c>
      <c r="C48">
        <v>4</v>
      </c>
      <c r="D48" t="s">
        <v>115</v>
      </c>
      <c r="E48" t="s">
        <v>107</v>
      </c>
      <c r="F48" t="s">
        <v>95</v>
      </c>
      <c r="G48">
        <v>2.17031677925951E-3</v>
      </c>
      <c r="H48">
        <v>0</v>
      </c>
      <c r="I48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1.889307012236451E-3</v>
      </c>
      <c r="L48" cm="1">
        <f t="array" ref="L48">IFERROR(_xlfn.STDEV.S(IF((OutputTable[GroupByKey]=OutputTable[[#This Row],[GroupByKey]]),(OutputTable[GroupByKey]=OutputTable[[#This Row],[GroupByKey]])*OutputTable[RecordedValue])),0)</f>
        <v>1.2015303758165521E-4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48" cm="1">
        <f t="array" ref="O48">MIN(IF((OutputTable[GroupByKey]=OutputTable[[#This Row],[GroupByKey]]),(OutputTable[GroupByKey]=OutputTable[[#This Row],[GroupByKey]])*OutputTable[RecordedValue]))</f>
        <v>1.70504385964912E-3</v>
      </c>
      <c r="P48" cm="1">
        <f t="array" ref="P48">MAX(IF((OutputTable[GroupByKey]=OutputTable[[#This Row],[GroupByKey]]),(OutputTable[GroupByKey]=OutputTable[[#This Row],[GroupByKey]])*OutputTable[RecordedValue]))</f>
        <v>2.17031677925951E-3</v>
      </c>
    </row>
    <row r="49" spans="1:16" x14ac:dyDescent="0.2">
      <c r="A49" t="s">
        <v>67</v>
      </c>
      <c r="B49" t="s">
        <v>70</v>
      </c>
      <c r="C49">
        <v>4</v>
      </c>
      <c r="D49" t="s">
        <v>116</v>
      </c>
      <c r="E49" t="s">
        <v>105</v>
      </c>
      <c r="F49" t="s">
        <v>95</v>
      </c>
      <c r="G49">
        <v>229</v>
      </c>
      <c r="H49">
        <v>0</v>
      </c>
      <c r="I49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225.93333333333334</v>
      </c>
      <c r="L49" cm="1">
        <f t="array" ref="L49">IFERROR(_xlfn.STDEV.S(IF((OutputTable[GroupByKey]=OutputTable[[#This Row],[GroupByKey]]),(OutputTable[GroupByKey]=OutputTable[[#This Row],[GroupByKey]])*OutputTable[RecordedValue])),0)</f>
        <v>12.403929670244338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49" cm="1">
        <f t="array" ref="O49">MIN(IF((OutputTable[GroupByKey]=OutputTable[[#This Row],[GroupByKey]]),(OutputTable[GroupByKey]=OutputTable[[#This Row],[GroupByKey]])*OutputTable[RecordedValue]))</f>
        <v>205</v>
      </c>
      <c r="P49" cm="1">
        <f t="array" ref="P49">MAX(IF((OutputTable[GroupByKey]=OutputTable[[#This Row],[GroupByKey]]),(OutputTable[GroupByKey]=OutputTable[[#This Row],[GroupByKey]])*OutputTable[RecordedValue]))</f>
        <v>253</v>
      </c>
    </row>
    <row r="50" spans="1:16" x14ac:dyDescent="0.2">
      <c r="A50" t="s">
        <v>67</v>
      </c>
      <c r="B50" t="s">
        <v>70</v>
      </c>
      <c r="C50">
        <v>4</v>
      </c>
      <c r="D50" t="s">
        <v>117</v>
      </c>
      <c r="E50" t="s">
        <v>107</v>
      </c>
      <c r="F50" t="s">
        <v>95</v>
      </c>
      <c r="G50">
        <v>5.0219298245613997E-3</v>
      </c>
      <c r="H50">
        <v>0</v>
      </c>
      <c r="I50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4.9565971649701106E-3</v>
      </c>
      <c r="L50" cm="1">
        <f t="array" ref="L50">IFERROR(_xlfn.STDEV.S(IF((OutputTable[GroupByKey]=OutputTable[[#This Row],[GroupByKey]]),(OutputTable[GroupByKey]=OutputTable[[#This Row],[GroupByKey]])*OutputTable[RecordedValue])),0)</f>
        <v>2.7167433725199517E-4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50" cm="1">
        <f t="array" ref="O50">MIN(IF((OutputTable[GroupByKey]=OutputTable[[#This Row],[GroupByKey]]),(OutputTable[GroupByKey]=OutputTable[[#This Row],[GroupByKey]])*OutputTable[RecordedValue]))</f>
        <v>4.4956140350877203E-3</v>
      </c>
      <c r="P50" cm="1">
        <f t="array" ref="P50">MAX(IF((OutputTable[GroupByKey]=OutputTable[[#This Row],[GroupByKey]]),(OutputTable[GroupByKey]=OutputTable[[#This Row],[GroupByKey]])*OutputTable[RecordedValue]))</f>
        <v>5.5482456140350904E-3</v>
      </c>
    </row>
    <row r="51" spans="1:16" x14ac:dyDescent="0.2">
      <c r="A51" t="s">
        <v>67</v>
      </c>
      <c r="B51" t="s">
        <v>70</v>
      </c>
      <c r="C51">
        <v>4</v>
      </c>
      <c r="D51" t="s">
        <v>118</v>
      </c>
      <c r="E51" t="s">
        <v>113</v>
      </c>
      <c r="F51" t="s">
        <v>119</v>
      </c>
      <c r="G51">
        <v>310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285.3</v>
      </c>
      <c r="L51" cm="1">
        <f t="array" ref="L51">IFERROR(_xlfn.STDEV.S(IF((OutputTable[GroupByKey]=OutputTable[[#This Row],[GroupByKey]]),(OutputTable[GroupByKey]=OutputTable[[#This Row],[GroupByKey]])*OutputTable[RecordedValue])),0)</f>
        <v>12.739160368585981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51" cm="1">
        <f t="array" ref="O51">MIN(IF((OutputTable[GroupByKey]=OutputTable[[#This Row],[GroupByKey]]),(OutputTable[GroupByKey]=OutputTable[[#This Row],[GroupByKey]])*OutputTable[RecordedValue]))</f>
        <v>266</v>
      </c>
      <c r="P51" cm="1">
        <f t="array" ref="P51">MAX(IF((OutputTable[GroupByKey]=OutputTable[[#This Row],[GroupByKey]]),(OutputTable[GroupByKey]=OutputTable[[#This Row],[GroupByKey]])*OutputTable[RecordedValue]))</f>
        <v>318</v>
      </c>
    </row>
    <row r="52" spans="1:16" x14ac:dyDescent="0.2">
      <c r="A52" t="s">
        <v>67</v>
      </c>
      <c r="B52" t="s">
        <v>70</v>
      </c>
      <c r="C52">
        <v>4</v>
      </c>
      <c r="D52" t="s">
        <v>120</v>
      </c>
      <c r="E52" t="s">
        <v>105</v>
      </c>
      <c r="F52" t="s">
        <v>95</v>
      </c>
      <c r="G52">
        <v>156</v>
      </c>
      <c r="H52">
        <v>0</v>
      </c>
      <c r="I52" t="str">
        <f>OutputTable[[#This Row],[ProjectName]]&amp;OutputTable[[#This Row],[Name]]&amp;OutputTable[[#This Row],[Type]]&amp;OutputTable[[#This Row],[Source]]</f>
        <v>Unnamed ProjectWaiter.NumberSeizedTotal Number SeizedResource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142.66666666666666</v>
      </c>
      <c r="L52" cm="1">
        <f t="array" ref="L52">IFERROR(_xlfn.STDEV.S(IF((OutputTable[GroupByKey]=OutputTable[[#This Row],[GroupByKey]]),(OutputTable[GroupByKey]=OutputTable[[#This Row],[GroupByKey]])*OutputTable[RecordedValue])),0)</f>
        <v>6.4505190025531167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52" cm="1">
        <f t="array" ref="O52">MIN(IF((OutputTable[GroupByKey]=OutputTable[[#This Row],[GroupByKey]]),(OutputTable[GroupByKey]=OutputTable[[#This Row],[GroupByKey]])*OutputTable[RecordedValue]))</f>
        <v>132</v>
      </c>
      <c r="P52" cm="1">
        <f t="array" ref="P52">MAX(IF((OutputTable[GroupByKey]=OutputTable[[#This Row],[GroupByKey]]),(OutputTable[GroupByKey]=OutputTable[[#This Row],[GroupByKey]])*OutputTable[RecordedValue]))</f>
        <v>160</v>
      </c>
    </row>
    <row r="53" spans="1:16" x14ac:dyDescent="0.2">
      <c r="A53" t="s">
        <v>67</v>
      </c>
      <c r="B53" t="s">
        <v>70</v>
      </c>
      <c r="C53">
        <v>4</v>
      </c>
      <c r="D53" t="s">
        <v>121</v>
      </c>
      <c r="E53" t="s">
        <v>107</v>
      </c>
      <c r="F53" t="s">
        <v>95</v>
      </c>
      <c r="G53">
        <v>8.7594820116079705E-2</v>
      </c>
      <c r="H53">
        <v>0</v>
      </c>
      <c r="I53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8.3509459606410805E-2</v>
      </c>
      <c r="L53" cm="1">
        <f t="array" ref="L53">IFERROR(_xlfn.STDEV.S(IF((OutputTable[GroupByKey]=OutputTable[[#This Row],[GroupByKey]]),(OutputTable[GroupByKey]=OutputTable[[#This Row],[GroupByKey]])*OutputTable[RecordedValue])),0)</f>
        <v>3.5452891325333867E-3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53" cm="1">
        <f t="array" ref="O53">MIN(IF((OutputTable[GroupByKey]=OutputTable[[#This Row],[GroupByKey]]),(OutputTable[GroupByKey]=OutputTable[[#This Row],[GroupByKey]])*OutputTable[RecordedValue]))</f>
        <v>7.7176470357847096E-2</v>
      </c>
      <c r="P53" cm="1">
        <f t="array" ref="P53">MAX(IF((OutputTable[GroupByKey]=OutputTable[[#This Row],[GroupByKey]]),(OutputTable[GroupByKey]=OutputTable[[#This Row],[GroupByKey]])*OutputTable[RecordedValue]))</f>
        <v>9.2534326714405798E-2</v>
      </c>
    </row>
    <row r="54" spans="1:16" x14ac:dyDescent="0.2">
      <c r="A54" t="s">
        <v>67</v>
      </c>
      <c r="B54" t="s">
        <v>70</v>
      </c>
      <c r="C54">
        <v>5</v>
      </c>
      <c r="D54" t="s">
        <v>104</v>
      </c>
      <c r="E54" t="s">
        <v>105</v>
      </c>
      <c r="F54" t="s">
        <v>95</v>
      </c>
      <c r="G54">
        <v>285</v>
      </c>
      <c r="H54">
        <v>0</v>
      </c>
      <c r="I54" t="str">
        <f>OutputTable[[#This Row],[ProjectName]]&amp;OutputTable[[#This Row],[Name]]&amp;OutputTable[[#This Row],[Type]]&amp;OutputTable[[#This Row],[Source]]</f>
        <v>Unnamed ProjectCleaner.NumberSeizedTotal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285.39999999999998</v>
      </c>
      <c r="L54" cm="1">
        <f t="array" ref="L54">IFERROR(_xlfn.STDEV.S(IF((OutputTable[GroupByKey]=OutputTable[[#This Row],[GroupByKey]]),(OutputTable[GroupByKey]=OutputTable[[#This Row],[GroupByKey]])*OutputTable[RecordedValue])),0)</f>
        <v>12.88302812979555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54" cm="1">
        <f t="array" ref="O54">MIN(IF((OutputTable[GroupByKey]=OutputTable[[#This Row],[GroupByKey]]),(OutputTable[GroupByKey]=OutputTable[[#This Row],[GroupByKey]])*OutputTable[RecordedValue]))</f>
        <v>266</v>
      </c>
      <c r="P54" cm="1">
        <f t="array" ref="P54">MAX(IF((OutputTable[GroupByKey]=OutputTable[[#This Row],[GroupByKey]]),(OutputTable[GroupByKey]=OutputTable[[#This Row],[GroupByKey]])*OutputTable[RecordedValue]))</f>
        <v>318</v>
      </c>
    </row>
    <row r="55" spans="1:16" x14ac:dyDescent="0.2">
      <c r="A55" t="s">
        <v>67</v>
      </c>
      <c r="B55" t="s">
        <v>70</v>
      </c>
      <c r="C55">
        <v>5</v>
      </c>
      <c r="D55" t="s">
        <v>106</v>
      </c>
      <c r="E55" t="s">
        <v>107</v>
      </c>
      <c r="F55" t="s">
        <v>95</v>
      </c>
      <c r="G55">
        <v>0.25</v>
      </c>
      <c r="H55">
        <v>0</v>
      </c>
      <c r="I5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0.25031804088290305</v>
      </c>
      <c r="L55" cm="1">
        <f t="array" ref="L55">IFERROR(_xlfn.STDEV.S(IF((OutputTable[GroupByKey]=OutputTable[[#This Row],[GroupByKey]]),(OutputTable[GroupByKey]=OutputTable[[#This Row],[GroupByKey]])*OutputTable[RecordedValue])),0)</f>
        <v>1.1255778929137084E-2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55" cm="1">
        <f t="array" ref="O55">MIN(IF((OutputTable[GroupByKey]=OutputTable[[#This Row],[GroupByKey]]),(OutputTable[GroupByKey]=OutputTable[[#This Row],[GroupByKey]])*OutputTable[RecordedValue]))</f>
        <v>0.233333333333333</v>
      </c>
      <c r="P55" cm="1">
        <f t="array" ref="P55">MAX(IF((OutputTable[GroupByKey]=OutputTable[[#This Row],[GroupByKey]]),(OutputTable[GroupByKey]=OutputTable[[#This Row],[GroupByKey]])*OutputTable[RecordedValue]))</f>
        <v>0.27905535859326402</v>
      </c>
    </row>
    <row r="56" spans="1:16" x14ac:dyDescent="0.2">
      <c r="A56" t="s">
        <v>67</v>
      </c>
      <c r="B56" t="s">
        <v>70</v>
      </c>
      <c r="C56">
        <v>5</v>
      </c>
      <c r="D56" t="s">
        <v>108</v>
      </c>
      <c r="E56" t="s">
        <v>105</v>
      </c>
      <c r="F56" t="s">
        <v>95</v>
      </c>
      <c r="G56">
        <v>287</v>
      </c>
      <c r="H56">
        <v>0</v>
      </c>
      <c r="I56" t="str">
        <f>OutputTable[[#This Row],[ProjectName]]&amp;OutputTable[[#This Row],[Name]]&amp;OutputTable[[#This Row],[Type]]&amp;OutputTable[[#This Row],[Source]]</f>
        <v>Unnamed ProjectCooker.NumberSeizedTotal Number SeizedResource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285.66666666666669</v>
      </c>
      <c r="L56" cm="1">
        <f t="array" ref="L56">IFERROR(_xlfn.STDEV.S(IF((OutputTable[GroupByKey]=OutputTable[[#This Row],[GroupByKey]]),(OutputTable[GroupByKey]=OutputTable[[#This Row],[GroupByKey]])*OutputTable[RecordedValue])),0)</f>
        <v>12.949060233064802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56" cm="1">
        <f t="array" ref="O56">MIN(IF((OutputTable[GroupByKey]=OutputTable[[#This Row],[GroupByKey]]),(OutputTable[GroupByKey]=OutputTable[[#This Row],[GroupByKey]])*OutputTable[RecordedValue]))</f>
        <v>264</v>
      </c>
      <c r="P56" cm="1">
        <f t="array" ref="P56">MAX(IF((OutputTable[GroupByKey]=OutputTable[[#This Row],[GroupByKey]]),(OutputTable[GroupByKey]=OutputTable[[#This Row],[GroupByKey]])*OutputTable[RecordedValue]))</f>
        <v>320</v>
      </c>
    </row>
    <row r="57" spans="1:16" x14ac:dyDescent="0.2">
      <c r="A57" t="s">
        <v>67</v>
      </c>
      <c r="B57" t="s">
        <v>70</v>
      </c>
      <c r="C57">
        <v>5</v>
      </c>
      <c r="D57" t="s">
        <v>109</v>
      </c>
      <c r="E57" t="s">
        <v>107</v>
      </c>
      <c r="F57" t="s">
        <v>95</v>
      </c>
      <c r="G57">
        <v>0.62099308409866405</v>
      </c>
      <c r="H57">
        <v>0</v>
      </c>
      <c r="I57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0.62721981794251769</v>
      </c>
      <c r="L57" cm="1">
        <f t="array" ref="L57">IFERROR(_xlfn.STDEV.S(IF((OutputTable[GroupByKey]=OutputTable[[#This Row],[GroupByKey]]),(OutputTable[GroupByKey]=OutputTable[[#This Row],[GroupByKey]])*OutputTable[RecordedValue])),0)</f>
        <v>2.6376107220918699E-2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57" cm="1">
        <f t="array" ref="O57">MIN(IF((OutputTable[GroupByKey]=OutputTable[[#This Row],[GroupByKey]]),(OutputTable[GroupByKey]=OutputTable[[#This Row],[GroupByKey]])*OutputTable[RecordedValue]))</f>
        <v>0.58256422876290004</v>
      </c>
      <c r="P57" cm="1">
        <f t="array" ref="P57">MAX(IF((OutputTable[GroupByKey]=OutputTable[[#This Row],[GroupByKey]]),(OutputTable[GroupByKey]=OutputTable[[#This Row],[GroupByKey]])*OutputTable[RecordedValue]))</f>
        <v>0.68643238055161704</v>
      </c>
    </row>
    <row r="58" spans="1:16" x14ac:dyDescent="0.2">
      <c r="A58" t="s">
        <v>67</v>
      </c>
      <c r="B58" t="s">
        <v>70</v>
      </c>
      <c r="C58">
        <v>5</v>
      </c>
      <c r="D58" t="s">
        <v>110</v>
      </c>
      <c r="E58" t="s">
        <v>111</v>
      </c>
      <c r="F58" t="s">
        <v>76</v>
      </c>
      <c r="G58">
        <v>853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ProjectCustomer.NumberInNumber InEntity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855.93333333333328</v>
      </c>
      <c r="L58" cm="1">
        <f t="array" ref="L58">IFERROR(_xlfn.STDEV.S(IF((OutputTable[GroupByKey]=OutputTable[[#This Row],[GroupByKey]]),(OutputTable[GroupByKey]=OutputTable[[#This Row],[GroupByKey]])*OutputTable[RecordedValue])),0)</f>
        <v>38.659373073509371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58" cm="1">
        <f t="array" ref="O58">MIN(IF((OutputTable[GroupByKey]=OutputTable[[#This Row],[GroupByKey]]),(OutputTable[GroupByKey]=OutputTable[[#This Row],[GroupByKey]])*OutputTable[RecordedValue]))</f>
        <v>792</v>
      </c>
      <c r="P58" cm="1">
        <f t="array" ref="P58">MAX(IF((OutputTable[GroupByKey]=OutputTable[[#This Row],[GroupByKey]]),(OutputTable[GroupByKey]=OutputTable[[#This Row],[GroupByKey]])*OutputTable[RecordedValue]))</f>
        <v>958</v>
      </c>
    </row>
    <row r="59" spans="1:16" x14ac:dyDescent="0.2">
      <c r="A59" t="s">
        <v>67</v>
      </c>
      <c r="B59" t="s">
        <v>70</v>
      </c>
      <c r="C59">
        <v>5</v>
      </c>
      <c r="D59" t="s">
        <v>112</v>
      </c>
      <c r="E59" t="s">
        <v>113</v>
      </c>
      <c r="F59" t="s">
        <v>76</v>
      </c>
      <c r="G59">
        <v>849</v>
      </c>
      <c r="H59">
        <v>0</v>
      </c>
      <c r="I59" t="str">
        <f>OutputTable[[#This Row],[ProjectName]]&amp;OutputTable[[#This Row],[Name]]&amp;OutputTable[[#This Row],[Type]]&amp;OutputTable[[#This Row],[Source]]</f>
        <v>Unnamed ProjectCustomer.NumberOutNumber OutEntity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855.3</v>
      </c>
      <c r="L59" cm="1">
        <f t="array" ref="L59">IFERROR(_xlfn.STDEV.S(IF((OutputTable[GroupByKey]=OutputTable[[#This Row],[GroupByKey]]),(OutputTable[GroupByKey]=OutputTable[[#This Row],[GroupByKey]])*OutputTable[RecordedValue])),0)</f>
        <v>38.322722169527033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59" cm="1">
        <f t="array" ref="O59">MIN(IF((OutputTable[GroupByKey]=OutputTable[[#This Row],[GroupByKey]]),(OutputTable[GroupByKey]=OutputTable[[#This Row],[GroupByKey]])*OutputTable[RecordedValue]))</f>
        <v>798</v>
      </c>
      <c r="P59" cm="1">
        <f t="array" ref="P59">MAX(IF((OutputTable[GroupByKey]=OutputTable[[#This Row],[GroupByKey]]),(OutputTable[GroupByKey]=OutputTable[[#This Row],[GroupByKey]])*OutputTable[RecordedValue]))</f>
        <v>954</v>
      </c>
    </row>
    <row r="60" spans="1:16" x14ac:dyDescent="0.2">
      <c r="A60" t="s">
        <v>67</v>
      </c>
      <c r="B60" t="s">
        <v>70</v>
      </c>
      <c r="C60">
        <v>5</v>
      </c>
      <c r="D60" t="s">
        <v>114</v>
      </c>
      <c r="E60" t="s">
        <v>105</v>
      </c>
      <c r="F60" t="s">
        <v>95</v>
      </c>
      <c r="G60">
        <v>353</v>
      </c>
      <c r="H60">
        <v>0</v>
      </c>
      <c r="I60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344.6</v>
      </c>
      <c r="L60" cm="1">
        <f t="array" ref="L60">IFERROR(_xlfn.STDEV.S(IF((OutputTable[GroupByKey]=OutputTable[[#This Row],[GroupByKey]]),(OutputTable[GroupByKey]=OutputTable[[#This Row],[GroupByKey]])*OutputTable[RecordedValue])),0)</f>
        <v>21.890952311479008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60" cm="1">
        <f t="array" ref="O60">MIN(IF((OutputTable[GroupByKey]=OutputTable[[#This Row],[GroupByKey]]),(OutputTable[GroupByKey]=OutputTable[[#This Row],[GroupByKey]])*OutputTable[RecordedValue]))</f>
        <v>311</v>
      </c>
      <c r="P60" cm="1">
        <f t="array" ref="P60">MAX(IF((OutputTable[GroupByKey]=OutputTable[[#This Row],[GroupByKey]]),(OutputTable[GroupByKey]=OutputTable[[#This Row],[GroupByKey]])*OutputTable[RecordedValue]))</f>
        <v>396</v>
      </c>
    </row>
    <row r="61" spans="1:16" x14ac:dyDescent="0.2">
      <c r="A61" t="s">
        <v>67</v>
      </c>
      <c r="B61" t="s">
        <v>70</v>
      </c>
      <c r="C61">
        <v>5</v>
      </c>
      <c r="D61" t="s">
        <v>115</v>
      </c>
      <c r="E61" t="s">
        <v>107</v>
      </c>
      <c r="F61" t="s">
        <v>95</v>
      </c>
      <c r="G61">
        <v>1.9441180007558601E-3</v>
      </c>
      <c r="H61">
        <v>0</v>
      </c>
      <c r="I61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1.889307012236451E-3</v>
      </c>
      <c r="L61" cm="1">
        <f t="array" ref="L61">IFERROR(_xlfn.STDEV.S(IF((OutputTable[GroupByKey]=OutputTable[[#This Row],[GroupByKey]]),(OutputTable[GroupByKey]=OutputTable[[#This Row],[GroupByKey]])*OutputTable[RecordedValue])),0)</f>
        <v>1.2015303758165521E-4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61" cm="1">
        <f t="array" ref="O61">MIN(IF((OutputTable[GroupByKey]=OutputTable[[#This Row],[GroupByKey]]),(OutputTable[GroupByKey]=OutputTable[[#This Row],[GroupByKey]])*OutputTable[RecordedValue]))</f>
        <v>1.70504385964912E-3</v>
      </c>
      <c r="P61" cm="1">
        <f t="array" ref="P61">MAX(IF((OutputTable[GroupByKey]=OutputTable[[#This Row],[GroupByKey]]),(OutputTable[GroupByKey]=OutputTable[[#This Row],[GroupByKey]])*OutputTable[RecordedValue]))</f>
        <v>2.17031677925951E-3</v>
      </c>
    </row>
    <row r="62" spans="1:16" x14ac:dyDescent="0.2">
      <c r="A62" t="s">
        <v>67</v>
      </c>
      <c r="B62" t="s">
        <v>70</v>
      </c>
      <c r="C62">
        <v>5</v>
      </c>
      <c r="D62" t="s">
        <v>116</v>
      </c>
      <c r="E62" t="s">
        <v>105</v>
      </c>
      <c r="F62" t="s">
        <v>95</v>
      </c>
      <c r="G62">
        <v>214</v>
      </c>
      <c r="H62">
        <v>0</v>
      </c>
      <c r="I62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225.93333333333334</v>
      </c>
      <c r="L62" cm="1">
        <f t="array" ref="L62">IFERROR(_xlfn.STDEV.S(IF((OutputTable[GroupByKey]=OutputTable[[#This Row],[GroupByKey]]),(OutputTable[GroupByKey]=OutputTable[[#This Row],[GroupByKey]])*OutputTable[RecordedValue])),0)</f>
        <v>12.403929670244338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62" cm="1">
        <f t="array" ref="O62">MIN(IF((OutputTable[GroupByKey]=OutputTable[[#This Row],[GroupByKey]]),(OutputTable[GroupByKey]=OutputTable[[#This Row],[GroupByKey]])*OutputTable[RecordedValue]))</f>
        <v>205</v>
      </c>
      <c r="P62" cm="1">
        <f t="array" ref="P62">MAX(IF((OutputTable[GroupByKey]=OutputTable[[#This Row],[GroupByKey]]),(OutputTable[GroupByKey]=OutputTable[[#This Row],[GroupByKey]])*OutputTable[RecordedValue]))</f>
        <v>253</v>
      </c>
    </row>
    <row r="63" spans="1:16" x14ac:dyDescent="0.2">
      <c r="A63" t="s">
        <v>67</v>
      </c>
      <c r="B63" t="s">
        <v>70</v>
      </c>
      <c r="C63">
        <v>5</v>
      </c>
      <c r="D63" t="s">
        <v>117</v>
      </c>
      <c r="E63" t="s">
        <v>107</v>
      </c>
      <c r="F63" t="s">
        <v>95</v>
      </c>
      <c r="G63">
        <v>4.7128271015709003E-3</v>
      </c>
      <c r="H63">
        <v>0</v>
      </c>
      <c r="I63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4.9565971649701106E-3</v>
      </c>
      <c r="L63" cm="1">
        <f t="array" ref="L63">IFERROR(_xlfn.STDEV.S(IF((OutputTable[GroupByKey]=OutputTable[[#This Row],[GroupByKey]]),(OutputTable[GroupByKey]=OutputTable[[#This Row],[GroupByKey]])*OutputTable[RecordedValue])),0)</f>
        <v>2.7167433725199517E-4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63" cm="1">
        <f t="array" ref="O63">MIN(IF((OutputTable[GroupByKey]=OutputTable[[#This Row],[GroupByKey]]),(OutputTable[GroupByKey]=OutputTable[[#This Row],[GroupByKey]])*OutputTable[RecordedValue]))</f>
        <v>4.4956140350877203E-3</v>
      </c>
      <c r="P63" cm="1">
        <f t="array" ref="P63">MAX(IF((OutputTable[GroupByKey]=OutputTable[[#This Row],[GroupByKey]]),(OutputTable[GroupByKey]=OutputTable[[#This Row],[GroupByKey]])*OutputTable[RecordedValue]))</f>
        <v>5.5482456140350904E-3</v>
      </c>
    </row>
    <row r="64" spans="1:16" x14ac:dyDescent="0.2">
      <c r="A64" t="s">
        <v>67</v>
      </c>
      <c r="B64" t="s">
        <v>70</v>
      </c>
      <c r="C64">
        <v>5</v>
      </c>
      <c r="D64" t="s">
        <v>118</v>
      </c>
      <c r="E64" t="s">
        <v>113</v>
      </c>
      <c r="F64" t="s">
        <v>119</v>
      </c>
      <c r="G64">
        <v>285</v>
      </c>
      <c r="H64">
        <v>0</v>
      </c>
      <c r="I64" t="str">
        <f>OutputTable[[#This Row],[ProjectName]]&amp;OutputTable[[#This Row],[Name]]&amp;OutputTable[[#This Row],[Type]]&amp;OutputTable[[#This Row],[Source]]</f>
        <v>Unnamed ProjectSystem.NumberOutNumber OutSystem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285.3</v>
      </c>
      <c r="L64" cm="1">
        <f t="array" ref="L64">IFERROR(_xlfn.STDEV.S(IF((OutputTable[GroupByKey]=OutputTable[[#This Row],[GroupByKey]]),(OutputTable[GroupByKey]=OutputTable[[#This Row],[GroupByKey]])*OutputTable[RecordedValue])),0)</f>
        <v>12.739160368585981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64" cm="1">
        <f t="array" ref="O64">MIN(IF((OutputTable[GroupByKey]=OutputTable[[#This Row],[GroupByKey]]),(OutputTable[GroupByKey]=OutputTable[[#This Row],[GroupByKey]])*OutputTable[RecordedValue]))</f>
        <v>266</v>
      </c>
      <c r="P64" cm="1">
        <f t="array" ref="P64">MAX(IF((OutputTable[GroupByKey]=OutputTable[[#This Row],[GroupByKey]]),(OutputTable[GroupByKey]=OutputTable[[#This Row],[GroupByKey]])*OutputTable[RecordedValue]))</f>
        <v>318</v>
      </c>
    </row>
    <row r="65" spans="1:16" x14ac:dyDescent="0.2">
      <c r="A65" t="s">
        <v>67</v>
      </c>
      <c r="B65" t="s">
        <v>70</v>
      </c>
      <c r="C65">
        <v>5</v>
      </c>
      <c r="D65" t="s">
        <v>120</v>
      </c>
      <c r="E65" t="s">
        <v>105</v>
      </c>
      <c r="F65" t="s">
        <v>95</v>
      </c>
      <c r="G65">
        <v>143</v>
      </c>
      <c r="H65">
        <v>0</v>
      </c>
      <c r="I65" t="str">
        <f>OutputTable[[#This Row],[ProjectName]]&amp;OutputTable[[#This Row],[Name]]&amp;OutputTable[[#This Row],[Type]]&amp;OutputTable[[#This Row],[Source]]</f>
        <v>Unnamed ProjectWaiter.NumberSeizedTotal Number SeizedResource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142.66666666666666</v>
      </c>
      <c r="L65" cm="1">
        <f t="array" ref="L65">IFERROR(_xlfn.STDEV.S(IF((OutputTable[GroupByKey]=OutputTable[[#This Row],[GroupByKey]]),(OutputTable[GroupByKey]=OutputTable[[#This Row],[GroupByKey]])*OutputTable[RecordedValue])),0)</f>
        <v>6.4505190025531167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65" cm="1">
        <f t="array" ref="O65">MIN(IF((OutputTable[GroupByKey]=OutputTable[[#This Row],[GroupByKey]]),(OutputTable[GroupByKey]=OutputTable[[#This Row],[GroupByKey]])*OutputTable[RecordedValue]))</f>
        <v>132</v>
      </c>
      <c r="P65" cm="1">
        <f t="array" ref="P65">MAX(IF((OutputTable[GroupByKey]=OutputTable[[#This Row],[GroupByKey]]),(OutputTable[GroupByKey]=OutputTable[[#This Row],[GroupByKey]])*OutputTable[RecordedValue]))</f>
        <v>160</v>
      </c>
    </row>
    <row r="66" spans="1:16" x14ac:dyDescent="0.2">
      <c r="A66" t="s">
        <v>67</v>
      </c>
      <c r="B66" t="s">
        <v>70</v>
      </c>
      <c r="C66">
        <v>5</v>
      </c>
      <c r="D66" t="s">
        <v>121</v>
      </c>
      <c r="E66" t="s">
        <v>107</v>
      </c>
      <c r="F66" t="s">
        <v>95</v>
      </c>
      <c r="G66">
        <v>8.2255271148324496E-2</v>
      </c>
      <c r="H66">
        <v>0</v>
      </c>
      <c r="I66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8.3509459606410805E-2</v>
      </c>
      <c r="L66" cm="1">
        <f t="array" ref="L66">IFERROR(_xlfn.STDEV.S(IF((OutputTable[GroupByKey]=OutputTable[[#This Row],[GroupByKey]]),(OutputTable[GroupByKey]=OutputTable[[#This Row],[GroupByKey]])*OutputTable[RecordedValue])),0)</f>
        <v>3.5452891325333867E-3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66" cm="1">
        <f t="array" ref="O66">MIN(IF((OutputTable[GroupByKey]=OutputTable[[#This Row],[GroupByKey]]),(OutputTable[GroupByKey]=OutputTable[[#This Row],[GroupByKey]])*OutputTable[RecordedValue]))</f>
        <v>7.7176470357847096E-2</v>
      </c>
      <c r="P66" cm="1">
        <f t="array" ref="P66">MAX(IF((OutputTable[GroupByKey]=OutputTable[[#This Row],[GroupByKey]]),(OutputTable[GroupByKey]=OutputTable[[#This Row],[GroupByKey]])*OutputTable[RecordedValue]))</f>
        <v>9.2534326714405798E-2</v>
      </c>
    </row>
    <row r="67" spans="1:16" x14ac:dyDescent="0.2">
      <c r="A67" t="s">
        <v>67</v>
      </c>
      <c r="B67" t="s">
        <v>70</v>
      </c>
      <c r="C67">
        <v>6</v>
      </c>
      <c r="D67" t="s">
        <v>104</v>
      </c>
      <c r="E67" t="s">
        <v>105</v>
      </c>
      <c r="F67" t="s">
        <v>95</v>
      </c>
      <c r="G67">
        <v>318</v>
      </c>
      <c r="H67">
        <v>0</v>
      </c>
      <c r="I67" t="str">
        <f>OutputTable[[#This Row],[ProjectName]]&amp;OutputTable[[#This Row],[Name]]&amp;OutputTable[[#This Row],[Type]]&amp;OutputTable[[#This Row],[Source]]</f>
        <v>Unnamed ProjectCleaner.NumberSeizedTotal Number SeizedResource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285.39999999999998</v>
      </c>
      <c r="L67" cm="1">
        <f t="array" ref="L67">IFERROR(_xlfn.STDEV.S(IF((OutputTable[GroupByKey]=OutputTable[[#This Row],[GroupByKey]]),(OutputTable[GroupByKey]=OutputTable[[#This Row],[GroupByKey]])*OutputTable[RecordedValue])),0)</f>
        <v>12.88302812979555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67" cm="1">
        <f t="array" ref="O67">MIN(IF((OutputTable[GroupByKey]=OutputTable[[#This Row],[GroupByKey]]),(OutputTable[GroupByKey]=OutputTable[[#This Row],[GroupByKey]])*OutputTable[RecordedValue]))</f>
        <v>266</v>
      </c>
      <c r="P67" cm="1">
        <f t="array" ref="P67">MAX(IF((OutputTable[GroupByKey]=OutputTable[[#This Row],[GroupByKey]]),(OutputTable[GroupByKey]=OutputTable[[#This Row],[GroupByKey]])*OutputTable[RecordedValue]))</f>
        <v>318</v>
      </c>
    </row>
    <row r="68" spans="1:16" x14ac:dyDescent="0.2">
      <c r="A68" t="s">
        <v>67</v>
      </c>
      <c r="B68" t="s">
        <v>70</v>
      </c>
      <c r="C68">
        <v>6</v>
      </c>
      <c r="D68" t="s">
        <v>106</v>
      </c>
      <c r="E68" t="s">
        <v>107</v>
      </c>
      <c r="F68" t="s">
        <v>95</v>
      </c>
      <c r="G68">
        <v>0.27905535859326402</v>
      </c>
      <c r="H68">
        <v>0</v>
      </c>
      <c r="I68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0.25031804088290305</v>
      </c>
      <c r="L68" cm="1">
        <f t="array" ref="L68">IFERROR(_xlfn.STDEV.S(IF((OutputTable[GroupByKey]=OutputTable[[#This Row],[GroupByKey]]),(OutputTable[GroupByKey]=OutputTable[[#This Row],[GroupByKey]])*OutputTable[RecordedValue])),0)</f>
        <v>1.1255778929137084E-2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68" cm="1">
        <f t="array" ref="O68">MIN(IF((OutputTable[GroupByKey]=OutputTable[[#This Row],[GroupByKey]]),(OutputTable[GroupByKey]=OutputTable[[#This Row],[GroupByKey]])*OutputTable[RecordedValue]))</f>
        <v>0.233333333333333</v>
      </c>
      <c r="P68" cm="1">
        <f t="array" ref="P68">MAX(IF((OutputTable[GroupByKey]=OutputTable[[#This Row],[GroupByKey]]),(OutputTable[GroupByKey]=OutputTable[[#This Row],[GroupByKey]])*OutputTable[RecordedValue]))</f>
        <v>0.27905535859326402</v>
      </c>
    </row>
    <row r="69" spans="1:16" x14ac:dyDescent="0.2">
      <c r="A69" t="s">
        <v>67</v>
      </c>
      <c r="B69" t="s">
        <v>70</v>
      </c>
      <c r="C69">
        <v>6</v>
      </c>
      <c r="D69" t="s">
        <v>108</v>
      </c>
      <c r="E69" t="s">
        <v>105</v>
      </c>
      <c r="F69" t="s">
        <v>95</v>
      </c>
      <c r="G69">
        <v>320</v>
      </c>
      <c r="H69">
        <v>0</v>
      </c>
      <c r="I69" t="str">
        <f>OutputTable[[#This Row],[ProjectName]]&amp;OutputTable[[#This Row],[Name]]&amp;OutputTable[[#This Row],[Type]]&amp;OutputTable[[#This Row],[Source]]</f>
        <v>Unnamed ProjectCooker.NumberSeizedTotal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285.66666666666669</v>
      </c>
      <c r="L69" cm="1">
        <f t="array" ref="L69">IFERROR(_xlfn.STDEV.S(IF((OutputTable[GroupByKey]=OutputTable[[#This Row],[GroupByKey]]),(OutputTable[GroupByKey]=OutputTable[[#This Row],[GroupByKey]])*OutputTable[RecordedValue])),0)</f>
        <v>12.949060233064802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69" cm="1">
        <f t="array" ref="O69">MIN(IF((OutputTable[GroupByKey]=OutputTable[[#This Row],[GroupByKey]]),(OutputTable[GroupByKey]=OutputTable[[#This Row],[GroupByKey]])*OutputTable[RecordedValue]))</f>
        <v>264</v>
      </c>
      <c r="P69" cm="1">
        <f t="array" ref="P69">MAX(IF((OutputTable[GroupByKey]=OutputTable[[#This Row],[GroupByKey]]),(OutputTable[GroupByKey]=OutputTable[[#This Row],[GroupByKey]])*OutputTable[RecordedValue]))</f>
        <v>320</v>
      </c>
    </row>
    <row r="70" spans="1:16" x14ac:dyDescent="0.2">
      <c r="A70" t="s">
        <v>67</v>
      </c>
      <c r="B70" t="s">
        <v>70</v>
      </c>
      <c r="C70">
        <v>6</v>
      </c>
      <c r="D70" t="s">
        <v>109</v>
      </c>
      <c r="E70" t="s">
        <v>107</v>
      </c>
      <c r="F70" t="s">
        <v>95</v>
      </c>
      <c r="G70">
        <v>0.68450730949604099</v>
      </c>
      <c r="H70">
        <v>0</v>
      </c>
      <c r="I70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0.62721981794251769</v>
      </c>
      <c r="L70" cm="1">
        <f t="array" ref="L70">IFERROR(_xlfn.STDEV.S(IF((OutputTable[GroupByKey]=OutputTable[[#This Row],[GroupByKey]]),(OutputTable[GroupByKey]=OutputTable[[#This Row],[GroupByKey]])*OutputTable[RecordedValue])),0)</f>
        <v>2.6376107220918699E-2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70" cm="1">
        <f t="array" ref="O70">MIN(IF((OutputTable[GroupByKey]=OutputTable[[#This Row],[GroupByKey]]),(OutputTable[GroupByKey]=OutputTable[[#This Row],[GroupByKey]])*OutputTable[RecordedValue]))</f>
        <v>0.58256422876290004</v>
      </c>
      <c r="P70" cm="1">
        <f t="array" ref="P70">MAX(IF((OutputTable[GroupByKey]=OutputTable[[#This Row],[GroupByKey]]),(OutputTable[GroupByKey]=OutputTable[[#This Row],[GroupByKey]])*OutputTable[RecordedValue]))</f>
        <v>0.68643238055161704</v>
      </c>
    </row>
    <row r="71" spans="1:16" x14ac:dyDescent="0.2">
      <c r="A71" t="s">
        <v>67</v>
      </c>
      <c r="B71" t="s">
        <v>70</v>
      </c>
      <c r="C71">
        <v>6</v>
      </c>
      <c r="D71" t="s">
        <v>110</v>
      </c>
      <c r="E71" t="s">
        <v>111</v>
      </c>
      <c r="F71" t="s">
        <v>76</v>
      </c>
      <c r="G71">
        <v>958</v>
      </c>
      <c r="H71">
        <v>0</v>
      </c>
      <c r="I71" t="str">
        <f>OutputTable[[#This Row],[ProjectName]]&amp;OutputTable[[#This Row],[Name]]&amp;OutputTable[[#This Row],[Type]]&amp;OutputTable[[#This Row],[Source]]</f>
        <v>Unnamed ProjectCustomer.NumberInNumber InEntity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855.93333333333328</v>
      </c>
      <c r="L71" cm="1">
        <f t="array" ref="L71">IFERROR(_xlfn.STDEV.S(IF((OutputTable[GroupByKey]=OutputTable[[#This Row],[GroupByKey]]),(OutputTable[GroupByKey]=OutputTable[[#This Row],[GroupByKey]])*OutputTable[RecordedValue])),0)</f>
        <v>38.659373073509371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71" cm="1">
        <f t="array" ref="O71">MIN(IF((OutputTable[GroupByKey]=OutputTable[[#This Row],[GroupByKey]]),(OutputTable[GroupByKey]=OutputTable[[#This Row],[GroupByKey]])*OutputTable[RecordedValue]))</f>
        <v>792</v>
      </c>
      <c r="P71" cm="1">
        <f t="array" ref="P71">MAX(IF((OutputTable[GroupByKey]=OutputTable[[#This Row],[GroupByKey]]),(OutputTable[GroupByKey]=OutputTable[[#This Row],[GroupByKey]])*OutputTable[RecordedValue]))</f>
        <v>958</v>
      </c>
    </row>
    <row r="72" spans="1:16" x14ac:dyDescent="0.2">
      <c r="A72" t="s">
        <v>67</v>
      </c>
      <c r="B72" t="s">
        <v>70</v>
      </c>
      <c r="C72">
        <v>6</v>
      </c>
      <c r="D72" t="s">
        <v>112</v>
      </c>
      <c r="E72" t="s">
        <v>113</v>
      </c>
      <c r="F72" t="s">
        <v>76</v>
      </c>
      <c r="G72">
        <v>954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ProjectCustomer.NumberOutNumber OutEntity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855.3</v>
      </c>
      <c r="L72" cm="1">
        <f t="array" ref="L72">IFERROR(_xlfn.STDEV.S(IF((OutputTable[GroupByKey]=OutputTable[[#This Row],[GroupByKey]]),(OutputTable[GroupByKey]=OutputTable[[#This Row],[GroupByKey]])*OutputTable[RecordedValue])),0)</f>
        <v>38.322722169527033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72" cm="1">
        <f t="array" ref="O72">MIN(IF((OutputTable[GroupByKey]=OutputTable[[#This Row],[GroupByKey]]),(OutputTable[GroupByKey]=OutputTable[[#This Row],[GroupByKey]])*OutputTable[RecordedValue]))</f>
        <v>798</v>
      </c>
      <c r="P72" cm="1">
        <f t="array" ref="P72">MAX(IF((OutputTable[GroupByKey]=OutputTable[[#This Row],[GroupByKey]]),(OutputTable[GroupByKey]=OutputTable[[#This Row],[GroupByKey]])*OutputTable[RecordedValue]))</f>
        <v>954</v>
      </c>
    </row>
    <row r="73" spans="1:16" x14ac:dyDescent="0.2">
      <c r="A73" t="s">
        <v>67</v>
      </c>
      <c r="B73" t="s">
        <v>70</v>
      </c>
      <c r="C73">
        <v>6</v>
      </c>
      <c r="D73" t="s">
        <v>114</v>
      </c>
      <c r="E73" t="s">
        <v>105</v>
      </c>
      <c r="F73" t="s">
        <v>95</v>
      </c>
      <c r="G73">
        <v>393</v>
      </c>
      <c r="H73">
        <v>0</v>
      </c>
      <c r="I73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344.6</v>
      </c>
      <c r="L73" cm="1">
        <f t="array" ref="L73">IFERROR(_xlfn.STDEV.S(IF((OutputTable[GroupByKey]=OutputTable[[#This Row],[GroupByKey]]),(OutputTable[GroupByKey]=OutputTable[[#This Row],[GroupByKey]])*OutputTable[RecordedValue])),0)</f>
        <v>21.890952311479008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73" cm="1">
        <f t="array" ref="O73">MIN(IF((OutputTable[GroupByKey]=OutputTable[[#This Row],[GroupByKey]]),(OutputTable[GroupByKey]=OutputTable[[#This Row],[GroupByKey]])*OutputTable[RecordedValue]))</f>
        <v>311</v>
      </c>
      <c r="P73" cm="1">
        <f t="array" ref="P73">MAX(IF((OutputTable[GroupByKey]=OutputTable[[#This Row],[GroupByKey]]),(OutputTable[GroupByKey]=OutputTable[[#This Row],[GroupByKey]])*OutputTable[RecordedValue]))</f>
        <v>396</v>
      </c>
    </row>
    <row r="74" spans="1:16" x14ac:dyDescent="0.2">
      <c r="A74" t="s">
        <v>67</v>
      </c>
      <c r="B74" t="s">
        <v>70</v>
      </c>
      <c r="C74">
        <v>6</v>
      </c>
      <c r="D74" t="s">
        <v>115</v>
      </c>
      <c r="E74" t="s">
        <v>107</v>
      </c>
      <c r="F74" t="s">
        <v>95</v>
      </c>
      <c r="G74">
        <v>2.1546052631579E-3</v>
      </c>
      <c r="H74">
        <v>0</v>
      </c>
      <c r="I74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1.889307012236451E-3</v>
      </c>
      <c r="L74" cm="1">
        <f t="array" ref="L74">IFERROR(_xlfn.STDEV.S(IF((OutputTable[GroupByKey]=OutputTable[[#This Row],[GroupByKey]]),(OutputTable[GroupByKey]=OutputTable[[#This Row],[GroupByKey]])*OutputTable[RecordedValue])),0)</f>
        <v>1.2015303758165521E-4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74" cm="1">
        <f t="array" ref="O74">MIN(IF((OutputTable[GroupByKey]=OutputTable[[#This Row],[GroupByKey]]),(OutputTable[GroupByKey]=OutputTable[[#This Row],[GroupByKey]])*OutputTable[RecordedValue]))</f>
        <v>1.70504385964912E-3</v>
      </c>
      <c r="P74" cm="1">
        <f t="array" ref="P74">MAX(IF((OutputTable[GroupByKey]=OutputTable[[#This Row],[GroupByKey]]),(OutputTable[GroupByKey]=OutputTable[[#This Row],[GroupByKey]])*OutputTable[RecordedValue]))</f>
        <v>2.17031677925951E-3</v>
      </c>
    </row>
    <row r="75" spans="1:16" x14ac:dyDescent="0.2">
      <c r="A75" t="s">
        <v>67</v>
      </c>
      <c r="B75" t="s">
        <v>70</v>
      </c>
      <c r="C75">
        <v>6</v>
      </c>
      <c r="D75" t="s">
        <v>116</v>
      </c>
      <c r="E75" t="s">
        <v>105</v>
      </c>
      <c r="F75" t="s">
        <v>95</v>
      </c>
      <c r="G75">
        <v>245</v>
      </c>
      <c r="H75">
        <v>0</v>
      </c>
      <c r="I75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225.93333333333334</v>
      </c>
      <c r="L75" cm="1">
        <f t="array" ref="L75">IFERROR(_xlfn.STDEV.S(IF((OutputTable[GroupByKey]=OutputTable[[#This Row],[GroupByKey]]),(OutputTable[GroupByKey]=OutputTable[[#This Row],[GroupByKey]])*OutputTable[RecordedValue])),0)</f>
        <v>12.403929670244338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75" cm="1">
        <f t="array" ref="O75">MIN(IF((OutputTable[GroupByKey]=OutputTable[[#This Row],[GroupByKey]]),(OutputTable[GroupByKey]=OutputTable[[#This Row],[GroupByKey]])*OutputTable[RecordedValue]))</f>
        <v>205</v>
      </c>
      <c r="P75" cm="1">
        <f t="array" ref="P75">MAX(IF((OutputTable[GroupByKey]=OutputTable[[#This Row],[GroupByKey]]),(OutputTable[GroupByKey]=OutputTable[[#This Row],[GroupByKey]])*OutputTable[RecordedValue]))</f>
        <v>253</v>
      </c>
    </row>
    <row r="76" spans="1:16" x14ac:dyDescent="0.2">
      <c r="A76" t="s">
        <v>67</v>
      </c>
      <c r="B76" t="s">
        <v>70</v>
      </c>
      <c r="C76">
        <v>6</v>
      </c>
      <c r="D76" t="s">
        <v>117</v>
      </c>
      <c r="E76" t="s">
        <v>107</v>
      </c>
      <c r="F76" t="s">
        <v>95</v>
      </c>
      <c r="G76">
        <v>5.3660199612322402E-3</v>
      </c>
      <c r="H76">
        <v>0</v>
      </c>
      <c r="I76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4.9565971649701106E-3</v>
      </c>
      <c r="L76" cm="1">
        <f t="array" ref="L76">IFERROR(_xlfn.STDEV.S(IF((OutputTable[GroupByKey]=OutputTable[[#This Row],[GroupByKey]]),(OutputTable[GroupByKey]=OutputTable[[#This Row],[GroupByKey]])*OutputTable[RecordedValue])),0)</f>
        <v>2.7167433725199517E-4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76" cm="1">
        <f t="array" ref="O76">MIN(IF((OutputTable[GroupByKey]=OutputTable[[#This Row],[GroupByKey]]),(OutputTable[GroupByKey]=OutputTable[[#This Row],[GroupByKey]])*OutputTable[RecordedValue]))</f>
        <v>4.4956140350877203E-3</v>
      </c>
      <c r="P76" cm="1">
        <f t="array" ref="P76">MAX(IF((OutputTable[GroupByKey]=OutputTable[[#This Row],[GroupByKey]]),(OutputTable[GroupByKey]=OutputTable[[#This Row],[GroupByKey]])*OutputTable[RecordedValue]))</f>
        <v>5.5482456140350904E-3</v>
      </c>
    </row>
    <row r="77" spans="1:16" x14ac:dyDescent="0.2">
      <c r="A77" t="s">
        <v>67</v>
      </c>
      <c r="B77" t="s">
        <v>70</v>
      </c>
      <c r="C77">
        <v>6</v>
      </c>
      <c r="D77" t="s">
        <v>118</v>
      </c>
      <c r="E77" t="s">
        <v>113</v>
      </c>
      <c r="F77" t="s">
        <v>119</v>
      </c>
      <c r="G77">
        <v>318</v>
      </c>
      <c r="H77">
        <v>0</v>
      </c>
      <c r="I77" t="str">
        <f>OutputTable[[#This Row],[ProjectName]]&amp;OutputTable[[#This Row],[Name]]&amp;OutputTable[[#This Row],[Type]]&amp;OutputTable[[#This Row],[Source]]</f>
        <v>Unnamed ProjectSystem.NumberOutNumber OutSystem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285.3</v>
      </c>
      <c r="L77" cm="1">
        <f t="array" ref="L77">IFERROR(_xlfn.STDEV.S(IF((OutputTable[GroupByKey]=OutputTable[[#This Row],[GroupByKey]]),(OutputTable[GroupByKey]=OutputTable[[#This Row],[GroupByKey]])*OutputTable[RecordedValue])),0)</f>
        <v>12.739160368585981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77" cm="1">
        <f t="array" ref="O77">MIN(IF((OutputTable[GroupByKey]=OutputTable[[#This Row],[GroupByKey]]),(OutputTable[GroupByKey]=OutputTable[[#This Row],[GroupByKey]])*OutputTable[RecordedValue]))</f>
        <v>266</v>
      </c>
      <c r="P77" cm="1">
        <f t="array" ref="P77">MAX(IF((OutputTable[GroupByKey]=OutputTable[[#This Row],[GroupByKey]]),(OutputTable[GroupByKey]=OutputTable[[#This Row],[GroupByKey]])*OutputTable[RecordedValue]))</f>
        <v>318</v>
      </c>
    </row>
    <row r="78" spans="1:16" x14ac:dyDescent="0.2">
      <c r="A78" t="s">
        <v>67</v>
      </c>
      <c r="B78" t="s">
        <v>70</v>
      </c>
      <c r="C78">
        <v>6</v>
      </c>
      <c r="D78" t="s">
        <v>120</v>
      </c>
      <c r="E78" t="s">
        <v>105</v>
      </c>
      <c r="F78" t="s">
        <v>95</v>
      </c>
      <c r="G78">
        <v>160</v>
      </c>
      <c r="H78">
        <v>0</v>
      </c>
      <c r="I78" t="str">
        <f>OutputTable[[#This Row],[ProjectName]]&amp;OutputTable[[#This Row],[Name]]&amp;OutputTable[[#This Row],[Type]]&amp;OutputTable[[#This Row],[Source]]</f>
        <v>Unnamed ProjectWaiter.NumberSeizedTotal Number SeizedResource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142.66666666666666</v>
      </c>
      <c r="L78" cm="1">
        <f t="array" ref="L78">IFERROR(_xlfn.STDEV.S(IF((OutputTable[GroupByKey]=OutputTable[[#This Row],[GroupByKey]]),(OutputTable[GroupByKey]=OutputTable[[#This Row],[GroupByKey]])*OutputTable[RecordedValue])),0)</f>
        <v>6.4505190025531167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78" cm="1">
        <f t="array" ref="O78">MIN(IF((OutputTable[GroupByKey]=OutputTable[[#This Row],[GroupByKey]]),(OutputTable[GroupByKey]=OutputTable[[#This Row],[GroupByKey]])*OutputTable[RecordedValue]))</f>
        <v>132</v>
      </c>
      <c r="P78" cm="1">
        <f t="array" ref="P78">MAX(IF((OutputTable[GroupByKey]=OutputTable[[#This Row],[GroupByKey]]),(OutputTable[GroupByKey]=OutputTable[[#This Row],[GroupByKey]])*OutputTable[RecordedValue]))</f>
        <v>160</v>
      </c>
    </row>
    <row r="79" spans="1:16" x14ac:dyDescent="0.2">
      <c r="A79" t="s">
        <v>67</v>
      </c>
      <c r="B79" t="s">
        <v>70</v>
      </c>
      <c r="C79">
        <v>6</v>
      </c>
      <c r="D79" t="s">
        <v>121</v>
      </c>
      <c r="E79" t="s">
        <v>107</v>
      </c>
      <c r="F79" t="s">
        <v>95</v>
      </c>
      <c r="G79">
        <v>9.2534326714405798E-2</v>
      </c>
      <c r="H79">
        <v>0</v>
      </c>
      <c r="I79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8.3509459606410805E-2</v>
      </c>
      <c r="L79" cm="1">
        <f t="array" ref="L79">IFERROR(_xlfn.STDEV.S(IF((OutputTable[GroupByKey]=OutputTable[[#This Row],[GroupByKey]]),(OutputTable[GroupByKey]=OutputTable[[#This Row],[GroupByKey]])*OutputTable[RecordedValue])),0)</f>
        <v>3.5452891325333867E-3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79" cm="1">
        <f t="array" ref="O79">MIN(IF((OutputTable[GroupByKey]=OutputTable[[#This Row],[GroupByKey]]),(OutputTable[GroupByKey]=OutputTable[[#This Row],[GroupByKey]])*OutputTable[RecordedValue]))</f>
        <v>7.7176470357847096E-2</v>
      </c>
      <c r="P79" cm="1">
        <f t="array" ref="P79">MAX(IF((OutputTable[GroupByKey]=OutputTable[[#This Row],[GroupByKey]]),(OutputTable[GroupByKey]=OutputTable[[#This Row],[GroupByKey]])*OutputTable[RecordedValue]))</f>
        <v>9.2534326714405798E-2</v>
      </c>
    </row>
    <row r="80" spans="1:16" x14ac:dyDescent="0.2">
      <c r="A80" t="s">
        <v>67</v>
      </c>
      <c r="B80" t="s">
        <v>70</v>
      </c>
      <c r="C80">
        <v>7</v>
      </c>
      <c r="D80" t="s">
        <v>104</v>
      </c>
      <c r="E80" t="s">
        <v>105</v>
      </c>
      <c r="F80" t="s">
        <v>95</v>
      </c>
      <c r="G80">
        <v>266</v>
      </c>
      <c r="H80">
        <v>0</v>
      </c>
      <c r="I80" t="str">
        <f>OutputTable[[#This Row],[ProjectName]]&amp;OutputTable[[#This Row],[Name]]&amp;OutputTable[[#This Row],[Type]]&amp;OutputTable[[#This Row],[Source]]</f>
        <v>Unnamed ProjectCleaner.NumberSeizedTotal Number SeizedResource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285.39999999999998</v>
      </c>
      <c r="L80" cm="1">
        <f t="array" ref="L80">IFERROR(_xlfn.STDEV.S(IF((OutputTable[GroupByKey]=OutputTable[[#This Row],[GroupByKey]]),(OutputTable[GroupByKey]=OutputTable[[#This Row],[GroupByKey]])*OutputTable[RecordedValue])),0)</f>
        <v>12.88302812979555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80" cm="1">
        <f t="array" ref="O80">MIN(IF((OutputTable[GroupByKey]=OutputTable[[#This Row],[GroupByKey]]),(OutputTable[GroupByKey]=OutputTable[[#This Row],[GroupByKey]])*OutputTable[RecordedValue]))</f>
        <v>266</v>
      </c>
      <c r="P80" cm="1">
        <f t="array" ref="P80">MAX(IF((OutputTable[GroupByKey]=OutputTable[[#This Row],[GroupByKey]]),(OutputTable[GroupByKey]=OutputTable[[#This Row],[GroupByKey]])*OutputTable[RecordedValue]))</f>
        <v>318</v>
      </c>
    </row>
    <row r="81" spans="1:16" x14ac:dyDescent="0.2">
      <c r="A81" t="s">
        <v>67</v>
      </c>
      <c r="B81" t="s">
        <v>70</v>
      </c>
      <c r="C81">
        <v>7</v>
      </c>
      <c r="D81" t="s">
        <v>106</v>
      </c>
      <c r="E81" t="s">
        <v>107</v>
      </c>
      <c r="F81" t="s">
        <v>95</v>
      </c>
      <c r="G81">
        <v>0.233333333333333</v>
      </c>
      <c r="H81">
        <v>0</v>
      </c>
      <c r="I81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0.25031804088290305</v>
      </c>
      <c r="L81" cm="1">
        <f t="array" ref="L81">IFERROR(_xlfn.STDEV.S(IF((OutputTable[GroupByKey]=OutputTable[[#This Row],[GroupByKey]]),(OutputTable[GroupByKey]=OutputTable[[#This Row],[GroupByKey]])*OutputTable[RecordedValue])),0)</f>
        <v>1.1255778929137084E-2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81" cm="1">
        <f t="array" ref="O81">MIN(IF((OutputTable[GroupByKey]=OutputTable[[#This Row],[GroupByKey]]),(OutputTable[GroupByKey]=OutputTable[[#This Row],[GroupByKey]])*OutputTable[RecordedValue]))</f>
        <v>0.233333333333333</v>
      </c>
      <c r="P81" cm="1">
        <f t="array" ref="P81">MAX(IF((OutputTable[GroupByKey]=OutputTable[[#This Row],[GroupByKey]]),(OutputTable[GroupByKey]=OutputTable[[#This Row],[GroupByKey]])*OutputTable[RecordedValue]))</f>
        <v>0.27905535859326402</v>
      </c>
    </row>
    <row r="82" spans="1:16" x14ac:dyDescent="0.2">
      <c r="A82" t="s">
        <v>67</v>
      </c>
      <c r="B82" t="s">
        <v>70</v>
      </c>
      <c r="C82">
        <v>7</v>
      </c>
      <c r="D82" t="s">
        <v>108</v>
      </c>
      <c r="E82" t="s">
        <v>105</v>
      </c>
      <c r="F82" t="s">
        <v>95</v>
      </c>
      <c r="G82">
        <v>264</v>
      </c>
      <c r="H82">
        <v>0</v>
      </c>
      <c r="I82" t="str">
        <f>OutputTable[[#This Row],[ProjectName]]&amp;OutputTable[[#This Row],[Name]]&amp;OutputTable[[#This Row],[Type]]&amp;OutputTable[[#This Row],[Source]]</f>
        <v>Unnamed ProjectCooker.NumberSeizedTotal Number SeizedResource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285.66666666666669</v>
      </c>
      <c r="L82" cm="1">
        <f t="array" ref="L82">IFERROR(_xlfn.STDEV.S(IF((OutputTable[GroupByKey]=OutputTable[[#This Row],[GroupByKey]]),(OutputTable[GroupByKey]=OutputTable[[#This Row],[GroupByKey]])*OutputTable[RecordedValue])),0)</f>
        <v>12.949060233064802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82" cm="1">
        <f t="array" ref="O82">MIN(IF((OutputTable[GroupByKey]=OutputTable[[#This Row],[GroupByKey]]),(OutputTable[GroupByKey]=OutputTable[[#This Row],[GroupByKey]])*OutputTable[RecordedValue]))</f>
        <v>264</v>
      </c>
      <c r="P82" cm="1">
        <f t="array" ref="P82">MAX(IF((OutputTable[GroupByKey]=OutputTable[[#This Row],[GroupByKey]]),(OutputTable[GroupByKey]=OutputTable[[#This Row],[GroupByKey]])*OutputTable[RecordedValue]))</f>
        <v>320</v>
      </c>
    </row>
    <row r="83" spans="1:16" x14ac:dyDescent="0.2">
      <c r="A83" t="s">
        <v>67</v>
      </c>
      <c r="B83" t="s">
        <v>70</v>
      </c>
      <c r="C83">
        <v>7</v>
      </c>
      <c r="D83" t="s">
        <v>109</v>
      </c>
      <c r="E83" t="s">
        <v>107</v>
      </c>
      <c r="F83" t="s">
        <v>95</v>
      </c>
      <c r="G83">
        <v>0.58256422876290004</v>
      </c>
      <c r="H83">
        <v>0</v>
      </c>
      <c r="I83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0.62721981794251769</v>
      </c>
      <c r="L83" cm="1">
        <f t="array" ref="L83">IFERROR(_xlfn.STDEV.S(IF((OutputTable[GroupByKey]=OutputTable[[#This Row],[GroupByKey]]),(OutputTable[GroupByKey]=OutputTable[[#This Row],[GroupByKey]])*OutputTable[RecordedValue])),0)</f>
        <v>2.6376107220918699E-2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83" cm="1">
        <f t="array" ref="O83">MIN(IF((OutputTable[GroupByKey]=OutputTable[[#This Row],[GroupByKey]]),(OutputTable[GroupByKey]=OutputTable[[#This Row],[GroupByKey]])*OutputTable[RecordedValue]))</f>
        <v>0.58256422876290004</v>
      </c>
      <c r="P83" cm="1">
        <f t="array" ref="P83">MAX(IF((OutputTable[GroupByKey]=OutputTable[[#This Row],[GroupByKey]]),(OutputTable[GroupByKey]=OutputTable[[#This Row],[GroupByKey]])*OutputTable[RecordedValue]))</f>
        <v>0.68643238055161704</v>
      </c>
    </row>
    <row r="84" spans="1:16" x14ac:dyDescent="0.2">
      <c r="A84" t="s">
        <v>67</v>
      </c>
      <c r="B84" t="s">
        <v>70</v>
      </c>
      <c r="C84">
        <v>7</v>
      </c>
      <c r="D84" t="s">
        <v>110</v>
      </c>
      <c r="E84" t="s">
        <v>111</v>
      </c>
      <c r="F84" t="s">
        <v>76</v>
      </c>
      <c r="G84">
        <v>792</v>
      </c>
      <c r="H84">
        <v>0</v>
      </c>
      <c r="I84" t="str">
        <f>OutputTable[[#This Row],[ProjectName]]&amp;OutputTable[[#This Row],[Name]]&amp;OutputTable[[#This Row],[Type]]&amp;OutputTable[[#This Row],[Source]]</f>
        <v>Unnamed ProjectCustomer.NumberInNumber InEntity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855.93333333333328</v>
      </c>
      <c r="L84" cm="1">
        <f t="array" ref="L84">IFERROR(_xlfn.STDEV.S(IF((OutputTable[GroupByKey]=OutputTable[[#This Row],[GroupByKey]]),(OutputTable[GroupByKey]=OutputTable[[#This Row],[GroupByKey]])*OutputTable[RecordedValue])),0)</f>
        <v>38.659373073509371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84" cm="1">
        <f t="array" ref="O84">MIN(IF((OutputTable[GroupByKey]=OutputTable[[#This Row],[GroupByKey]]),(OutputTable[GroupByKey]=OutputTable[[#This Row],[GroupByKey]])*OutputTable[RecordedValue]))</f>
        <v>792</v>
      </c>
      <c r="P84" cm="1">
        <f t="array" ref="P84">MAX(IF((OutputTable[GroupByKey]=OutputTable[[#This Row],[GroupByKey]]),(OutputTable[GroupByKey]=OutputTable[[#This Row],[GroupByKey]])*OutputTable[RecordedValue]))</f>
        <v>958</v>
      </c>
    </row>
    <row r="85" spans="1:16" x14ac:dyDescent="0.2">
      <c r="A85" t="s">
        <v>67</v>
      </c>
      <c r="B85" t="s">
        <v>70</v>
      </c>
      <c r="C85">
        <v>7</v>
      </c>
      <c r="D85" t="s">
        <v>112</v>
      </c>
      <c r="E85" t="s">
        <v>113</v>
      </c>
      <c r="F85" t="s">
        <v>76</v>
      </c>
      <c r="G85">
        <v>798</v>
      </c>
      <c r="H85">
        <v>0</v>
      </c>
      <c r="I85" t="str">
        <f>OutputTable[[#This Row],[ProjectName]]&amp;OutputTable[[#This Row],[Name]]&amp;OutputTable[[#This Row],[Type]]&amp;OutputTable[[#This Row],[Source]]</f>
        <v>Unnamed ProjectCustomer.NumberOutNumber OutEntity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855.3</v>
      </c>
      <c r="L85" cm="1">
        <f t="array" ref="L85">IFERROR(_xlfn.STDEV.S(IF((OutputTable[GroupByKey]=OutputTable[[#This Row],[GroupByKey]]),(OutputTable[GroupByKey]=OutputTable[[#This Row],[GroupByKey]])*OutputTable[RecordedValue])),0)</f>
        <v>38.322722169527033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85" cm="1">
        <f t="array" ref="O85">MIN(IF((OutputTable[GroupByKey]=OutputTable[[#This Row],[GroupByKey]]),(OutputTable[GroupByKey]=OutputTable[[#This Row],[GroupByKey]])*OutputTable[RecordedValue]))</f>
        <v>798</v>
      </c>
      <c r="P85" cm="1">
        <f t="array" ref="P85">MAX(IF((OutputTable[GroupByKey]=OutputTable[[#This Row],[GroupByKey]]),(OutputTable[GroupByKey]=OutputTable[[#This Row],[GroupByKey]])*OutputTable[RecordedValue]))</f>
        <v>954</v>
      </c>
    </row>
    <row r="86" spans="1:16" x14ac:dyDescent="0.2">
      <c r="A86" t="s">
        <v>67</v>
      </c>
      <c r="B86" t="s">
        <v>70</v>
      </c>
      <c r="C86">
        <v>7</v>
      </c>
      <c r="D86" t="s">
        <v>114</v>
      </c>
      <c r="E86" t="s">
        <v>105</v>
      </c>
      <c r="F86" t="s">
        <v>95</v>
      </c>
      <c r="G86">
        <v>315</v>
      </c>
      <c r="H86">
        <v>0</v>
      </c>
      <c r="I86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344.6</v>
      </c>
      <c r="L86" cm="1">
        <f t="array" ref="L86">IFERROR(_xlfn.STDEV.S(IF((OutputTable[GroupByKey]=OutputTable[[#This Row],[GroupByKey]]),(OutputTable[GroupByKey]=OutputTable[[#This Row],[GroupByKey]])*OutputTable[RecordedValue])),0)</f>
        <v>21.890952311479008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86" cm="1">
        <f t="array" ref="O86">MIN(IF((OutputTable[GroupByKey]=OutputTable[[#This Row],[GroupByKey]]),(OutputTable[GroupByKey]=OutputTable[[#This Row],[GroupByKey]])*OutputTable[RecordedValue]))</f>
        <v>311</v>
      </c>
      <c r="P86" cm="1">
        <f t="array" ref="P86">MAX(IF((OutputTable[GroupByKey]=OutputTable[[#This Row],[GroupByKey]]),(OutputTable[GroupByKey]=OutputTable[[#This Row],[GroupByKey]])*OutputTable[RecordedValue]))</f>
        <v>396</v>
      </c>
    </row>
    <row r="87" spans="1:16" x14ac:dyDescent="0.2">
      <c r="A87" t="s">
        <v>67</v>
      </c>
      <c r="B87" t="s">
        <v>70</v>
      </c>
      <c r="C87">
        <v>7</v>
      </c>
      <c r="D87" t="s">
        <v>115</v>
      </c>
      <c r="E87" t="s">
        <v>107</v>
      </c>
      <c r="F87" t="s">
        <v>95</v>
      </c>
      <c r="G87">
        <v>1.7269736842105299E-3</v>
      </c>
      <c r="H87">
        <v>0</v>
      </c>
      <c r="I87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1.889307012236451E-3</v>
      </c>
      <c r="L87" cm="1">
        <f t="array" ref="L87">IFERROR(_xlfn.STDEV.S(IF((OutputTable[GroupByKey]=OutputTable[[#This Row],[GroupByKey]]),(OutputTable[GroupByKey]=OutputTable[[#This Row],[GroupByKey]])*OutputTable[RecordedValue])),0)</f>
        <v>1.2015303758165521E-4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87" cm="1">
        <f t="array" ref="O87">MIN(IF((OutputTable[GroupByKey]=OutputTable[[#This Row],[GroupByKey]]),(OutputTable[GroupByKey]=OutputTable[[#This Row],[GroupByKey]])*OutputTable[RecordedValue]))</f>
        <v>1.70504385964912E-3</v>
      </c>
      <c r="P87" cm="1">
        <f t="array" ref="P87">MAX(IF((OutputTable[GroupByKey]=OutputTable[[#This Row],[GroupByKey]]),(OutputTable[GroupByKey]=OutputTable[[#This Row],[GroupByKey]])*OutputTable[RecordedValue]))</f>
        <v>2.17031677925951E-3</v>
      </c>
    </row>
    <row r="88" spans="1:16" x14ac:dyDescent="0.2">
      <c r="A88" t="s">
        <v>67</v>
      </c>
      <c r="B88" t="s">
        <v>70</v>
      </c>
      <c r="C88">
        <v>7</v>
      </c>
      <c r="D88" t="s">
        <v>116</v>
      </c>
      <c r="E88" t="s">
        <v>105</v>
      </c>
      <c r="F88" t="s">
        <v>95</v>
      </c>
      <c r="G88">
        <v>213</v>
      </c>
      <c r="H88">
        <v>0</v>
      </c>
      <c r="I88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225.93333333333334</v>
      </c>
      <c r="L88" cm="1">
        <f t="array" ref="L88">IFERROR(_xlfn.STDEV.S(IF((OutputTable[GroupByKey]=OutputTable[[#This Row],[GroupByKey]]),(OutputTable[GroupByKey]=OutputTable[[#This Row],[GroupByKey]])*OutputTable[RecordedValue])),0)</f>
        <v>12.403929670244338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88" cm="1">
        <f t="array" ref="O88">MIN(IF((OutputTable[GroupByKey]=OutputTable[[#This Row],[GroupByKey]]),(OutputTable[GroupByKey]=OutputTable[[#This Row],[GroupByKey]])*OutputTable[RecordedValue]))</f>
        <v>205</v>
      </c>
      <c r="P88" cm="1">
        <f t="array" ref="P88">MAX(IF((OutputTable[GroupByKey]=OutputTable[[#This Row],[GroupByKey]]),(OutputTable[GroupByKey]=OutputTable[[#This Row],[GroupByKey]])*OutputTable[RecordedValue]))</f>
        <v>253</v>
      </c>
    </row>
    <row r="89" spans="1:16" x14ac:dyDescent="0.2">
      <c r="A89" t="s">
        <v>67</v>
      </c>
      <c r="B89" t="s">
        <v>70</v>
      </c>
      <c r="C89">
        <v>7</v>
      </c>
      <c r="D89" t="s">
        <v>117</v>
      </c>
      <c r="E89" t="s">
        <v>107</v>
      </c>
      <c r="F89" t="s">
        <v>95</v>
      </c>
      <c r="G89">
        <v>4.6710526315789499E-3</v>
      </c>
      <c r="H89">
        <v>0</v>
      </c>
      <c r="I89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4.9565971649701106E-3</v>
      </c>
      <c r="L89" cm="1">
        <f t="array" ref="L89">IFERROR(_xlfn.STDEV.S(IF((OutputTable[GroupByKey]=OutputTable[[#This Row],[GroupByKey]]),(OutputTable[GroupByKey]=OutputTable[[#This Row],[GroupByKey]])*OutputTable[RecordedValue])),0)</f>
        <v>2.7167433725199517E-4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89" cm="1">
        <f t="array" ref="O89">MIN(IF((OutputTable[GroupByKey]=OutputTable[[#This Row],[GroupByKey]]),(OutputTable[GroupByKey]=OutputTable[[#This Row],[GroupByKey]])*OutputTable[RecordedValue]))</f>
        <v>4.4956140350877203E-3</v>
      </c>
      <c r="P89" cm="1">
        <f t="array" ref="P89">MAX(IF((OutputTable[GroupByKey]=OutputTable[[#This Row],[GroupByKey]]),(OutputTable[GroupByKey]=OutputTable[[#This Row],[GroupByKey]])*OutputTable[RecordedValue]))</f>
        <v>5.5482456140350904E-3</v>
      </c>
    </row>
    <row r="90" spans="1:16" x14ac:dyDescent="0.2">
      <c r="A90" t="s">
        <v>67</v>
      </c>
      <c r="B90" t="s">
        <v>70</v>
      </c>
      <c r="C90">
        <v>7</v>
      </c>
      <c r="D90" t="s">
        <v>118</v>
      </c>
      <c r="E90" t="s">
        <v>113</v>
      </c>
      <c r="F90" t="s">
        <v>119</v>
      </c>
      <c r="G90">
        <v>266</v>
      </c>
      <c r="H90">
        <v>0</v>
      </c>
      <c r="I90" t="str">
        <f>OutputTable[[#This Row],[ProjectName]]&amp;OutputTable[[#This Row],[Name]]&amp;OutputTable[[#This Row],[Type]]&amp;OutputTable[[#This Row],[Source]]</f>
        <v>Unnamed ProjectSystem.NumberOutNumber OutSystem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285.3</v>
      </c>
      <c r="L90" cm="1">
        <f t="array" ref="L90">IFERROR(_xlfn.STDEV.S(IF((OutputTable[GroupByKey]=OutputTable[[#This Row],[GroupByKey]]),(OutputTable[GroupByKey]=OutputTable[[#This Row],[GroupByKey]])*OutputTable[RecordedValue])),0)</f>
        <v>12.739160368585981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90" cm="1">
        <f t="array" ref="O90">MIN(IF((OutputTable[GroupByKey]=OutputTable[[#This Row],[GroupByKey]]),(OutputTable[GroupByKey]=OutputTable[[#This Row],[GroupByKey]])*OutputTable[RecordedValue]))</f>
        <v>266</v>
      </c>
      <c r="P90" cm="1">
        <f t="array" ref="P90">MAX(IF((OutputTable[GroupByKey]=OutputTable[[#This Row],[GroupByKey]]),(OutputTable[GroupByKey]=OutputTable[[#This Row],[GroupByKey]])*OutputTable[RecordedValue]))</f>
        <v>318</v>
      </c>
    </row>
    <row r="91" spans="1:16" x14ac:dyDescent="0.2">
      <c r="A91" t="s">
        <v>67</v>
      </c>
      <c r="B91" t="s">
        <v>70</v>
      </c>
      <c r="C91">
        <v>7</v>
      </c>
      <c r="D91" t="s">
        <v>120</v>
      </c>
      <c r="E91" t="s">
        <v>105</v>
      </c>
      <c r="F91" t="s">
        <v>95</v>
      </c>
      <c r="G91">
        <v>132</v>
      </c>
      <c r="H91">
        <v>0</v>
      </c>
      <c r="I91" t="str">
        <f>OutputTable[[#This Row],[ProjectName]]&amp;OutputTable[[#This Row],[Name]]&amp;OutputTable[[#This Row],[Type]]&amp;OutputTable[[#This Row],[Source]]</f>
        <v>Unnamed ProjectWaiter.NumberSeizedTotal Number SeizedResource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142.66666666666666</v>
      </c>
      <c r="L91" cm="1">
        <f t="array" ref="L91">IFERROR(_xlfn.STDEV.S(IF((OutputTable[GroupByKey]=OutputTable[[#This Row],[GroupByKey]]),(OutputTable[GroupByKey]=OutputTable[[#This Row],[GroupByKey]])*OutputTable[RecordedValue])),0)</f>
        <v>6.4505190025531167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91" cm="1">
        <f t="array" ref="O91">MIN(IF((OutputTable[GroupByKey]=OutputTable[[#This Row],[GroupByKey]]),(OutputTable[GroupByKey]=OutputTable[[#This Row],[GroupByKey]])*OutputTable[RecordedValue]))</f>
        <v>132</v>
      </c>
      <c r="P91" cm="1">
        <f t="array" ref="P91">MAX(IF((OutputTable[GroupByKey]=OutputTable[[#This Row],[GroupByKey]]),(OutputTable[GroupByKey]=OutputTable[[#This Row],[GroupByKey]])*OutputTable[RecordedValue]))</f>
        <v>160</v>
      </c>
    </row>
    <row r="92" spans="1:16" x14ac:dyDescent="0.2">
      <c r="A92" t="s">
        <v>67</v>
      </c>
      <c r="B92" t="s">
        <v>70</v>
      </c>
      <c r="C92">
        <v>7</v>
      </c>
      <c r="D92" t="s">
        <v>121</v>
      </c>
      <c r="E92" t="s">
        <v>107</v>
      </c>
      <c r="F92" t="s">
        <v>95</v>
      </c>
      <c r="G92">
        <v>7.7629714253625401E-2</v>
      </c>
      <c r="H92">
        <v>0</v>
      </c>
      <c r="I92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8.3509459606410805E-2</v>
      </c>
      <c r="L92" cm="1">
        <f t="array" ref="L92">IFERROR(_xlfn.STDEV.S(IF((OutputTable[GroupByKey]=OutputTable[[#This Row],[GroupByKey]]),(OutputTable[GroupByKey]=OutputTable[[#This Row],[GroupByKey]])*OutputTable[RecordedValue])),0)</f>
        <v>3.5452891325333867E-3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92" cm="1">
        <f t="array" ref="O92">MIN(IF((OutputTable[GroupByKey]=OutputTable[[#This Row],[GroupByKey]]),(OutputTable[GroupByKey]=OutputTable[[#This Row],[GroupByKey]])*OutputTable[RecordedValue]))</f>
        <v>7.7176470357847096E-2</v>
      </c>
      <c r="P92" cm="1">
        <f t="array" ref="P92">MAX(IF((OutputTable[GroupByKey]=OutputTable[[#This Row],[GroupByKey]]),(OutputTable[GroupByKey]=OutputTable[[#This Row],[GroupByKey]])*OutputTable[RecordedValue]))</f>
        <v>9.2534326714405798E-2</v>
      </c>
    </row>
    <row r="93" spans="1:16" x14ac:dyDescent="0.2">
      <c r="A93" t="s">
        <v>67</v>
      </c>
      <c r="B93" t="s">
        <v>70</v>
      </c>
      <c r="C93">
        <v>8</v>
      </c>
      <c r="D93" t="s">
        <v>104</v>
      </c>
      <c r="E93" t="s">
        <v>105</v>
      </c>
      <c r="F93" t="s">
        <v>95</v>
      </c>
      <c r="G93">
        <v>283</v>
      </c>
      <c r="H93">
        <v>0</v>
      </c>
      <c r="I93" t="str">
        <f>OutputTable[[#This Row],[ProjectName]]&amp;OutputTable[[#This Row],[Name]]&amp;OutputTable[[#This Row],[Type]]&amp;OutputTable[[#This Row],[Source]]</f>
        <v>Unnamed ProjectCleaner.NumberSeizedTotal Number SeizedResource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285.39999999999998</v>
      </c>
      <c r="L93" cm="1">
        <f t="array" ref="L93">IFERROR(_xlfn.STDEV.S(IF((OutputTable[GroupByKey]=OutputTable[[#This Row],[GroupByKey]]),(OutputTable[GroupByKey]=OutputTable[[#This Row],[GroupByKey]])*OutputTable[RecordedValue])),0)</f>
        <v>12.88302812979555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93" cm="1">
        <f t="array" ref="O93">MIN(IF((OutputTable[GroupByKey]=OutputTable[[#This Row],[GroupByKey]]),(OutputTable[GroupByKey]=OutputTable[[#This Row],[GroupByKey]])*OutputTable[RecordedValue]))</f>
        <v>266</v>
      </c>
      <c r="P93" cm="1">
        <f t="array" ref="P93">MAX(IF((OutputTable[GroupByKey]=OutputTable[[#This Row],[GroupByKey]]),(OutputTable[GroupByKey]=OutputTable[[#This Row],[GroupByKey]])*OutputTable[RecordedValue]))</f>
        <v>318</v>
      </c>
    </row>
    <row r="94" spans="1:16" x14ac:dyDescent="0.2">
      <c r="A94" t="s">
        <v>67</v>
      </c>
      <c r="B94" t="s">
        <v>70</v>
      </c>
      <c r="C94">
        <v>8</v>
      </c>
      <c r="D94" t="s">
        <v>106</v>
      </c>
      <c r="E94" t="s">
        <v>107</v>
      </c>
      <c r="F94" t="s">
        <v>95</v>
      </c>
      <c r="G94">
        <v>0.24824561403508799</v>
      </c>
      <c r="H94">
        <v>0</v>
      </c>
      <c r="I94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0.25031804088290305</v>
      </c>
      <c r="L94" cm="1">
        <f t="array" ref="L94">IFERROR(_xlfn.STDEV.S(IF((OutputTable[GroupByKey]=OutputTable[[#This Row],[GroupByKey]]),(OutputTable[GroupByKey]=OutputTable[[#This Row],[GroupByKey]])*OutputTable[RecordedValue])),0)</f>
        <v>1.1255778929137084E-2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94" cm="1">
        <f t="array" ref="O94">MIN(IF((OutputTable[GroupByKey]=OutputTable[[#This Row],[GroupByKey]]),(OutputTable[GroupByKey]=OutputTable[[#This Row],[GroupByKey]])*OutputTable[RecordedValue]))</f>
        <v>0.233333333333333</v>
      </c>
      <c r="P94" cm="1">
        <f t="array" ref="P94">MAX(IF((OutputTable[GroupByKey]=OutputTable[[#This Row],[GroupByKey]]),(OutputTable[GroupByKey]=OutputTable[[#This Row],[GroupByKey]])*OutputTable[RecordedValue]))</f>
        <v>0.27905535859326402</v>
      </c>
    </row>
    <row r="95" spans="1:16" x14ac:dyDescent="0.2">
      <c r="A95" t="s">
        <v>67</v>
      </c>
      <c r="B95" t="s">
        <v>70</v>
      </c>
      <c r="C95">
        <v>8</v>
      </c>
      <c r="D95" t="s">
        <v>108</v>
      </c>
      <c r="E95" t="s">
        <v>105</v>
      </c>
      <c r="F95" t="s">
        <v>95</v>
      </c>
      <c r="G95">
        <v>284</v>
      </c>
      <c r="H95">
        <v>0</v>
      </c>
      <c r="I95" t="str">
        <f>OutputTable[[#This Row],[ProjectName]]&amp;OutputTable[[#This Row],[Name]]&amp;OutputTable[[#This Row],[Type]]&amp;OutputTable[[#This Row],[Source]]</f>
        <v>Unnamed ProjectCooker.NumberSeizedTotal Number SeizedResource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285.66666666666669</v>
      </c>
      <c r="L95" cm="1">
        <f t="array" ref="L95">IFERROR(_xlfn.STDEV.S(IF((OutputTable[GroupByKey]=OutputTable[[#This Row],[GroupByKey]]),(OutputTable[GroupByKey]=OutputTable[[#This Row],[GroupByKey]])*OutputTable[RecordedValue])),0)</f>
        <v>12.949060233064802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95" cm="1">
        <f t="array" ref="O95">MIN(IF((OutputTable[GroupByKey]=OutputTable[[#This Row],[GroupByKey]]),(OutputTable[GroupByKey]=OutputTable[[#This Row],[GroupByKey]])*OutputTable[RecordedValue]))</f>
        <v>264</v>
      </c>
      <c r="P95" cm="1">
        <f t="array" ref="P95">MAX(IF((OutputTable[GroupByKey]=OutputTable[[#This Row],[GroupByKey]]),(OutputTable[GroupByKey]=OutputTable[[#This Row],[GroupByKey]])*OutputTable[RecordedValue]))</f>
        <v>320</v>
      </c>
    </row>
    <row r="96" spans="1:16" x14ac:dyDescent="0.2">
      <c r="A96" t="s">
        <v>67</v>
      </c>
      <c r="B96" t="s">
        <v>70</v>
      </c>
      <c r="C96">
        <v>8</v>
      </c>
      <c r="D96" t="s">
        <v>109</v>
      </c>
      <c r="E96" t="s">
        <v>107</v>
      </c>
      <c r="F96" t="s">
        <v>95</v>
      </c>
      <c r="G96">
        <v>0.62569627948534701</v>
      </c>
      <c r="H96">
        <v>0</v>
      </c>
      <c r="I96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0.62721981794251769</v>
      </c>
      <c r="L96" cm="1">
        <f t="array" ref="L96">IFERROR(_xlfn.STDEV.S(IF((OutputTable[GroupByKey]=OutputTable[[#This Row],[GroupByKey]]),(OutputTable[GroupByKey]=OutputTable[[#This Row],[GroupByKey]])*OutputTable[RecordedValue])),0)</f>
        <v>2.6376107220918699E-2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96" cm="1">
        <f t="array" ref="O96">MIN(IF((OutputTable[GroupByKey]=OutputTable[[#This Row],[GroupByKey]]),(OutputTable[GroupByKey]=OutputTable[[#This Row],[GroupByKey]])*OutputTable[RecordedValue]))</f>
        <v>0.58256422876290004</v>
      </c>
      <c r="P96" cm="1">
        <f t="array" ref="P96">MAX(IF((OutputTable[GroupByKey]=OutputTable[[#This Row],[GroupByKey]]),(OutputTable[GroupByKey]=OutputTable[[#This Row],[GroupByKey]])*OutputTable[RecordedValue]))</f>
        <v>0.68643238055161704</v>
      </c>
    </row>
    <row r="97" spans="1:16" x14ac:dyDescent="0.2">
      <c r="A97" t="s">
        <v>67</v>
      </c>
      <c r="B97" t="s">
        <v>70</v>
      </c>
      <c r="C97">
        <v>8</v>
      </c>
      <c r="D97" t="s">
        <v>110</v>
      </c>
      <c r="E97" t="s">
        <v>111</v>
      </c>
      <c r="F97" t="s">
        <v>76</v>
      </c>
      <c r="G97">
        <v>852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855.93333333333328</v>
      </c>
      <c r="L97" cm="1">
        <f t="array" ref="L97">IFERROR(_xlfn.STDEV.S(IF((OutputTable[GroupByKey]=OutputTable[[#This Row],[GroupByKey]]),(OutputTable[GroupByKey]=OutputTable[[#This Row],[GroupByKey]])*OutputTable[RecordedValue])),0)</f>
        <v>38.659373073509371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97" cm="1">
        <f t="array" ref="O97">MIN(IF((OutputTable[GroupByKey]=OutputTable[[#This Row],[GroupByKey]]),(OutputTable[GroupByKey]=OutputTable[[#This Row],[GroupByKey]])*OutputTable[RecordedValue]))</f>
        <v>792</v>
      </c>
      <c r="P97" cm="1">
        <f t="array" ref="P97">MAX(IF((OutputTable[GroupByKey]=OutputTable[[#This Row],[GroupByKey]]),(OutputTable[GroupByKey]=OutputTable[[#This Row],[GroupByKey]])*OutputTable[RecordedValue]))</f>
        <v>958</v>
      </c>
    </row>
    <row r="98" spans="1:16" x14ac:dyDescent="0.2">
      <c r="A98" t="s">
        <v>67</v>
      </c>
      <c r="B98" t="s">
        <v>70</v>
      </c>
      <c r="C98">
        <v>8</v>
      </c>
      <c r="D98" t="s">
        <v>112</v>
      </c>
      <c r="E98" t="s">
        <v>113</v>
      </c>
      <c r="F98" t="s">
        <v>76</v>
      </c>
      <c r="G98">
        <v>851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855.3</v>
      </c>
      <c r="L98" cm="1">
        <f t="array" ref="L98">IFERROR(_xlfn.STDEV.S(IF((OutputTable[GroupByKey]=OutputTable[[#This Row],[GroupByKey]]),(OutputTable[GroupByKey]=OutputTable[[#This Row],[GroupByKey]])*OutputTable[RecordedValue])),0)</f>
        <v>38.322722169527033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98" cm="1">
        <f t="array" ref="O98">MIN(IF((OutputTable[GroupByKey]=OutputTable[[#This Row],[GroupByKey]]),(OutputTable[GroupByKey]=OutputTable[[#This Row],[GroupByKey]])*OutputTable[RecordedValue]))</f>
        <v>798</v>
      </c>
      <c r="P98" cm="1">
        <f t="array" ref="P98">MAX(IF((OutputTable[GroupByKey]=OutputTable[[#This Row],[GroupByKey]]),(OutputTable[GroupByKey]=OutputTable[[#This Row],[GroupByKey]])*OutputTable[RecordedValue]))</f>
        <v>954</v>
      </c>
    </row>
    <row r="99" spans="1:16" x14ac:dyDescent="0.2">
      <c r="A99" t="s">
        <v>67</v>
      </c>
      <c r="B99" t="s">
        <v>70</v>
      </c>
      <c r="C99">
        <v>8</v>
      </c>
      <c r="D99" t="s">
        <v>114</v>
      </c>
      <c r="E99" t="s">
        <v>105</v>
      </c>
      <c r="F99" t="s">
        <v>95</v>
      </c>
      <c r="G99">
        <v>344</v>
      </c>
      <c r="H99">
        <v>0</v>
      </c>
      <c r="I99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344.6</v>
      </c>
      <c r="L99" cm="1">
        <f t="array" ref="L99">IFERROR(_xlfn.STDEV.S(IF((OutputTable[GroupByKey]=OutputTable[[#This Row],[GroupByKey]]),(OutputTable[GroupByKey]=OutputTable[[#This Row],[GroupByKey]])*OutputTable[RecordedValue])),0)</f>
        <v>21.890952311479008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99" cm="1">
        <f t="array" ref="O99">MIN(IF((OutputTable[GroupByKey]=OutputTable[[#This Row],[GroupByKey]]),(OutputTable[GroupByKey]=OutputTable[[#This Row],[GroupByKey]])*OutputTable[RecordedValue]))</f>
        <v>311</v>
      </c>
      <c r="P99" cm="1">
        <f t="array" ref="P99">MAX(IF((OutputTable[GroupByKey]=OutputTable[[#This Row],[GroupByKey]]),(OutputTable[GroupByKey]=OutputTable[[#This Row],[GroupByKey]])*OutputTable[RecordedValue]))</f>
        <v>396</v>
      </c>
    </row>
    <row r="100" spans="1:16" x14ac:dyDescent="0.2">
      <c r="A100" t="s">
        <v>67</v>
      </c>
      <c r="B100" t="s">
        <v>70</v>
      </c>
      <c r="C100">
        <v>8</v>
      </c>
      <c r="D100" t="s">
        <v>115</v>
      </c>
      <c r="E100" t="s">
        <v>107</v>
      </c>
      <c r="F100" t="s">
        <v>95</v>
      </c>
      <c r="G100">
        <v>1.8859649122806999E-3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1.889307012236451E-3</v>
      </c>
      <c r="L100" cm="1">
        <f t="array" ref="L100">IFERROR(_xlfn.STDEV.S(IF((OutputTable[GroupByKey]=OutputTable[[#This Row],[GroupByKey]]),(OutputTable[GroupByKey]=OutputTable[[#This Row],[GroupByKey]])*OutputTable[RecordedValue])),0)</f>
        <v>1.2015303758165521E-4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100" cm="1">
        <f t="array" ref="O100">MIN(IF((OutputTable[GroupByKey]=OutputTable[[#This Row],[GroupByKey]]),(OutputTable[GroupByKey]=OutputTable[[#This Row],[GroupByKey]])*OutputTable[RecordedValue]))</f>
        <v>1.70504385964912E-3</v>
      </c>
      <c r="P100" cm="1">
        <f t="array" ref="P100">MAX(IF((OutputTable[GroupByKey]=OutputTable[[#This Row],[GroupByKey]]),(OutputTable[GroupByKey]=OutputTable[[#This Row],[GroupByKey]])*OutputTable[RecordedValue]))</f>
        <v>2.17031677925951E-3</v>
      </c>
    </row>
    <row r="101" spans="1:16" x14ac:dyDescent="0.2">
      <c r="A101" t="s">
        <v>67</v>
      </c>
      <c r="B101" t="s">
        <v>70</v>
      </c>
      <c r="C101">
        <v>8</v>
      </c>
      <c r="D101" t="s">
        <v>116</v>
      </c>
      <c r="E101" t="s">
        <v>105</v>
      </c>
      <c r="F101" t="s">
        <v>95</v>
      </c>
      <c r="G101">
        <v>224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225.93333333333334</v>
      </c>
      <c r="L101" cm="1">
        <f t="array" ref="L101">IFERROR(_xlfn.STDEV.S(IF((OutputTable[GroupByKey]=OutputTable[[#This Row],[GroupByKey]]),(OutputTable[GroupByKey]=OutputTable[[#This Row],[GroupByKey]])*OutputTable[RecordedValue])),0)</f>
        <v>12.403929670244338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101" cm="1">
        <f t="array" ref="O101">MIN(IF((OutputTable[GroupByKey]=OutputTable[[#This Row],[GroupByKey]]),(OutputTable[GroupByKey]=OutputTable[[#This Row],[GroupByKey]])*OutputTable[RecordedValue]))</f>
        <v>205</v>
      </c>
      <c r="P101" cm="1">
        <f t="array" ref="P101">MAX(IF((OutputTable[GroupByKey]=OutputTable[[#This Row],[GroupByKey]]),(OutputTable[GroupByKey]=OutputTable[[#This Row],[GroupByKey]])*OutputTable[RecordedValue]))</f>
        <v>253</v>
      </c>
    </row>
    <row r="102" spans="1:16" x14ac:dyDescent="0.2">
      <c r="A102" t="s">
        <v>67</v>
      </c>
      <c r="B102" t="s">
        <v>70</v>
      </c>
      <c r="C102">
        <v>8</v>
      </c>
      <c r="D102" t="s">
        <v>117</v>
      </c>
      <c r="E102" t="s">
        <v>107</v>
      </c>
      <c r="F102" t="s">
        <v>95</v>
      </c>
      <c r="G102">
        <v>4.9122807017543896E-3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4.9565971649701106E-3</v>
      </c>
      <c r="L102" cm="1">
        <f t="array" ref="L102">IFERROR(_xlfn.STDEV.S(IF((OutputTable[GroupByKey]=OutputTable[[#This Row],[GroupByKey]]),(OutputTable[GroupByKey]=OutputTable[[#This Row],[GroupByKey]])*OutputTable[RecordedValue])),0)</f>
        <v>2.7167433725199517E-4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102" cm="1">
        <f t="array" ref="O102">MIN(IF((OutputTable[GroupByKey]=OutputTable[[#This Row],[GroupByKey]]),(OutputTable[GroupByKey]=OutputTable[[#This Row],[GroupByKey]])*OutputTable[RecordedValue]))</f>
        <v>4.4956140350877203E-3</v>
      </c>
      <c r="P102" cm="1">
        <f t="array" ref="P102">MAX(IF((OutputTable[GroupByKey]=OutputTable[[#This Row],[GroupByKey]]),(OutputTable[GroupByKey]=OutputTable[[#This Row],[GroupByKey]])*OutputTable[RecordedValue]))</f>
        <v>5.5482456140350904E-3</v>
      </c>
    </row>
    <row r="103" spans="1:16" x14ac:dyDescent="0.2">
      <c r="A103" t="s">
        <v>67</v>
      </c>
      <c r="B103" t="s">
        <v>70</v>
      </c>
      <c r="C103">
        <v>8</v>
      </c>
      <c r="D103" t="s">
        <v>118</v>
      </c>
      <c r="E103" t="s">
        <v>113</v>
      </c>
      <c r="F103" t="s">
        <v>119</v>
      </c>
      <c r="G103">
        <v>283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ProjectSystem.NumberOutNumber OutSystem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285.3</v>
      </c>
      <c r="L103" cm="1">
        <f t="array" ref="L103">IFERROR(_xlfn.STDEV.S(IF((OutputTable[GroupByKey]=OutputTable[[#This Row],[GroupByKey]]),(OutputTable[GroupByKey]=OutputTable[[#This Row],[GroupByKey]])*OutputTable[RecordedValue])),0)</f>
        <v>12.739160368585981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103" cm="1">
        <f t="array" ref="O103">MIN(IF((OutputTable[GroupByKey]=OutputTable[[#This Row],[GroupByKey]]),(OutputTable[GroupByKey]=OutputTable[[#This Row],[GroupByKey]])*OutputTable[RecordedValue]))</f>
        <v>266</v>
      </c>
      <c r="P103" cm="1">
        <f t="array" ref="P103">MAX(IF((OutputTable[GroupByKey]=OutputTable[[#This Row],[GroupByKey]]),(OutputTable[GroupByKey]=OutputTable[[#This Row],[GroupByKey]])*OutputTable[RecordedValue]))</f>
        <v>318</v>
      </c>
    </row>
    <row r="104" spans="1:16" x14ac:dyDescent="0.2">
      <c r="A104" t="s">
        <v>67</v>
      </c>
      <c r="B104" t="s">
        <v>70</v>
      </c>
      <c r="C104">
        <v>8</v>
      </c>
      <c r="D104" t="s">
        <v>120</v>
      </c>
      <c r="E104" t="s">
        <v>105</v>
      </c>
      <c r="F104" t="s">
        <v>95</v>
      </c>
      <c r="G104">
        <v>142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ProjectWaiter.NumberSeizedTotal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142.66666666666666</v>
      </c>
      <c r="L104" cm="1">
        <f t="array" ref="L104">IFERROR(_xlfn.STDEV.S(IF((OutputTable[GroupByKey]=OutputTable[[#This Row],[GroupByKey]]),(OutputTable[GroupByKey]=OutputTable[[#This Row],[GroupByKey]])*OutputTable[RecordedValue])),0)</f>
        <v>6.4505190025531167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104" cm="1">
        <f t="array" ref="O104">MIN(IF((OutputTable[GroupByKey]=OutputTable[[#This Row],[GroupByKey]]),(OutputTable[GroupByKey]=OutputTable[[#This Row],[GroupByKey]])*OutputTable[RecordedValue]))</f>
        <v>132</v>
      </c>
      <c r="P104" cm="1">
        <f t="array" ref="P104">MAX(IF((OutputTable[GroupByKey]=OutputTable[[#This Row],[GroupByKey]]),(OutputTable[GroupByKey]=OutputTable[[#This Row],[GroupByKey]])*OutputTable[RecordedValue]))</f>
        <v>160</v>
      </c>
    </row>
    <row r="105" spans="1:16" x14ac:dyDescent="0.2">
      <c r="A105" t="s">
        <v>67</v>
      </c>
      <c r="B105" t="s">
        <v>70</v>
      </c>
      <c r="C105">
        <v>8</v>
      </c>
      <c r="D105" t="s">
        <v>121</v>
      </c>
      <c r="E105" t="s">
        <v>107</v>
      </c>
      <c r="F105" t="s">
        <v>95</v>
      </c>
      <c r="G105">
        <v>8.4390036877900795E-2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8.3509459606410805E-2</v>
      </c>
      <c r="L105" cm="1">
        <f t="array" ref="L105">IFERROR(_xlfn.STDEV.S(IF((OutputTable[GroupByKey]=OutputTable[[#This Row],[GroupByKey]]),(OutputTable[GroupByKey]=OutputTable[[#This Row],[GroupByKey]])*OutputTable[RecordedValue])),0)</f>
        <v>3.5452891325333867E-3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105" cm="1">
        <f t="array" ref="O105">MIN(IF((OutputTable[GroupByKey]=OutputTable[[#This Row],[GroupByKey]]),(OutputTable[GroupByKey]=OutputTable[[#This Row],[GroupByKey]])*OutputTable[RecordedValue]))</f>
        <v>7.7176470357847096E-2</v>
      </c>
      <c r="P105" cm="1">
        <f t="array" ref="P105">MAX(IF((OutputTable[GroupByKey]=OutputTable[[#This Row],[GroupByKey]]),(OutputTable[GroupByKey]=OutputTable[[#This Row],[GroupByKey]])*OutputTable[RecordedValue]))</f>
        <v>9.2534326714405798E-2</v>
      </c>
    </row>
    <row r="106" spans="1:16" x14ac:dyDescent="0.2">
      <c r="A106" t="s">
        <v>67</v>
      </c>
      <c r="B106" t="s">
        <v>70</v>
      </c>
      <c r="C106">
        <v>9</v>
      </c>
      <c r="D106" t="s">
        <v>104</v>
      </c>
      <c r="E106" t="s">
        <v>105</v>
      </c>
      <c r="F106" t="s">
        <v>95</v>
      </c>
      <c r="G106">
        <v>289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ProjectCleaner.NumberSeizedTotal Number SeizedResource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285.39999999999998</v>
      </c>
      <c r="L106" cm="1">
        <f t="array" ref="L106">IFERROR(_xlfn.STDEV.S(IF((OutputTable[GroupByKey]=OutputTable[[#This Row],[GroupByKey]]),(OutputTable[GroupByKey]=OutputTable[[#This Row],[GroupByKey]])*OutputTable[RecordedValue])),0)</f>
        <v>12.88302812979555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106" cm="1">
        <f t="array" ref="O106">MIN(IF((OutputTable[GroupByKey]=OutputTable[[#This Row],[GroupByKey]]),(OutputTable[GroupByKey]=OutputTable[[#This Row],[GroupByKey]])*OutputTable[RecordedValue]))</f>
        <v>266</v>
      </c>
      <c r="P106" cm="1">
        <f t="array" ref="P106">MAX(IF((OutputTable[GroupByKey]=OutputTable[[#This Row],[GroupByKey]]),(OutputTable[GroupByKey]=OutputTable[[#This Row],[GroupByKey]])*OutputTable[RecordedValue]))</f>
        <v>318</v>
      </c>
    </row>
    <row r="107" spans="1:16" x14ac:dyDescent="0.2">
      <c r="A107" t="s">
        <v>67</v>
      </c>
      <c r="B107" t="s">
        <v>70</v>
      </c>
      <c r="C107">
        <v>9</v>
      </c>
      <c r="D107" t="s">
        <v>106</v>
      </c>
      <c r="E107" t="s">
        <v>107</v>
      </c>
      <c r="F107" t="s">
        <v>95</v>
      </c>
      <c r="G107">
        <v>0.25337380435043599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0.25031804088290305</v>
      </c>
      <c r="L107" cm="1">
        <f t="array" ref="L107">IFERROR(_xlfn.STDEV.S(IF((OutputTable[GroupByKey]=OutputTable[[#This Row],[GroupByKey]]),(OutputTable[GroupByKey]=OutputTable[[#This Row],[GroupByKey]])*OutputTable[RecordedValue])),0)</f>
        <v>1.1255778929137084E-2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107" cm="1">
        <f t="array" ref="O107">MIN(IF((OutputTable[GroupByKey]=OutputTable[[#This Row],[GroupByKey]]),(OutputTable[GroupByKey]=OutputTable[[#This Row],[GroupByKey]])*OutputTable[RecordedValue]))</f>
        <v>0.233333333333333</v>
      </c>
      <c r="P107" cm="1">
        <f t="array" ref="P107">MAX(IF((OutputTable[GroupByKey]=OutputTable[[#This Row],[GroupByKey]]),(OutputTable[GroupByKey]=OutputTable[[#This Row],[GroupByKey]])*OutputTable[RecordedValue]))</f>
        <v>0.27905535859326402</v>
      </c>
    </row>
    <row r="108" spans="1:16" x14ac:dyDescent="0.2">
      <c r="A108" t="s">
        <v>67</v>
      </c>
      <c r="B108" t="s">
        <v>70</v>
      </c>
      <c r="C108">
        <v>9</v>
      </c>
      <c r="D108" t="s">
        <v>108</v>
      </c>
      <c r="E108" t="s">
        <v>105</v>
      </c>
      <c r="F108" t="s">
        <v>95</v>
      </c>
      <c r="G108">
        <v>288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ProjectCooker.NumberSeizedTotal Number SeizedResource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285.66666666666669</v>
      </c>
      <c r="L108" cm="1">
        <f t="array" ref="L108">IFERROR(_xlfn.STDEV.S(IF((OutputTable[GroupByKey]=OutputTable[[#This Row],[GroupByKey]]),(OutputTable[GroupByKey]=OutputTable[[#This Row],[GroupByKey]])*OutputTable[RecordedValue])),0)</f>
        <v>12.949060233064802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108" cm="1">
        <f t="array" ref="O108">MIN(IF((OutputTable[GroupByKey]=OutputTable[[#This Row],[GroupByKey]]),(OutputTable[GroupByKey]=OutputTable[[#This Row],[GroupByKey]])*OutputTable[RecordedValue]))</f>
        <v>264</v>
      </c>
      <c r="P108" cm="1">
        <f t="array" ref="P108">MAX(IF((OutputTable[GroupByKey]=OutputTable[[#This Row],[GroupByKey]]),(OutputTable[GroupByKey]=OutputTable[[#This Row],[GroupByKey]])*OutputTable[RecordedValue]))</f>
        <v>320</v>
      </c>
    </row>
    <row r="109" spans="1:16" x14ac:dyDescent="0.2">
      <c r="A109" t="s">
        <v>67</v>
      </c>
      <c r="B109" t="s">
        <v>70</v>
      </c>
      <c r="C109">
        <v>9</v>
      </c>
      <c r="D109" t="s">
        <v>109</v>
      </c>
      <c r="E109" t="s">
        <v>107</v>
      </c>
      <c r="F109" t="s">
        <v>95</v>
      </c>
      <c r="G109">
        <v>0.62295007048234596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0.62721981794251769</v>
      </c>
      <c r="L109" cm="1">
        <f t="array" ref="L109">IFERROR(_xlfn.STDEV.S(IF((OutputTable[GroupByKey]=OutputTable[[#This Row],[GroupByKey]]),(OutputTable[GroupByKey]=OutputTable[[#This Row],[GroupByKey]])*OutputTable[RecordedValue])),0)</f>
        <v>2.6376107220918699E-2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109" cm="1">
        <f t="array" ref="O109">MIN(IF((OutputTable[GroupByKey]=OutputTable[[#This Row],[GroupByKey]]),(OutputTable[GroupByKey]=OutputTable[[#This Row],[GroupByKey]])*OutputTable[RecordedValue]))</f>
        <v>0.58256422876290004</v>
      </c>
      <c r="P109" cm="1">
        <f t="array" ref="P109">MAX(IF((OutputTable[GroupByKey]=OutputTable[[#This Row],[GroupByKey]]),(OutputTable[GroupByKey]=OutputTable[[#This Row],[GroupByKey]])*OutputTable[RecordedValue]))</f>
        <v>0.68643238055161704</v>
      </c>
    </row>
    <row r="110" spans="1:16" x14ac:dyDescent="0.2">
      <c r="A110" t="s">
        <v>67</v>
      </c>
      <c r="B110" t="s">
        <v>70</v>
      </c>
      <c r="C110">
        <v>9</v>
      </c>
      <c r="D110" t="s">
        <v>110</v>
      </c>
      <c r="E110" t="s">
        <v>111</v>
      </c>
      <c r="F110" t="s">
        <v>76</v>
      </c>
      <c r="G110">
        <v>863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ProjectCustomer.NumberInNumber InEntity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855.93333333333328</v>
      </c>
      <c r="L110" cm="1">
        <f t="array" ref="L110">IFERROR(_xlfn.STDEV.S(IF((OutputTable[GroupByKey]=OutputTable[[#This Row],[GroupByKey]]),(OutputTable[GroupByKey]=OutputTable[[#This Row],[GroupByKey]])*OutputTable[RecordedValue])),0)</f>
        <v>38.659373073509371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110" cm="1">
        <f t="array" ref="O110">MIN(IF((OutputTable[GroupByKey]=OutputTable[[#This Row],[GroupByKey]]),(OutputTable[GroupByKey]=OutputTable[[#This Row],[GroupByKey]])*OutputTable[RecordedValue]))</f>
        <v>792</v>
      </c>
      <c r="P110" cm="1">
        <f t="array" ref="P110">MAX(IF((OutputTable[GroupByKey]=OutputTable[[#This Row],[GroupByKey]]),(OutputTable[GroupByKey]=OutputTable[[#This Row],[GroupByKey]])*OutputTable[RecordedValue]))</f>
        <v>958</v>
      </c>
    </row>
    <row r="111" spans="1:16" x14ac:dyDescent="0.2">
      <c r="A111" t="s">
        <v>67</v>
      </c>
      <c r="B111" t="s">
        <v>70</v>
      </c>
      <c r="C111">
        <v>9</v>
      </c>
      <c r="D111" t="s">
        <v>112</v>
      </c>
      <c r="E111" t="s">
        <v>113</v>
      </c>
      <c r="F111" t="s">
        <v>76</v>
      </c>
      <c r="G111">
        <v>864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ProjectCustomer.NumberOutNumber OutEntity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855.3</v>
      </c>
      <c r="L111" cm="1">
        <f t="array" ref="L111">IFERROR(_xlfn.STDEV.S(IF((OutputTable[GroupByKey]=OutputTable[[#This Row],[GroupByKey]]),(OutputTable[GroupByKey]=OutputTable[[#This Row],[GroupByKey]])*OutputTable[RecordedValue])),0)</f>
        <v>38.322722169527033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111" cm="1">
        <f t="array" ref="O111">MIN(IF((OutputTable[GroupByKey]=OutputTable[[#This Row],[GroupByKey]]),(OutputTable[GroupByKey]=OutputTable[[#This Row],[GroupByKey]])*OutputTable[RecordedValue]))</f>
        <v>798</v>
      </c>
      <c r="P111" cm="1">
        <f t="array" ref="P111">MAX(IF((OutputTable[GroupByKey]=OutputTable[[#This Row],[GroupByKey]]),(OutputTable[GroupByKey]=OutputTable[[#This Row],[GroupByKey]])*OutputTable[RecordedValue]))</f>
        <v>954</v>
      </c>
    </row>
    <row r="112" spans="1:16" x14ac:dyDescent="0.2">
      <c r="A112" t="s">
        <v>67</v>
      </c>
      <c r="B112" t="s">
        <v>70</v>
      </c>
      <c r="C112">
        <v>9</v>
      </c>
      <c r="D112" t="s">
        <v>114</v>
      </c>
      <c r="E112" t="s">
        <v>105</v>
      </c>
      <c r="F112" t="s">
        <v>95</v>
      </c>
      <c r="G112">
        <v>342</v>
      </c>
      <c r="H112">
        <v>0</v>
      </c>
      <c r="I112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112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cm="1">
        <f t="array" ref="K112">IFERROR(AVERAGE(IF((OutputTable[GroupByKey]=OutputTable[[#This Row],[GroupByKey]]),(OutputTable[GroupByKey]=OutputTable[[#This Row],[GroupByKey]])*OutputTable[RecordedValue])),0)</f>
        <v>344.6</v>
      </c>
      <c r="L112" cm="1">
        <f t="array" ref="L112">IFERROR(_xlfn.STDEV.S(IF((OutputTable[GroupByKey]=OutputTable[[#This Row],[GroupByKey]]),(OutputTable[GroupByKey]=OutputTable[[#This Row],[GroupByKey]])*OutputTable[RecordedValue])),0)</f>
        <v>21.890952311479008</v>
      </c>
      <c r="M112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112" cm="1">
        <f t="array" ref="O112">MIN(IF((OutputTable[GroupByKey]=OutputTable[[#This Row],[GroupByKey]]),(OutputTable[GroupByKey]=OutputTable[[#This Row],[GroupByKey]])*OutputTable[RecordedValue]))</f>
        <v>311</v>
      </c>
      <c r="P112" cm="1">
        <f t="array" ref="P112">MAX(IF((OutputTable[GroupByKey]=OutputTable[[#This Row],[GroupByKey]]),(OutputTable[GroupByKey]=OutputTable[[#This Row],[GroupByKey]])*OutputTable[RecordedValue]))</f>
        <v>396</v>
      </c>
    </row>
    <row r="113" spans="1:16" x14ac:dyDescent="0.2">
      <c r="A113" t="s">
        <v>67</v>
      </c>
      <c r="B113" t="s">
        <v>70</v>
      </c>
      <c r="C113">
        <v>9</v>
      </c>
      <c r="D113" t="s">
        <v>115</v>
      </c>
      <c r="E113" t="s">
        <v>107</v>
      </c>
      <c r="F113" t="s">
        <v>95</v>
      </c>
      <c r="G113">
        <v>1.8749999999999999E-3</v>
      </c>
      <c r="H113">
        <v>0</v>
      </c>
      <c r="I113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113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cm="1">
        <f t="array" ref="K113">IFERROR(AVERAGE(IF((OutputTable[GroupByKey]=OutputTable[[#This Row],[GroupByKey]]),(OutputTable[GroupByKey]=OutputTable[[#This Row],[GroupByKey]])*OutputTable[RecordedValue])),0)</f>
        <v>1.889307012236451E-3</v>
      </c>
      <c r="L113" cm="1">
        <f t="array" ref="L113">IFERROR(_xlfn.STDEV.S(IF((OutputTable[GroupByKey]=OutputTable[[#This Row],[GroupByKey]]),(OutputTable[GroupByKey]=OutputTable[[#This Row],[GroupByKey]])*OutputTable[RecordedValue])),0)</f>
        <v>1.2015303758165521E-4</v>
      </c>
      <c r="M113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113" cm="1">
        <f t="array" ref="O113">MIN(IF((OutputTable[GroupByKey]=OutputTable[[#This Row],[GroupByKey]]),(OutputTable[GroupByKey]=OutputTable[[#This Row],[GroupByKey]])*OutputTable[RecordedValue]))</f>
        <v>1.70504385964912E-3</v>
      </c>
      <c r="P113" cm="1">
        <f t="array" ref="P113">MAX(IF((OutputTable[GroupByKey]=OutputTable[[#This Row],[GroupByKey]]),(OutputTable[GroupByKey]=OutputTable[[#This Row],[GroupByKey]])*OutputTable[RecordedValue]))</f>
        <v>2.17031677925951E-3</v>
      </c>
    </row>
    <row r="114" spans="1:16" x14ac:dyDescent="0.2">
      <c r="A114" t="s">
        <v>67</v>
      </c>
      <c r="B114" t="s">
        <v>70</v>
      </c>
      <c r="C114">
        <v>9</v>
      </c>
      <c r="D114" t="s">
        <v>116</v>
      </c>
      <c r="E114" t="s">
        <v>105</v>
      </c>
      <c r="F114" t="s">
        <v>95</v>
      </c>
      <c r="G114">
        <v>233</v>
      </c>
      <c r="H114">
        <v>0</v>
      </c>
      <c r="I114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114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cm="1">
        <f t="array" ref="K114">IFERROR(AVERAGE(IF((OutputTable[GroupByKey]=OutputTable[[#This Row],[GroupByKey]]),(OutputTable[GroupByKey]=OutputTable[[#This Row],[GroupByKey]])*OutputTable[RecordedValue])),0)</f>
        <v>225.93333333333334</v>
      </c>
      <c r="L114" cm="1">
        <f t="array" ref="L114">IFERROR(_xlfn.STDEV.S(IF((OutputTable[GroupByKey]=OutputTable[[#This Row],[GroupByKey]]),(OutputTable[GroupByKey]=OutputTable[[#This Row],[GroupByKey]])*OutputTable[RecordedValue])),0)</f>
        <v>12.403929670244338</v>
      </c>
      <c r="M114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114" cm="1">
        <f t="array" ref="O114">MIN(IF((OutputTable[GroupByKey]=OutputTable[[#This Row],[GroupByKey]]),(OutputTable[GroupByKey]=OutputTable[[#This Row],[GroupByKey]])*OutputTable[RecordedValue]))</f>
        <v>205</v>
      </c>
      <c r="P114" cm="1">
        <f t="array" ref="P114">MAX(IF((OutputTable[GroupByKey]=OutputTable[[#This Row],[GroupByKey]]),(OutputTable[GroupByKey]=OutputTable[[#This Row],[GroupByKey]])*OutputTable[RecordedValue]))</f>
        <v>253</v>
      </c>
    </row>
    <row r="115" spans="1:16" x14ac:dyDescent="0.2">
      <c r="A115" t="s">
        <v>67</v>
      </c>
      <c r="B115" t="s">
        <v>70</v>
      </c>
      <c r="C115">
        <v>9</v>
      </c>
      <c r="D115" t="s">
        <v>117</v>
      </c>
      <c r="E115" t="s">
        <v>107</v>
      </c>
      <c r="F115" t="s">
        <v>95</v>
      </c>
      <c r="G115">
        <v>5.1323542008876498E-3</v>
      </c>
      <c r="H115">
        <v>0</v>
      </c>
      <c r="I115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11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cm="1">
        <f t="array" ref="K115">IFERROR(AVERAGE(IF((OutputTable[GroupByKey]=OutputTable[[#This Row],[GroupByKey]]),(OutputTable[GroupByKey]=OutputTable[[#This Row],[GroupByKey]])*OutputTable[RecordedValue])),0)</f>
        <v>4.9565971649701106E-3</v>
      </c>
      <c r="L115" cm="1">
        <f t="array" ref="L115">IFERROR(_xlfn.STDEV.S(IF((OutputTable[GroupByKey]=OutputTable[[#This Row],[GroupByKey]]),(OutputTable[GroupByKey]=OutputTable[[#This Row],[GroupByKey]])*OutputTable[RecordedValue])),0)</f>
        <v>2.7167433725199517E-4</v>
      </c>
      <c r="M11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115" cm="1">
        <f t="array" ref="O115">MIN(IF((OutputTable[GroupByKey]=OutputTable[[#This Row],[GroupByKey]]),(OutputTable[GroupByKey]=OutputTable[[#This Row],[GroupByKey]])*OutputTable[RecordedValue]))</f>
        <v>4.4956140350877203E-3</v>
      </c>
      <c r="P115" cm="1">
        <f t="array" ref="P115">MAX(IF((OutputTable[GroupByKey]=OutputTable[[#This Row],[GroupByKey]]),(OutputTable[GroupByKey]=OutputTable[[#This Row],[GroupByKey]])*OutputTable[RecordedValue]))</f>
        <v>5.5482456140350904E-3</v>
      </c>
    </row>
    <row r="116" spans="1:16" x14ac:dyDescent="0.2">
      <c r="A116" t="s">
        <v>67</v>
      </c>
      <c r="B116" t="s">
        <v>70</v>
      </c>
      <c r="C116">
        <v>9</v>
      </c>
      <c r="D116" t="s">
        <v>118</v>
      </c>
      <c r="E116" t="s">
        <v>113</v>
      </c>
      <c r="F116" t="s">
        <v>119</v>
      </c>
      <c r="G116">
        <v>288</v>
      </c>
      <c r="H116">
        <v>0</v>
      </c>
      <c r="I116" t="str">
        <f>OutputTable[[#This Row],[ProjectName]]&amp;OutputTable[[#This Row],[Name]]&amp;OutputTable[[#This Row],[Type]]&amp;OutputTable[[#This Row],[Source]]</f>
        <v>Unnamed ProjectSystem.NumberOutNumber OutSystem</v>
      </c>
      <c r="J116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cm="1">
        <f t="array" ref="K116">IFERROR(AVERAGE(IF((OutputTable[GroupByKey]=OutputTable[[#This Row],[GroupByKey]]),(OutputTable[GroupByKey]=OutputTable[[#This Row],[GroupByKey]])*OutputTable[RecordedValue])),0)</f>
        <v>285.3</v>
      </c>
      <c r="L116" cm="1">
        <f t="array" ref="L116">IFERROR(_xlfn.STDEV.S(IF((OutputTable[GroupByKey]=OutputTable[[#This Row],[GroupByKey]]),(OutputTable[GroupByKey]=OutputTable[[#This Row],[GroupByKey]])*OutputTable[RecordedValue])),0)</f>
        <v>12.739160368585981</v>
      </c>
      <c r="M116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116" cm="1">
        <f t="array" ref="O116">MIN(IF((OutputTable[GroupByKey]=OutputTable[[#This Row],[GroupByKey]]),(OutputTable[GroupByKey]=OutputTable[[#This Row],[GroupByKey]])*OutputTable[RecordedValue]))</f>
        <v>266</v>
      </c>
      <c r="P116" cm="1">
        <f t="array" ref="P116">MAX(IF((OutputTable[GroupByKey]=OutputTable[[#This Row],[GroupByKey]]),(OutputTable[GroupByKey]=OutputTable[[#This Row],[GroupByKey]])*OutputTable[RecordedValue]))</f>
        <v>318</v>
      </c>
    </row>
    <row r="117" spans="1:16" x14ac:dyDescent="0.2">
      <c r="A117" t="s">
        <v>67</v>
      </c>
      <c r="B117" t="s">
        <v>70</v>
      </c>
      <c r="C117">
        <v>9</v>
      </c>
      <c r="D117" t="s">
        <v>120</v>
      </c>
      <c r="E117" t="s">
        <v>105</v>
      </c>
      <c r="F117" t="s">
        <v>95</v>
      </c>
      <c r="G117">
        <v>144</v>
      </c>
      <c r="H117">
        <v>0</v>
      </c>
      <c r="I117" t="str">
        <f>OutputTable[[#This Row],[ProjectName]]&amp;OutputTable[[#This Row],[Name]]&amp;OutputTable[[#This Row],[Type]]&amp;OutputTable[[#This Row],[Source]]</f>
        <v>Unnamed ProjectWaiter.NumberSeizedTotal Number SeizedResource</v>
      </c>
      <c r="J117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cm="1">
        <f t="array" ref="K117">IFERROR(AVERAGE(IF((OutputTable[GroupByKey]=OutputTable[[#This Row],[GroupByKey]]),(OutputTable[GroupByKey]=OutputTable[[#This Row],[GroupByKey]])*OutputTable[RecordedValue])),0)</f>
        <v>142.66666666666666</v>
      </c>
      <c r="L117" cm="1">
        <f t="array" ref="L117">IFERROR(_xlfn.STDEV.S(IF((OutputTable[GroupByKey]=OutputTable[[#This Row],[GroupByKey]]),(OutputTable[GroupByKey]=OutputTable[[#This Row],[GroupByKey]])*OutputTable[RecordedValue])),0)</f>
        <v>6.4505190025531167</v>
      </c>
      <c r="M117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117" cm="1">
        <f t="array" ref="O117">MIN(IF((OutputTable[GroupByKey]=OutputTable[[#This Row],[GroupByKey]]),(OutputTable[GroupByKey]=OutputTable[[#This Row],[GroupByKey]])*OutputTable[RecordedValue]))</f>
        <v>132</v>
      </c>
      <c r="P117" cm="1">
        <f t="array" ref="P117">MAX(IF((OutputTable[GroupByKey]=OutputTable[[#This Row],[GroupByKey]]),(OutputTable[GroupByKey]=OutputTable[[#This Row],[GroupByKey]])*OutputTable[RecordedValue]))</f>
        <v>160</v>
      </c>
    </row>
    <row r="118" spans="1:16" x14ac:dyDescent="0.2">
      <c r="A118" t="s">
        <v>67</v>
      </c>
      <c r="B118" t="s">
        <v>70</v>
      </c>
      <c r="C118">
        <v>9</v>
      </c>
      <c r="D118" t="s">
        <v>121</v>
      </c>
      <c r="E118" t="s">
        <v>107</v>
      </c>
      <c r="F118" t="s">
        <v>95</v>
      </c>
      <c r="G118">
        <v>8.3764622734738101E-2</v>
      </c>
      <c r="H118">
        <v>0</v>
      </c>
      <c r="I118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118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cm="1">
        <f t="array" ref="K118">IFERROR(AVERAGE(IF((OutputTable[GroupByKey]=OutputTable[[#This Row],[GroupByKey]]),(OutputTable[GroupByKey]=OutputTable[[#This Row],[GroupByKey]])*OutputTable[RecordedValue])),0)</f>
        <v>8.3509459606410805E-2</v>
      </c>
      <c r="L118" cm="1">
        <f t="array" ref="L118">IFERROR(_xlfn.STDEV.S(IF((OutputTable[GroupByKey]=OutputTable[[#This Row],[GroupByKey]]),(OutputTable[GroupByKey]=OutputTable[[#This Row],[GroupByKey]])*OutputTable[RecordedValue])),0)</f>
        <v>3.5452891325333867E-3</v>
      </c>
      <c r="M118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118" cm="1">
        <f t="array" ref="O118">MIN(IF((OutputTable[GroupByKey]=OutputTable[[#This Row],[GroupByKey]]),(OutputTable[GroupByKey]=OutputTable[[#This Row],[GroupByKey]])*OutputTable[RecordedValue]))</f>
        <v>7.7176470357847096E-2</v>
      </c>
      <c r="P118" cm="1">
        <f t="array" ref="P118">MAX(IF((OutputTable[GroupByKey]=OutputTable[[#This Row],[GroupByKey]]),(OutputTable[GroupByKey]=OutputTable[[#This Row],[GroupByKey]])*OutputTable[RecordedValue]))</f>
        <v>9.2534326714405798E-2</v>
      </c>
    </row>
    <row r="119" spans="1:16" x14ac:dyDescent="0.2">
      <c r="A119" t="s">
        <v>67</v>
      </c>
      <c r="B119" t="s">
        <v>70</v>
      </c>
      <c r="C119">
        <v>10</v>
      </c>
      <c r="D119" t="s">
        <v>104</v>
      </c>
      <c r="E119" t="s">
        <v>105</v>
      </c>
      <c r="F119" t="s">
        <v>95</v>
      </c>
      <c r="G119">
        <v>278</v>
      </c>
      <c r="H119">
        <v>0</v>
      </c>
      <c r="I119" t="str">
        <f>OutputTable[[#This Row],[ProjectName]]&amp;OutputTable[[#This Row],[Name]]&amp;OutputTable[[#This Row],[Type]]&amp;OutputTable[[#This Row],[Source]]</f>
        <v>Unnamed ProjectCleaner.NumberSeizedTotal Number SeizedResource</v>
      </c>
      <c r="J119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cm="1">
        <f t="array" ref="K119">IFERROR(AVERAGE(IF((OutputTable[GroupByKey]=OutputTable[[#This Row],[GroupByKey]]),(OutputTable[GroupByKey]=OutputTable[[#This Row],[GroupByKey]])*OutputTable[RecordedValue])),0)</f>
        <v>285.39999999999998</v>
      </c>
      <c r="L119" cm="1">
        <f t="array" ref="L119">IFERROR(_xlfn.STDEV.S(IF((OutputTable[GroupByKey]=OutputTable[[#This Row],[GroupByKey]]),(OutputTable[GroupByKey]=OutputTable[[#This Row],[GroupByKey]])*OutputTable[RecordedValue])),0)</f>
        <v>12.88302812979555</v>
      </c>
      <c r="M119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119" cm="1">
        <f t="array" ref="O119">MIN(IF((OutputTable[GroupByKey]=OutputTable[[#This Row],[GroupByKey]]),(OutputTable[GroupByKey]=OutputTable[[#This Row],[GroupByKey]])*OutputTable[RecordedValue]))</f>
        <v>266</v>
      </c>
      <c r="P119" cm="1">
        <f t="array" ref="P119">MAX(IF((OutputTable[GroupByKey]=OutputTable[[#This Row],[GroupByKey]]),(OutputTable[GroupByKey]=OutputTable[[#This Row],[GroupByKey]])*OutputTable[RecordedValue]))</f>
        <v>318</v>
      </c>
    </row>
    <row r="120" spans="1:16" x14ac:dyDescent="0.2">
      <c r="A120" t="s">
        <v>67</v>
      </c>
      <c r="B120" t="s">
        <v>70</v>
      </c>
      <c r="C120">
        <v>10</v>
      </c>
      <c r="D120" t="s">
        <v>106</v>
      </c>
      <c r="E120" t="s">
        <v>107</v>
      </c>
      <c r="F120" t="s">
        <v>95</v>
      </c>
      <c r="G120">
        <v>0.243859649122807</v>
      </c>
      <c r="H120">
        <v>0</v>
      </c>
      <c r="I120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120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cm="1">
        <f t="array" ref="K120">IFERROR(AVERAGE(IF((OutputTable[GroupByKey]=OutputTable[[#This Row],[GroupByKey]]),(OutputTable[GroupByKey]=OutputTable[[#This Row],[GroupByKey]])*OutputTable[RecordedValue])),0)</f>
        <v>0.25031804088290305</v>
      </c>
      <c r="L120" cm="1">
        <f t="array" ref="L120">IFERROR(_xlfn.STDEV.S(IF((OutputTable[GroupByKey]=OutputTable[[#This Row],[GroupByKey]]),(OutputTable[GroupByKey]=OutputTable[[#This Row],[GroupByKey]])*OutputTable[RecordedValue])),0)</f>
        <v>1.1255778929137084E-2</v>
      </c>
      <c r="M120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120" cm="1">
        <f t="array" ref="O120">MIN(IF((OutputTable[GroupByKey]=OutputTable[[#This Row],[GroupByKey]]),(OutputTable[GroupByKey]=OutputTable[[#This Row],[GroupByKey]])*OutputTable[RecordedValue]))</f>
        <v>0.233333333333333</v>
      </c>
      <c r="P120" cm="1">
        <f t="array" ref="P120">MAX(IF((OutputTable[GroupByKey]=OutputTable[[#This Row],[GroupByKey]]),(OutputTable[GroupByKey]=OutputTable[[#This Row],[GroupByKey]])*OutputTable[RecordedValue]))</f>
        <v>0.27905535859326402</v>
      </c>
    </row>
    <row r="121" spans="1:16" x14ac:dyDescent="0.2">
      <c r="A121" t="s">
        <v>67</v>
      </c>
      <c r="B121" t="s">
        <v>70</v>
      </c>
      <c r="C121">
        <v>10</v>
      </c>
      <c r="D121" t="s">
        <v>108</v>
      </c>
      <c r="E121" t="s">
        <v>105</v>
      </c>
      <c r="F121" t="s">
        <v>95</v>
      </c>
      <c r="G121">
        <v>276</v>
      </c>
      <c r="H121">
        <v>0</v>
      </c>
      <c r="I121" t="str">
        <f>OutputTable[[#This Row],[ProjectName]]&amp;OutputTable[[#This Row],[Name]]&amp;OutputTable[[#This Row],[Type]]&amp;OutputTable[[#This Row],[Source]]</f>
        <v>Unnamed ProjectCooker.NumberSeizedTotal Number SeizedResource</v>
      </c>
      <c r="J121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cm="1">
        <f t="array" ref="K121">IFERROR(AVERAGE(IF((OutputTable[GroupByKey]=OutputTable[[#This Row],[GroupByKey]]),(OutputTable[GroupByKey]=OutputTable[[#This Row],[GroupByKey]])*OutputTable[RecordedValue])),0)</f>
        <v>285.66666666666669</v>
      </c>
      <c r="L121" cm="1">
        <f t="array" ref="L121">IFERROR(_xlfn.STDEV.S(IF((OutputTable[GroupByKey]=OutputTable[[#This Row],[GroupByKey]]),(OutputTable[GroupByKey]=OutputTable[[#This Row],[GroupByKey]])*OutputTable[RecordedValue])),0)</f>
        <v>12.949060233064802</v>
      </c>
      <c r="M121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121" cm="1">
        <f t="array" ref="O121">MIN(IF((OutputTable[GroupByKey]=OutputTable[[#This Row],[GroupByKey]]),(OutputTable[GroupByKey]=OutputTable[[#This Row],[GroupByKey]])*OutputTable[RecordedValue]))</f>
        <v>264</v>
      </c>
      <c r="P121" cm="1">
        <f t="array" ref="P121">MAX(IF((OutputTable[GroupByKey]=OutputTable[[#This Row],[GroupByKey]]),(OutputTable[GroupByKey]=OutputTable[[#This Row],[GroupByKey]])*OutputTable[RecordedValue]))</f>
        <v>320</v>
      </c>
    </row>
    <row r="122" spans="1:16" x14ac:dyDescent="0.2">
      <c r="A122" t="s">
        <v>67</v>
      </c>
      <c r="B122" t="s">
        <v>70</v>
      </c>
      <c r="C122">
        <v>10</v>
      </c>
      <c r="D122" t="s">
        <v>109</v>
      </c>
      <c r="E122" t="s">
        <v>107</v>
      </c>
      <c r="F122" t="s">
        <v>95</v>
      </c>
      <c r="G122">
        <v>0.60191002682407202</v>
      </c>
      <c r="H122">
        <v>0</v>
      </c>
      <c r="I122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122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cm="1">
        <f t="array" ref="K122">IFERROR(AVERAGE(IF((OutputTable[GroupByKey]=OutputTable[[#This Row],[GroupByKey]]),(OutputTable[GroupByKey]=OutputTable[[#This Row],[GroupByKey]])*OutputTable[RecordedValue])),0)</f>
        <v>0.62721981794251769</v>
      </c>
      <c r="L122" cm="1">
        <f t="array" ref="L122">IFERROR(_xlfn.STDEV.S(IF((OutputTable[GroupByKey]=OutputTable[[#This Row],[GroupByKey]]),(OutputTable[GroupByKey]=OutputTable[[#This Row],[GroupByKey]])*OutputTable[RecordedValue])),0)</f>
        <v>2.6376107220918699E-2</v>
      </c>
      <c r="M122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122" cm="1">
        <f t="array" ref="O122">MIN(IF((OutputTable[GroupByKey]=OutputTable[[#This Row],[GroupByKey]]),(OutputTable[GroupByKey]=OutputTable[[#This Row],[GroupByKey]])*OutputTable[RecordedValue]))</f>
        <v>0.58256422876290004</v>
      </c>
      <c r="P122" cm="1">
        <f t="array" ref="P122">MAX(IF((OutputTable[GroupByKey]=OutputTable[[#This Row],[GroupByKey]]),(OutputTable[GroupByKey]=OutputTable[[#This Row],[GroupByKey]])*OutputTable[RecordedValue]))</f>
        <v>0.68643238055161704</v>
      </c>
    </row>
    <row r="123" spans="1:16" x14ac:dyDescent="0.2">
      <c r="A123" t="s">
        <v>67</v>
      </c>
      <c r="B123" t="s">
        <v>70</v>
      </c>
      <c r="C123">
        <v>10</v>
      </c>
      <c r="D123" t="s">
        <v>110</v>
      </c>
      <c r="E123" t="s">
        <v>111</v>
      </c>
      <c r="F123" t="s">
        <v>76</v>
      </c>
      <c r="G123">
        <v>827</v>
      </c>
      <c r="H123">
        <v>0</v>
      </c>
      <c r="I123" t="str">
        <f>OutputTable[[#This Row],[ProjectName]]&amp;OutputTable[[#This Row],[Name]]&amp;OutputTable[[#This Row],[Type]]&amp;OutputTable[[#This Row],[Source]]</f>
        <v>Unnamed ProjectCustomer.NumberInNumber InEntity</v>
      </c>
      <c r="J123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cm="1">
        <f t="array" ref="K123">IFERROR(AVERAGE(IF((OutputTable[GroupByKey]=OutputTable[[#This Row],[GroupByKey]]),(OutputTable[GroupByKey]=OutputTable[[#This Row],[GroupByKey]])*OutputTable[RecordedValue])),0)</f>
        <v>855.93333333333328</v>
      </c>
      <c r="L123" cm="1">
        <f t="array" ref="L123">IFERROR(_xlfn.STDEV.S(IF((OutputTable[GroupByKey]=OutputTable[[#This Row],[GroupByKey]]),(OutputTable[GroupByKey]=OutputTable[[#This Row],[GroupByKey]])*OutputTable[RecordedValue])),0)</f>
        <v>38.659373073509371</v>
      </c>
      <c r="M123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123" cm="1">
        <f t="array" ref="O123">MIN(IF((OutputTable[GroupByKey]=OutputTable[[#This Row],[GroupByKey]]),(OutputTable[GroupByKey]=OutputTable[[#This Row],[GroupByKey]])*OutputTable[RecordedValue]))</f>
        <v>792</v>
      </c>
      <c r="P123" cm="1">
        <f t="array" ref="P123">MAX(IF((OutputTable[GroupByKey]=OutputTable[[#This Row],[GroupByKey]]),(OutputTable[GroupByKey]=OutputTable[[#This Row],[GroupByKey]])*OutputTable[RecordedValue]))</f>
        <v>958</v>
      </c>
    </row>
    <row r="124" spans="1:16" x14ac:dyDescent="0.2">
      <c r="A124" t="s">
        <v>67</v>
      </c>
      <c r="B124" t="s">
        <v>70</v>
      </c>
      <c r="C124">
        <v>10</v>
      </c>
      <c r="D124" t="s">
        <v>112</v>
      </c>
      <c r="E124" t="s">
        <v>113</v>
      </c>
      <c r="F124" t="s">
        <v>76</v>
      </c>
      <c r="G124">
        <v>830</v>
      </c>
      <c r="H124">
        <v>0</v>
      </c>
      <c r="I124" t="str">
        <f>OutputTable[[#This Row],[ProjectName]]&amp;OutputTable[[#This Row],[Name]]&amp;OutputTable[[#This Row],[Type]]&amp;OutputTable[[#This Row],[Source]]</f>
        <v>Unnamed ProjectCustomer.NumberOutNumber OutEntity</v>
      </c>
      <c r="J124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cm="1">
        <f t="array" ref="K124">IFERROR(AVERAGE(IF((OutputTable[GroupByKey]=OutputTable[[#This Row],[GroupByKey]]),(OutputTable[GroupByKey]=OutputTable[[#This Row],[GroupByKey]])*OutputTable[RecordedValue])),0)</f>
        <v>855.3</v>
      </c>
      <c r="L124" cm="1">
        <f t="array" ref="L124">IFERROR(_xlfn.STDEV.S(IF((OutputTable[GroupByKey]=OutputTable[[#This Row],[GroupByKey]]),(OutputTable[GroupByKey]=OutputTable[[#This Row],[GroupByKey]])*OutputTable[RecordedValue])),0)</f>
        <v>38.322722169527033</v>
      </c>
      <c r="M124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124" cm="1">
        <f t="array" ref="O124">MIN(IF((OutputTable[GroupByKey]=OutputTable[[#This Row],[GroupByKey]]),(OutputTable[GroupByKey]=OutputTable[[#This Row],[GroupByKey]])*OutputTable[RecordedValue]))</f>
        <v>798</v>
      </c>
      <c r="P124" cm="1">
        <f t="array" ref="P124">MAX(IF((OutputTable[GroupByKey]=OutputTable[[#This Row],[GroupByKey]]),(OutputTable[GroupByKey]=OutputTable[[#This Row],[GroupByKey]])*OutputTable[RecordedValue]))</f>
        <v>954</v>
      </c>
    </row>
    <row r="125" spans="1:16" x14ac:dyDescent="0.2">
      <c r="A125" t="s">
        <v>67</v>
      </c>
      <c r="B125" t="s">
        <v>70</v>
      </c>
      <c r="C125">
        <v>10</v>
      </c>
      <c r="D125" t="s">
        <v>114</v>
      </c>
      <c r="E125" t="s">
        <v>105</v>
      </c>
      <c r="F125" t="s">
        <v>95</v>
      </c>
      <c r="G125">
        <v>323</v>
      </c>
      <c r="H125">
        <v>0</v>
      </c>
      <c r="I125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12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cm="1">
        <f t="array" ref="K125">IFERROR(AVERAGE(IF((OutputTable[GroupByKey]=OutputTable[[#This Row],[GroupByKey]]),(OutputTable[GroupByKey]=OutputTable[[#This Row],[GroupByKey]])*OutputTable[RecordedValue])),0)</f>
        <v>344.6</v>
      </c>
      <c r="L125" cm="1">
        <f t="array" ref="L125">IFERROR(_xlfn.STDEV.S(IF((OutputTable[GroupByKey]=OutputTable[[#This Row],[GroupByKey]]),(OutputTable[GroupByKey]=OutputTable[[#This Row],[GroupByKey]])*OutputTable[RecordedValue])),0)</f>
        <v>21.890952311479008</v>
      </c>
      <c r="M12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125" cm="1">
        <f t="array" ref="O125">MIN(IF((OutputTable[GroupByKey]=OutputTable[[#This Row],[GroupByKey]]),(OutputTable[GroupByKey]=OutputTable[[#This Row],[GroupByKey]])*OutputTable[RecordedValue]))</f>
        <v>311</v>
      </c>
      <c r="P125" cm="1">
        <f t="array" ref="P125">MAX(IF((OutputTable[GroupByKey]=OutputTable[[#This Row],[GroupByKey]]),(OutputTable[GroupByKey]=OutputTable[[#This Row],[GroupByKey]])*OutputTable[RecordedValue]))</f>
        <v>396</v>
      </c>
    </row>
    <row r="126" spans="1:16" x14ac:dyDescent="0.2">
      <c r="A126" t="s">
        <v>67</v>
      </c>
      <c r="B126" t="s">
        <v>70</v>
      </c>
      <c r="C126">
        <v>10</v>
      </c>
      <c r="D126" t="s">
        <v>115</v>
      </c>
      <c r="E126" t="s">
        <v>107</v>
      </c>
      <c r="F126" t="s">
        <v>95</v>
      </c>
      <c r="G126">
        <v>1.77083333333334E-3</v>
      </c>
      <c r="H126">
        <v>0</v>
      </c>
      <c r="I126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126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cm="1">
        <f t="array" ref="K126">IFERROR(AVERAGE(IF((OutputTable[GroupByKey]=OutputTable[[#This Row],[GroupByKey]]),(OutputTable[GroupByKey]=OutputTable[[#This Row],[GroupByKey]])*OutputTable[RecordedValue])),0)</f>
        <v>1.889307012236451E-3</v>
      </c>
      <c r="L126" cm="1">
        <f t="array" ref="L126">IFERROR(_xlfn.STDEV.S(IF((OutputTable[GroupByKey]=OutputTable[[#This Row],[GroupByKey]]),(OutputTable[GroupByKey]=OutputTable[[#This Row],[GroupByKey]])*OutputTable[RecordedValue])),0)</f>
        <v>1.2015303758165521E-4</v>
      </c>
      <c r="M126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126" cm="1">
        <f t="array" ref="O126">MIN(IF((OutputTable[GroupByKey]=OutputTable[[#This Row],[GroupByKey]]),(OutputTable[GroupByKey]=OutputTable[[#This Row],[GroupByKey]])*OutputTable[RecordedValue]))</f>
        <v>1.70504385964912E-3</v>
      </c>
      <c r="P126" cm="1">
        <f t="array" ref="P126">MAX(IF((OutputTable[GroupByKey]=OutputTable[[#This Row],[GroupByKey]]),(OutputTable[GroupByKey]=OutputTable[[#This Row],[GroupByKey]])*OutputTable[RecordedValue]))</f>
        <v>2.17031677925951E-3</v>
      </c>
    </row>
    <row r="127" spans="1:16" x14ac:dyDescent="0.2">
      <c r="A127" t="s">
        <v>67</v>
      </c>
      <c r="B127" t="s">
        <v>70</v>
      </c>
      <c r="C127">
        <v>10</v>
      </c>
      <c r="D127" t="s">
        <v>116</v>
      </c>
      <c r="E127" t="s">
        <v>105</v>
      </c>
      <c r="F127" t="s">
        <v>95</v>
      </c>
      <c r="G127">
        <v>228</v>
      </c>
      <c r="H127">
        <v>0</v>
      </c>
      <c r="I127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127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cm="1">
        <f t="array" ref="K127">IFERROR(AVERAGE(IF((OutputTable[GroupByKey]=OutputTable[[#This Row],[GroupByKey]]),(OutputTable[GroupByKey]=OutputTable[[#This Row],[GroupByKey]])*OutputTable[RecordedValue])),0)</f>
        <v>225.93333333333334</v>
      </c>
      <c r="L127" cm="1">
        <f t="array" ref="L127">IFERROR(_xlfn.STDEV.S(IF((OutputTable[GroupByKey]=OutputTable[[#This Row],[GroupByKey]]),(OutputTable[GroupByKey]=OutputTable[[#This Row],[GroupByKey]])*OutputTable[RecordedValue])),0)</f>
        <v>12.403929670244338</v>
      </c>
      <c r="M127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127" cm="1">
        <f t="array" ref="O127">MIN(IF((OutputTable[GroupByKey]=OutputTable[[#This Row],[GroupByKey]]),(OutputTable[GroupByKey]=OutputTable[[#This Row],[GroupByKey]])*OutputTable[RecordedValue]))</f>
        <v>205</v>
      </c>
      <c r="P127" cm="1">
        <f t="array" ref="P127">MAX(IF((OutputTable[GroupByKey]=OutputTable[[#This Row],[GroupByKey]]),(OutputTable[GroupByKey]=OutputTable[[#This Row],[GroupByKey]])*OutputTable[RecordedValue]))</f>
        <v>253</v>
      </c>
    </row>
    <row r="128" spans="1:16" x14ac:dyDescent="0.2">
      <c r="A128" t="s">
        <v>67</v>
      </c>
      <c r="B128" t="s">
        <v>70</v>
      </c>
      <c r="C128">
        <v>10</v>
      </c>
      <c r="D128" t="s">
        <v>117</v>
      </c>
      <c r="E128" t="s">
        <v>107</v>
      </c>
      <c r="F128" t="s">
        <v>95</v>
      </c>
      <c r="G128">
        <v>5.0000000000000001E-3</v>
      </c>
      <c r="H128">
        <v>0</v>
      </c>
      <c r="I128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128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cm="1">
        <f t="array" ref="K128">IFERROR(AVERAGE(IF((OutputTable[GroupByKey]=OutputTable[[#This Row],[GroupByKey]]),(OutputTable[GroupByKey]=OutputTable[[#This Row],[GroupByKey]])*OutputTable[RecordedValue])),0)</f>
        <v>4.9565971649701106E-3</v>
      </c>
      <c r="L128" cm="1">
        <f t="array" ref="L128">IFERROR(_xlfn.STDEV.S(IF((OutputTable[GroupByKey]=OutputTable[[#This Row],[GroupByKey]]),(OutputTable[GroupByKey]=OutputTable[[#This Row],[GroupByKey]])*OutputTable[RecordedValue])),0)</f>
        <v>2.7167433725199517E-4</v>
      </c>
      <c r="M128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128" cm="1">
        <f t="array" ref="O128">MIN(IF((OutputTable[GroupByKey]=OutputTable[[#This Row],[GroupByKey]]),(OutputTable[GroupByKey]=OutputTable[[#This Row],[GroupByKey]])*OutputTable[RecordedValue]))</f>
        <v>4.4956140350877203E-3</v>
      </c>
      <c r="P128" cm="1">
        <f t="array" ref="P128">MAX(IF((OutputTable[GroupByKey]=OutputTable[[#This Row],[GroupByKey]]),(OutputTable[GroupByKey]=OutputTable[[#This Row],[GroupByKey]])*OutputTable[RecordedValue]))</f>
        <v>5.5482456140350904E-3</v>
      </c>
    </row>
    <row r="129" spans="1:16" x14ac:dyDescent="0.2">
      <c r="A129" t="s">
        <v>67</v>
      </c>
      <c r="B129" t="s">
        <v>70</v>
      </c>
      <c r="C129">
        <v>10</v>
      </c>
      <c r="D129" t="s">
        <v>118</v>
      </c>
      <c r="E129" t="s">
        <v>113</v>
      </c>
      <c r="F129" t="s">
        <v>119</v>
      </c>
      <c r="G129">
        <v>278</v>
      </c>
      <c r="H129">
        <v>0</v>
      </c>
      <c r="I129" t="str">
        <f>OutputTable[[#This Row],[ProjectName]]&amp;OutputTable[[#This Row],[Name]]&amp;OutputTable[[#This Row],[Type]]&amp;OutputTable[[#This Row],[Source]]</f>
        <v>Unnamed ProjectSystem.NumberOutNumber OutSystem</v>
      </c>
      <c r="J129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cm="1">
        <f t="array" ref="K129">IFERROR(AVERAGE(IF((OutputTable[GroupByKey]=OutputTable[[#This Row],[GroupByKey]]),(OutputTable[GroupByKey]=OutputTable[[#This Row],[GroupByKey]])*OutputTable[RecordedValue])),0)</f>
        <v>285.3</v>
      </c>
      <c r="L129" cm="1">
        <f t="array" ref="L129">IFERROR(_xlfn.STDEV.S(IF((OutputTable[GroupByKey]=OutputTable[[#This Row],[GroupByKey]]),(OutputTable[GroupByKey]=OutputTable[[#This Row],[GroupByKey]])*OutputTable[RecordedValue])),0)</f>
        <v>12.739160368585981</v>
      </c>
      <c r="M129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129" cm="1">
        <f t="array" ref="O129">MIN(IF((OutputTable[GroupByKey]=OutputTable[[#This Row],[GroupByKey]]),(OutputTable[GroupByKey]=OutputTable[[#This Row],[GroupByKey]])*OutputTable[RecordedValue]))</f>
        <v>266</v>
      </c>
      <c r="P129" cm="1">
        <f t="array" ref="P129">MAX(IF((OutputTable[GroupByKey]=OutputTable[[#This Row],[GroupByKey]]),(OutputTable[GroupByKey]=OutputTable[[#This Row],[GroupByKey]])*OutputTable[RecordedValue]))</f>
        <v>318</v>
      </c>
    </row>
    <row r="130" spans="1:16" x14ac:dyDescent="0.2">
      <c r="A130" t="s">
        <v>67</v>
      </c>
      <c r="B130" t="s">
        <v>70</v>
      </c>
      <c r="C130">
        <v>10</v>
      </c>
      <c r="D130" t="s">
        <v>120</v>
      </c>
      <c r="E130" t="s">
        <v>105</v>
      </c>
      <c r="F130" t="s">
        <v>95</v>
      </c>
      <c r="G130">
        <v>138</v>
      </c>
      <c r="H130">
        <v>0</v>
      </c>
      <c r="I130" t="str">
        <f>OutputTable[[#This Row],[ProjectName]]&amp;OutputTable[[#This Row],[Name]]&amp;OutputTable[[#This Row],[Type]]&amp;OutputTable[[#This Row],[Source]]</f>
        <v>Unnamed ProjectWaiter.NumberSeizedTotal Number SeizedResource</v>
      </c>
      <c r="J130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cm="1">
        <f t="array" ref="K130">IFERROR(AVERAGE(IF((OutputTable[GroupByKey]=OutputTable[[#This Row],[GroupByKey]]),(OutputTable[GroupByKey]=OutputTable[[#This Row],[GroupByKey]])*OutputTable[RecordedValue])),0)</f>
        <v>142.66666666666666</v>
      </c>
      <c r="L130" cm="1">
        <f t="array" ref="L130">IFERROR(_xlfn.STDEV.S(IF((OutputTable[GroupByKey]=OutputTable[[#This Row],[GroupByKey]]),(OutputTable[GroupByKey]=OutputTable[[#This Row],[GroupByKey]])*OutputTable[RecordedValue])),0)</f>
        <v>6.4505190025531167</v>
      </c>
      <c r="M130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130" cm="1">
        <f t="array" ref="O130">MIN(IF((OutputTable[GroupByKey]=OutputTable[[#This Row],[GroupByKey]]),(OutputTable[GroupByKey]=OutputTable[[#This Row],[GroupByKey]])*OutputTable[RecordedValue]))</f>
        <v>132</v>
      </c>
      <c r="P130" cm="1">
        <f t="array" ref="P130">MAX(IF((OutputTable[GroupByKey]=OutputTable[[#This Row],[GroupByKey]]),(OutputTable[GroupByKey]=OutputTable[[#This Row],[GroupByKey]])*OutputTable[RecordedValue]))</f>
        <v>160</v>
      </c>
    </row>
    <row r="131" spans="1:16" x14ac:dyDescent="0.2">
      <c r="A131" t="s">
        <v>67</v>
      </c>
      <c r="B131" t="s">
        <v>70</v>
      </c>
      <c r="C131">
        <v>10</v>
      </c>
      <c r="D131" t="s">
        <v>121</v>
      </c>
      <c r="E131" t="s">
        <v>107</v>
      </c>
      <c r="F131" t="s">
        <v>95</v>
      </c>
      <c r="G131">
        <v>8.1003493031140503E-2</v>
      </c>
      <c r="H131">
        <v>0</v>
      </c>
      <c r="I131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131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cm="1">
        <f t="array" ref="K131">IFERROR(AVERAGE(IF((OutputTable[GroupByKey]=OutputTable[[#This Row],[GroupByKey]]),(OutputTable[GroupByKey]=OutputTable[[#This Row],[GroupByKey]])*OutputTable[RecordedValue])),0)</f>
        <v>8.3509459606410805E-2</v>
      </c>
      <c r="L131" cm="1">
        <f t="array" ref="L131">IFERROR(_xlfn.STDEV.S(IF((OutputTable[GroupByKey]=OutputTable[[#This Row],[GroupByKey]]),(OutputTable[GroupByKey]=OutputTable[[#This Row],[GroupByKey]])*OutputTable[RecordedValue])),0)</f>
        <v>3.5452891325333867E-3</v>
      </c>
      <c r="M131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131" cm="1">
        <f t="array" ref="O131">MIN(IF((OutputTable[GroupByKey]=OutputTable[[#This Row],[GroupByKey]]),(OutputTable[GroupByKey]=OutputTable[[#This Row],[GroupByKey]])*OutputTable[RecordedValue]))</f>
        <v>7.7176470357847096E-2</v>
      </c>
      <c r="P131" cm="1">
        <f t="array" ref="P131">MAX(IF((OutputTable[GroupByKey]=OutputTable[[#This Row],[GroupByKey]]),(OutputTable[GroupByKey]=OutputTable[[#This Row],[GroupByKey]])*OutputTable[RecordedValue]))</f>
        <v>9.2534326714405798E-2</v>
      </c>
    </row>
    <row r="132" spans="1:16" x14ac:dyDescent="0.2">
      <c r="A132" t="s">
        <v>67</v>
      </c>
      <c r="B132" t="s">
        <v>70</v>
      </c>
      <c r="C132">
        <v>11</v>
      </c>
      <c r="D132" t="s">
        <v>104</v>
      </c>
      <c r="E132" t="s">
        <v>105</v>
      </c>
      <c r="F132" t="s">
        <v>95</v>
      </c>
      <c r="G132">
        <v>296</v>
      </c>
      <c r="H132">
        <v>0</v>
      </c>
      <c r="I132" t="str">
        <f>OutputTable[[#This Row],[ProjectName]]&amp;OutputTable[[#This Row],[Name]]&amp;OutputTable[[#This Row],[Type]]&amp;OutputTable[[#This Row],[Source]]</f>
        <v>Unnamed ProjectCleaner.NumberSeizedTotal Number SeizedResource</v>
      </c>
      <c r="J132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cm="1">
        <f t="array" ref="K132">IFERROR(AVERAGE(IF((OutputTable[GroupByKey]=OutputTable[[#This Row],[GroupByKey]]),(OutputTable[GroupByKey]=OutputTable[[#This Row],[GroupByKey]])*OutputTable[RecordedValue])),0)</f>
        <v>285.39999999999998</v>
      </c>
      <c r="L132" cm="1">
        <f t="array" ref="L132">IFERROR(_xlfn.STDEV.S(IF((OutputTable[GroupByKey]=OutputTable[[#This Row],[GroupByKey]]),(OutputTable[GroupByKey]=OutputTable[[#This Row],[GroupByKey]])*OutputTable[RecordedValue])),0)</f>
        <v>12.88302812979555</v>
      </c>
      <c r="M132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132" cm="1">
        <f t="array" ref="O132">MIN(IF((OutputTable[GroupByKey]=OutputTable[[#This Row],[GroupByKey]]),(OutputTable[GroupByKey]=OutputTable[[#This Row],[GroupByKey]])*OutputTable[RecordedValue]))</f>
        <v>266</v>
      </c>
      <c r="P132" cm="1">
        <f t="array" ref="P132">MAX(IF((OutputTable[GroupByKey]=OutputTable[[#This Row],[GroupByKey]]),(OutputTable[GroupByKey]=OutputTable[[#This Row],[GroupByKey]])*OutputTable[RecordedValue]))</f>
        <v>318</v>
      </c>
    </row>
    <row r="133" spans="1:16" x14ac:dyDescent="0.2">
      <c r="A133" t="s">
        <v>67</v>
      </c>
      <c r="B133" t="s">
        <v>70</v>
      </c>
      <c r="C133">
        <v>11</v>
      </c>
      <c r="D133" t="s">
        <v>106</v>
      </c>
      <c r="E133" t="s">
        <v>107</v>
      </c>
      <c r="F133" t="s">
        <v>95</v>
      </c>
      <c r="G133">
        <v>0.25964912280701702</v>
      </c>
      <c r="H133">
        <v>0</v>
      </c>
      <c r="I133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133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cm="1">
        <f t="array" ref="K133">IFERROR(AVERAGE(IF((OutputTable[GroupByKey]=OutputTable[[#This Row],[GroupByKey]]),(OutputTable[GroupByKey]=OutputTable[[#This Row],[GroupByKey]])*OutputTable[RecordedValue])),0)</f>
        <v>0.25031804088290305</v>
      </c>
      <c r="L133" cm="1">
        <f t="array" ref="L133">IFERROR(_xlfn.STDEV.S(IF((OutputTable[GroupByKey]=OutputTable[[#This Row],[GroupByKey]]),(OutputTable[GroupByKey]=OutputTable[[#This Row],[GroupByKey]])*OutputTable[RecordedValue])),0)</f>
        <v>1.1255778929137084E-2</v>
      </c>
      <c r="M133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133" cm="1">
        <f t="array" ref="O133">MIN(IF((OutputTable[GroupByKey]=OutputTable[[#This Row],[GroupByKey]]),(OutputTable[GroupByKey]=OutputTable[[#This Row],[GroupByKey]])*OutputTable[RecordedValue]))</f>
        <v>0.233333333333333</v>
      </c>
      <c r="P133" cm="1">
        <f t="array" ref="P133">MAX(IF((OutputTable[GroupByKey]=OutputTable[[#This Row],[GroupByKey]]),(OutputTable[GroupByKey]=OutputTable[[#This Row],[GroupByKey]])*OutputTable[RecordedValue]))</f>
        <v>0.27905535859326402</v>
      </c>
    </row>
    <row r="134" spans="1:16" x14ac:dyDescent="0.2">
      <c r="A134" t="s">
        <v>67</v>
      </c>
      <c r="B134" t="s">
        <v>70</v>
      </c>
      <c r="C134">
        <v>11</v>
      </c>
      <c r="D134" t="s">
        <v>108</v>
      </c>
      <c r="E134" t="s">
        <v>105</v>
      </c>
      <c r="F134" t="s">
        <v>95</v>
      </c>
      <c r="G134">
        <v>294</v>
      </c>
      <c r="H134">
        <v>0</v>
      </c>
      <c r="I134" t="str">
        <f>OutputTable[[#This Row],[ProjectName]]&amp;OutputTable[[#This Row],[Name]]&amp;OutputTable[[#This Row],[Type]]&amp;OutputTable[[#This Row],[Source]]</f>
        <v>Unnamed ProjectCooker.NumberSeizedTotal Number SeizedResource</v>
      </c>
      <c r="J134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cm="1">
        <f t="array" ref="K134">IFERROR(AVERAGE(IF((OutputTable[GroupByKey]=OutputTable[[#This Row],[GroupByKey]]),(OutputTable[GroupByKey]=OutputTable[[#This Row],[GroupByKey]])*OutputTable[RecordedValue])),0)</f>
        <v>285.66666666666669</v>
      </c>
      <c r="L134" cm="1">
        <f t="array" ref="L134">IFERROR(_xlfn.STDEV.S(IF((OutputTable[GroupByKey]=OutputTable[[#This Row],[GroupByKey]]),(OutputTable[GroupByKey]=OutputTable[[#This Row],[GroupByKey]])*OutputTable[RecordedValue])),0)</f>
        <v>12.949060233064802</v>
      </c>
      <c r="M134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134" cm="1">
        <f t="array" ref="O134">MIN(IF((OutputTable[GroupByKey]=OutputTable[[#This Row],[GroupByKey]]),(OutputTable[GroupByKey]=OutputTable[[#This Row],[GroupByKey]])*OutputTable[RecordedValue]))</f>
        <v>264</v>
      </c>
      <c r="P134" cm="1">
        <f t="array" ref="P134">MAX(IF((OutputTable[GroupByKey]=OutputTable[[#This Row],[GroupByKey]]),(OutputTable[GroupByKey]=OutputTable[[#This Row],[GroupByKey]])*OutputTable[RecordedValue]))</f>
        <v>320</v>
      </c>
    </row>
    <row r="135" spans="1:16" x14ac:dyDescent="0.2">
      <c r="A135" t="s">
        <v>67</v>
      </c>
      <c r="B135" t="s">
        <v>70</v>
      </c>
      <c r="C135">
        <v>11</v>
      </c>
      <c r="D135" t="s">
        <v>109</v>
      </c>
      <c r="E135" t="s">
        <v>107</v>
      </c>
      <c r="F135" t="s">
        <v>95</v>
      </c>
      <c r="G135">
        <v>0.64453744943541502</v>
      </c>
      <c r="H135">
        <v>0</v>
      </c>
      <c r="I135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13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cm="1">
        <f t="array" ref="K135">IFERROR(AVERAGE(IF((OutputTable[GroupByKey]=OutputTable[[#This Row],[GroupByKey]]),(OutputTable[GroupByKey]=OutputTable[[#This Row],[GroupByKey]])*OutputTable[RecordedValue])),0)</f>
        <v>0.62721981794251769</v>
      </c>
      <c r="L135" cm="1">
        <f t="array" ref="L135">IFERROR(_xlfn.STDEV.S(IF((OutputTable[GroupByKey]=OutputTable[[#This Row],[GroupByKey]]),(OutputTable[GroupByKey]=OutputTable[[#This Row],[GroupByKey]])*OutputTable[RecordedValue])),0)</f>
        <v>2.6376107220918699E-2</v>
      </c>
      <c r="M13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135" cm="1">
        <f t="array" ref="O135">MIN(IF((OutputTable[GroupByKey]=OutputTable[[#This Row],[GroupByKey]]),(OutputTable[GroupByKey]=OutputTable[[#This Row],[GroupByKey]])*OutputTable[RecordedValue]))</f>
        <v>0.58256422876290004</v>
      </c>
      <c r="P135" cm="1">
        <f t="array" ref="P135">MAX(IF((OutputTable[GroupByKey]=OutputTable[[#This Row],[GroupByKey]]),(OutputTable[GroupByKey]=OutputTable[[#This Row],[GroupByKey]])*OutputTable[RecordedValue]))</f>
        <v>0.68643238055161704</v>
      </c>
    </row>
    <row r="136" spans="1:16" x14ac:dyDescent="0.2">
      <c r="A136" t="s">
        <v>67</v>
      </c>
      <c r="B136" t="s">
        <v>70</v>
      </c>
      <c r="C136">
        <v>11</v>
      </c>
      <c r="D136" t="s">
        <v>110</v>
      </c>
      <c r="E136" t="s">
        <v>111</v>
      </c>
      <c r="F136" t="s">
        <v>76</v>
      </c>
      <c r="G136">
        <v>880</v>
      </c>
      <c r="H136">
        <v>0</v>
      </c>
      <c r="I136" t="str">
        <f>OutputTable[[#This Row],[ProjectName]]&amp;OutputTable[[#This Row],[Name]]&amp;OutputTable[[#This Row],[Type]]&amp;OutputTable[[#This Row],[Source]]</f>
        <v>Unnamed ProjectCustomer.NumberInNumber InEntity</v>
      </c>
      <c r="J136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cm="1">
        <f t="array" ref="K136">IFERROR(AVERAGE(IF((OutputTable[GroupByKey]=OutputTable[[#This Row],[GroupByKey]]),(OutputTable[GroupByKey]=OutputTable[[#This Row],[GroupByKey]])*OutputTable[RecordedValue])),0)</f>
        <v>855.93333333333328</v>
      </c>
      <c r="L136" cm="1">
        <f t="array" ref="L136">IFERROR(_xlfn.STDEV.S(IF((OutputTable[GroupByKey]=OutputTable[[#This Row],[GroupByKey]]),(OutputTable[GroupByKey]=OutputTable[[#This Row],[GroupByKey]])*OutputTable[RecordedValue])),0)</f>
        <v>38.659373073509371</v>
      </c>
      <c r="M136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136" cm="1">
        <f t="array" ref="O136">MIN(IF((OutputTable[GroupByKey]=OutputTable[[#This Row],[GroupByKey]]),(OutputTable[GroupByKey]=OutputTable[[#This Row],[GroupByKey]])*OutputTable[RecordedValue]))</f>
        <v>792</v>
      </c>
      <c r="P136" cm="1">
        <f t="array" ref="P136">MAX(IF((OutputTable[GroupByKey]=OutputTable[[#This Row],[GroupByKey]]),(OutputTable[GroupByKey]=OutputTable[[#This Row],[GroupByKey]])*OutputTable[RecordedValue]))</f>
        <v>958</v>
      </c>
    </row>
    <row r="137" spans="1:16" x14ac:dyDescent="0.2">
      <c r="A137" t="s">
        <v>67</v>
      </c>
      <c r="B137" t="s">
        <v>70</v>
      </c>
      <c r="C137">
        <v>11</v>
      </c>
      <c r="D137" t="s">
        <v>112</v>
      </c>
      <c r="E137" t="s">
        <v>113</v>
      </c>
      <c r="F137" t="s">
        <v>76</v>
      </c>
      <c r="G137">
        <v>888</v>
      </c>
      <c r="H137">
        <v>0</v>
      </c>
      <c r="I137" t="str">
        <f>OutputTable[[#This Row],[ProjectName]]&amp;OutputTable[[#This Row],[Name]]&amp;OutputTable[[#This Row],[Type]]&amp;OutputTable[[#This Row],[Source]]</f>
        <v>Unnamed ProjectCustomer.NumberOutNumber OutEntity</v>
      </c>
      <c r="J137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cm="1">
        <f t="array" ref="K137">IFERROR(AVERAGE(IF((OutputTable[GroupByKey]=OutputTable[[#This Row],[GroupByKey]]),(OutputTable[GroupByKey]=OutputTable[[#This Row],[GroupByKey]])*OutputTable[RecordedValue])),0)</f>
        <v>855.3</v>
      </c>
      <c r="L137" cm="1">
        <f t="array" ref="L137">IFERROR(_xlfn.STDEV.S(IF((OutputTable[GroupByKey]=OutputTable[[#This Row],[GroupByKey]]),(OutputTable[GroupByKey]=OutputTable[[#This Row],[GroupByKey]])*OutputTable[RecordedValue])),0)</f>
        <v>38.322722169527033</v>
      </c>
      <c r="M137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137" cm="1">
        <f t="array" ref="O137">MIN(IF((OutputTable[GroupByKey]=OutputTable[[#This Row],[GroupByKey]]),(OutputTable[GroupByKey]=OutputTable[[#This Row],[GroupByKey]])*OutputTable[RecordedValue]))</f>
        <v>798</v>
      </c>
      <c r="P137" cm="1">
        <f t="array" ref="P137">MAX(IF((OutputTable[GroupByKey]=OutputTable[[#This Row],[GroupByKey]]),(OutputTable[GroupByKey]=OutputTable[[#This Row],[GroupByKey]])*OutputTable[RecordedValue]))</f>
        <v>954</v>
      </c>
    </row>
    <row r="138" spans="1:16" x14ac:dyDescent="0.2">
      <c r="A138" t="s">
        <v>67</v>
      </c>
      <c r="B138" t="s">
        <v>70</v>
      </c>
      <c r="C138">
        <v>11</v>
      </c>
      <c r="D138" t="s">
        <v>114</v>
      </c>
      <c r="E138" t="s">
        <v>105</v>
      </c>
      <c r="F138" t="s">
        <v>95</v>
      </c>
      <c r="G138">
        <v>341</v>
      </c>
      <c r="H138">
        <v>0</v>
      </c>
      <c r="I138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138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cm="1">
        <f t="array" ref="K138">IFERROR(AVERAGE(IF((OutputTable[GroupByKey]=OutputTable[[#This Row],[GroupByKey]]),(OutputTable[GroupByKey]=OutputTable[[#This Row],[GroupByKey]])*OutputTable[RecordedValue])),0)</f>
        <v>344.6</v>
      </c>
      <c r="L138" cm="1">
        <f t="array" ref="L138">IFERROR(_xlfn.STDEV.S(IF((OutputTable[GroupByKey]=OutputTable[[#This Row],[GroupByKey]]),(OutputTable[GroupByKey]=OutputTable[[#This Row],[GroupByKey]])*OutputTable[RecordedValue])),0)</f>
        <v>21.890952311479008</v>
      </c>
      <c r="M138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138" cm="1">
        <f t="array" ref="O138">MIN(IF((OutputTable[GroupByKey]=OutputTable[[#This Row],[GroupByKey]]),(OutputTable[GroupByKey]=OutputTable[[#This Row],[GroupByKey]])*OutputTable[RecordedValue]))</f>
        <v>311</v>
      </c>
      <c r="P138" cm="1">
        <f t="array" ref="P138">MAX(IF((OutputTable[GroupByKey]=OutputTable[[#This Row],[GroupByKey]]),(OutputTable[GroupByKey]=OutputTable[[#This Row],[GroupByKey]])*OutputTable[RecordedValue]))</f>
        <v>396</v>
      </c>
    </row>
    <row r="139" spans="1:16" x14ac:dyDescent="0.2">
      <c r="A139" t="s">
        <v>67</v>
      </c>
      <c r="B139" t="s">
        <v>70</v>
      </c>
      <c r="C139">
        <v>11</v>
      </c>
      <c r="D139" t="s">
        <v>115</v>
      </c>
      <c r="E139" t="s">
        <v>107</v>
      </c>
      <c r="F139" t="s">
        <v>95</v>
      </c>
      <c r="G139">
        <v>1.86951754385965E-3</v>
      </c>
      <c r="H139">
        <v>0</v>
      </c>
      <c r="I139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139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cm="1">
        <f t="array" ref="K139">IFERROR(AVERAGE(IF((OutputTable[GroupByKey]=OutputTable[[#This Row],[GroupByKey]]),(OutputTable[GroupByKey]=OutputTable[[#This Row],[GroupByKey]])*OutputTable[RecordedValue])),0)</f>
        <v>1.889307012236451E-3</v>
      </c>
      <c r="L139" cm="1">
        <f t="array" ref="L139">IFERROR(_xlfn.STDEV.S(IF((OutputTable[GroupByKey]=OutputTable[[#This Row],[GroupByKey]]),(OutputTable[GroupByKey]=OutputTable[[#This Row],[GroupByKey]])*OutputTable[RecordedValue])),0)</f>
        <v>1.2015303758165521E-4</v>
      </c>
      <c r="M139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139" cm="1">
        <f t="array" ref="O139">MIN(IF((OutputTable[GroupByKey]=OutputTable[[#This Row],[GroupByKey]]),(OutputTable[GroupByKey]=OutputTable[[#This Row],[GroupByKey]])*OutputTable[RecordedValue]))</f>
        <v>1.70504385964912E-3</v>
      </c>
      <c r="P139" cm="1">
        <f t="array" ref="P139">MAX(IF((OutputTable[GroupByKey]=OutputTable[[#This Row],[GroupByKey]]),(OutputTable[GroupByKey]=OutputTable[[#This Row],[GroupByKey]])*OutputTable[RecordedValue]))</f>
        <v>2.17031677925951E-3</v>
      </c>
    </row>
    <row r="140" spans="1:16" x14ac:dyDescent="0.2">
      <c r="A140" t="s">
        <v>67</v>
      </c>
      <c r="B140" t="s">
        <v>70</v>
      </c>
      <c r="C140">
        <v>11</v>
      </c>
      <c r="D140" t="s">
        <v>116</v>
      </c>
      <c r="E140" t="s">
        <v>105</v>
      </c>
      <c r="F140" t="s">
        <v>95</v>
      </c>
      <c r="G140">
        <v>246</v>
      </c>
      <c r="H140">
        <v>0</v>
      </c>
      <c r="I140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140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cm="1">
        <f t="array" ref="K140">IFERROR(AVERAGE(IF((OutputTable[GroupByKey]=OutputTable[[#This Row],[GroupByKey]]),(OutputTable[GroupByKey]=OutputTable[[#This Row],[GroupByKey]])*OutputTable[RecordedValue])),0)</f>
        <v>225.93333333333334</v>
      </c>
      <c r="L140" cm="1">
        <f t="array" ref="L140">IFERROR(_xlfn.STDEV.S(IF((OutputTable[GroupByKey]=OutputTable[[#This Row],[GroupByKey]]),(OutputTable[GroupByKey]=OutputTable[[#This Row],[GroupByKey]])*OutputTable[RecordedValue])),0)</f>
        <v>12.403929670244338</v>
      </c>
      <c r="M140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140" cm="1">
        <f t="array" ref="O140">MIN(IF((OutputTable[GroupByKey]=OutputTable[[#This Row],[GroupByKey]]),(OutputTable[GroupByKey]=OutputTable[[#This Row],[GroupByKey]])*OutputTable[RecordedValue]))</f>
        <v>205</v>
      </c>
      <c r="P140" cm="1">
        <f t="array" ref="P140">MAX(IF((OutputTable[GroupByKey]=OutputTable[[#This Row],[GroupByKey]]),(OutputTable[GroupByKey]=OutputTable[[#This Row],[GroupByKey]])*OutputTable[RecordedValue]))</f>
        <v>253</v>
      </c>
    </row>
    <row r="141" spans="1:16" x14ac:dyDescent="0.2">
      <c r="A141" t="s">
        <v>67</v>
      </c>
      <c r="B141" t="s">
        <v>70</v>
      </c>
      <c r="C141">
        <v>11</v>
      </c>
      <c r="D141" t="s">
        <v>117</v>
      </c>
      <c r="E141" t="s">
        <v>107</v>
      </c>
      <c r="F141" t="s">
        <v>95</v>
      </c>
      <c r="G141">
        <v>5.3947368421052603E-3</v>
      </c>
      <c r="H141">
        <v>0</v>
      </c>
      <c r="I141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141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cm="1">
        <f t="array" ref="K141">IFERROR(AVERAGE(IF((OutputTable[GroupByKey]=OutputTable[[#This Row],[GroupByKey]]),(OutputTable[GroupByKey]=OutputTable[[#This Row],[GroupByKey]])*OutputTable[RecordedValue])),0)</f>
        <v>4.9565971649701106E-3</v>
      </c>
      <c r="L141" cm="1">
        <f t="array" ref="L141">IFERROR(_xlfn.STDEV.S(IF((OutputTable[GroupByKey]=OutputTable[[#This Row],[GroupByKey]]),(OutputTable[GroupByKey]=OutputTable[[#This Row],[GroupByKey]])*OutputTable[RecordedValue])),0)</f>
        <v>2.7167433725199517E-4</v>
      </c>
      <c r="M141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141" cm="1">
        <f t="array" ref="O141">MIN(IF((OutputTable[GroupByKey]=OutputTable[[#This Row],[GroupByKey]]),(OutputTable[GroupByKey]=OutputTable[[#This Row],[GroupByKey]])*OutputTable[RecordedValue]))</f>
        <v>4.4956140350877203E-3</v>
      </c>
      <c r="P141" cm="1">
        <f t="array" ref="P141">MAX(IF((OutputTable[GroupByKey]=OutputTable[[#This Row],[GroupByKey]]),(OutputTable[GroupByKey]=OutputTable[[#This Row],[GroupByKey]])*OutputTable[RecordedValue]))</f>
        <v>5.5482456140350904E-3</v>
      </c>
    </row>
    <row r="142" spans="1:16" x14ac:dyDescent="0.2">
      <c r="A142" t="s">
        <v>67</v>
      </c>
      <c r="B142" t="s">
        <v>70</v>
      </c>
      <c r="C142">
        <v>11</v>
      </c>
      <c r="D142" t="s">
        <v>118</v>
      </c>
      <c r="E142" t="s">
        <v>113</v>
      </c>
      <c r="F142" t="s">
        <v>119</v>
      </c>
      <c r="G142">
        <v>296</v>
      </c>
      <c r="H142">
        <v>0</v>
      </c>
      <c r="I142" t="str">
        <f>OutputTable[[#This Row],[ProjectName]]&amp;OutputTable[[#This Row],[Name]]&amp;OutputTable[[#This Row],[Type]]&amp;OutputTable[[#This Row],[Source]]</f>
        <v>Unnamed ProjectSystem.NumberOutNumber OutSystem</v>
      </c>
      <c r="J142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cm="1">
        <f t="array" ref="K142">IFERROR(AVERAGE(IF((OutputTable[GroupByKey]=OutputTable[[#This Row],[GroupByKey]]),(OutputTable[GroupByKey]=OutputTable[[#This Row],[GroupByKey]])*OutputTable[RecordedValue])),0)</f>
        <v>285.3</v>
      </c>
      <c r="L142" cm="1">
        <f t="array" ref="L142">IFERROR(_xlfn.STDEV.S(IF((OutputTable[GroupByKey]=OutputTable[[#This Row],[GroupByKey]]),(OutputTable[GroupByKey]=OutputTable[[#This Row],[GroupByKey]])*OutputTable[RecordedValue])),0)</f>
        <v>12.739160368585981</v>
      </c>
      <c r="M142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142" cm="1">
        <f t="array" ref="O142">MIN(IF((OutputTable[GroupByKey]=OutputTable[[#This Row],[GroupByKey]]),(OutputTable[GroupByKey]=OutputTable[[#This Row],[GroupByKey]])*OutputTable[RecordedValue]))</f>
        <v>266</v>
      </c>
      <c r="P142" cm="1">
        <f t="array" ref="P142">MAX(IF((OutputTable[GroupByKey]=OutputTable[[#This Row],[GroupByKey]]),(OutputTable[GroupByKey]=OutputTable[[#This Row],[GroupByKey]])*OutputTable[RecordedValue]))</f>
        <v>318</v>
      </c>
    </row>
    <row r="143" spans="1:16" x14ac:dyDescent="0.2">
      <c r="A143" t="s">
        <v>67</v>
      </c>
      <c r="B143" t="s">
        <v>70</v>
      </c>
      <c r="C143">
        <v>11</v>
      </c>
      <c r="D143" t="s">
        <v>120</v>
      </c>
      <c r="E143" t="s">
        <v>105</v>
      </c>
      <c r="F143" t="s">
        <v>95</v>
      </c>
      <c r="G143">
        <v>146</v>
      </c>
      <c r="H143">
        <v>0</v>
      </c>
      <c r="I143" t="str">
        <f>OutputTable[[#This Row],[ProjectName]]&amp;OutputTable[[#This Row],[Name]]&amp;OutputTable[[#This Row],[Type]]&amp;OutputTable[[#This Row],[Source]]</f>
        <v>Unnamed ProjectWaiter.NumberSeizedTotal Number SeizedResource</v>
      </c>
      <c r="J143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cm="1">
        <f t="array" ref="K143">IFERROR(AVERAGE(IF((OutputTable[GroupByKey]=OutputTable[[#This Row],[GroupByKey]]),(OutputTable[GroupByKey]=OutputTable[[#This Row],[GroupByKey]])*OutputTable[RecordedValue])),0)</f>
        <v>142.66666666666666</v>
      </c>
      <c r="L143" cm="1">
        <f t="array" ref="L143">IFERROR(_xlfn.STDEV.S(IF((OutputTable[GroupByKey]=OutputTable[[#This Row],[GroupByKey]]),(OutputTable[GroupByKey]=OutputTable[[#This Row],[GroupByKey]])*OutputTable[RecordedValue])),0)</f>
        <v>6.4505190025531167</v>
      </c>
      <c r="M143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143" cm="1">
        <f t="array" ref="O143">MIN(IF((OutputTable[GroupByKey]=OutputTable[[#This Row],[GroupByKey]]),(OutputTable[GroupByKey]=OutputTable[[#This Row],[GroupByKey]])*OutputTable[RecordedValue]))</f>
        <v>132</v>
      </c>
      <c r="P143" cm="1">
        <f t="array" ref="P143">MAX(IF((OutputTable[GroupByKey]=OutputTable[[#This Row],[GroupByKey]]),(OutputTable[GroupByKey]=OutputTable[[#This Row],[GroupByKey]])*OutputTable[RecordedValue]))</f>
        <v>160</v>
      </c>
    </row>
    <row r="144" spans="1:16" x14ac:dyDescent="0.2">
      <c r="A144" t="s">
        <v>67</v>
      </c>
      <c r="B144" t="s">
        <v>70</v>
      </c>
      <c r="C144">
        <v>11</v>
      </c>
      <c r="D144" t="s">
        <v>121</v>
      </c>
      <c r="E144" t="s">
        <v>107</v>
      </c>
      <c r="F144" t="s">
        <v>95</v>
      </c>
      <c r="G144">
        <v>8.6936295587702203E-2</v>
      </c>
      <c r="H144">
        <v>0</v>
      </c>
      <c r="I144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144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cm="1">
        <f t="array" ref="K144">IFERROR(AVERAGE(IF((OutputTable[GroupByKey]=OutputTable[[#This Row],[GroupByKey]]),(OutputTable[GroupByKey]=OutputTable[[#This Row],[GroupByKey]])*OutputTable[RecordedValue])),0)</f>
        <v>8.3509459606410805E-2</v>
      </c>
      <c r="L144" cm="1">
        <f t="array" ref="L144">IFERROR(_xlfn.STDEV.S(IF((OutputTable[GroupByKey]=OutputTable[[#This Row],[GroupByKey]]),(OutputTable[GroupByKey]=OutputTable[[#This Row],[GroupByKey]])*OutputTable[RecordedValue])),0)</f>
        <v>3.5452891325333867E-3</v>
      </c>
      <c r="M144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144" cm="1">
        <f t="array" ref="O144">MIN(IF((OutputTable[GroupByKey]=OutputTable[[#This Row],[GroupByKey]]),(OutputTable[GroupByKey]=OutputTable[[#This Row],[GroupByKey]])*OutputTable[RecordedValue]))</f>
        <v>7.7176470357847096E-2</v>
      </c>
      <c r="P144" cm="1">
        <f t="array" ref="P144">MAX(IF((OutputTable[GroupByKey]=OutputTable[[#This Row],[GroupByKey]]),(OutputTable[GroupByKey]=OutputTable[[#This Row],[GroupByKey]])*OutputTable[RecordedValue]))</f>
        <v>9.2534326714405798E-2</v>
      </c>
    </row>
    <row r="145" spans="1:16" x14ac:dyDescent="0.2">
      <c r="A145" t="s">
        <v>67</v>
      </c>
      <c r="B145" t="s">
        <v>70</v>
      </c>
      <c r="C145">
        <v>12</v>
      </c>
      <c r="D145" t="s">
        <v>104</v>
      </c>
      <c r="E145" t="s">
        <v>105</v>
      </c>
      <c r="F145" t="s">
        <v>95</v>
      </c>
      <c r="G145">
        <v>299</v>
      </c>
      <c r="H145">
        <v>0</v>
      </c>
      <c r="I145" t="str">
        <f>OutputTable[[#This Row],[ProjectName]]&amp;OutputTable[[#This Row],[Name]]&amp;OutputTable[[#This Row],[Type]]&amp;OutputTable[[#This Row],[Source]]</f>
        <v>Unnamed ProjectCleaner.NumberSeizedTotal Number SeizedResource</v>
      </c>
      <c r="J14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cm="1">
        <f t="array" ref="K145">IFERROR(AVERAGE(IF((OutputTable[GroupByKey]=OutputTable[[#This Row],[GroupByKey]]),(OutputTable[GroupByKey]=OutputTable[[#This Row],[GroupByKey]])*OutputTable[RecordedValue])),0)</f>
        <v>285.39999999999998</v>
      </c>
      <c r="L145" cm="1">
        <f t="array" ref="L145">IFERROR(_xlfn.STDEV.S(IF((OutputTable[GroupByKey]=OutputTable[[#This Row],[GroupByKey]]),(OutputTable[GroupByKey]=OutputTable[[#This Row],[GroupByKey]])*OutputTable[RecordedValue])),0)</f>
        <v>12.88302812979555</v>
      </c>
      <c r="M14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145" cm="1">
        <f t="array" ref="O145">MIN(IF((OutputTable[GroupByKey]=OutputTable[[#This Row],[GroupByKey]]),(OutputTable[GroupByKey]=OutputTable[[#This Row],[GroupByKey]])*OutputTable[RecordedValue]))</f>
        <v>266</v>
      </c>
      <c r="P145" cm="1">
        <f t="array" ref="P145">MAX(IF((OutputTable[GroupByKey]=OutputTable[[#This Row],[GroupByKey]]),(OutputTable[GroupByKey]=OutputTable[[#This Row],[GroupByKey]])*OutputTable[RecordedValue]))</f>
        <v>318</v>
      </c>
    </row>
    <row r="146" spans="1:16" x14ac:dyDescent="0.2">
      <c r="A146" t="s">
        <v>67</v>
      </c>
      <c r="B146" t="s">
        <v>70</v>
      </c>
      <c r="C146">
        <v>12</v>
      </c>
      <c r="D146" t="s">
        <v>106</v>
      </c>
      <c r="E146" t="s">
        <v>107</v>
      </c>
      <c r="F146" t="s">
        <v>95</v>
      </c>
      <c r="G146">
        <v>0.262280701754386</v>
      </c>
      <c r="H146">
        <v>0</v>
      </c>
      <c r="I146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146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cm="1">
        <f t="array" ref="K146">IFERROR(AVERAGE(IF((OutputTable[GroupByKey]=OutputTable[[#This Row],[GroupByKey]]),(OutputTable[GroupByKey]=OutputTable[[#This Row],[GroupByKey]])*OutputTable[RecordedValue])),0)</f>
        <v>0.25031804088290305</v>
      </c>
      <c r="L146" cm="1">
        <f t="array" ref="L146">IFERROR(_xlfn.STDEV.S(IF((OutputTable[GroupByKey]=OutputTable[[#This Row],[GroupByKey]]),(OutputTable[GroupByKey]=OutputTable[[#This Row],[GroupByKey]])*OutputTable[RecordedValue])),0)</f>
        <v>1.1255778929137084E-2</v>
      </c>
      <c r="M146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146" cm="1">
        <f t="array" ref="O146">MIN(IF((OutputTable[GroupByKey]=OutputTable[[#This Row],[GroupByKey]]),(OutputTable[GroupByKey]=OutputTable[[#This Row],[GroupByKey]])*OutputTable[RecordedValue]))</f>
        <v>0.233333333333333</v>
      </c>
      <c r="P146" cm="1">
        <f t="array" ref="P146">MAX(IF((OutputTable[GroupByKey]=OutputTable[[#This Row],[GroupByKey]]),(OutputTable[GroupByKey]=OutputTable[[#This Row],[GroupByKey]])*OutputTable[RecordedValue]))</f>
        <v>0.27905535859326402</v>
      </c>
    </row>
    <row r="147" spans="1:16" x14ac:dyDescent="0.2">
      <c r="A147" t="s">
        <v>67</v>
      </c>
      <c r="B147" t="s">
        <v>70</v>
      </c>
      <c r="C147">
        <v>12</v>
      </c>
      <c r="D147" t="s">
        <v>108</v>
      </c>
      <c r="E147" t="s">
        <v>105</v>
      </c>
      <c r="F147" t="s">
        <v>95</v>
      </c>
      <c r="G147">
        <v>298</v>
      </c>
      <c r="H147">
        <v>0</v>
      </c>
      <c r="I147" t="str">
        <f>OutputTable[[#This Row],[ProjectName]]&amp;OutputTable[[#This Row],[Name]]&amp;OutputTable[[#This Row],[Type]]&amp;OutputTable[[#This Row],[Source]]</f>
        <v>Unnamed ProjectCooker.NumberSeizedTotal Number SeizedResource</v>
      </c>
      <c r="J147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cm="1">
        <f t="array" ref="K147">IFERROR(AVERAGE(IF((OutputTable[GroupByKey]=OutputTable[[#This Row],[GroupByKey]]),(OutputTable[GroupByKey]=OutputTable[[#This Row],[GroupByKey]])*OutputTable[RecordedValue])),0)</f>
        <v>285.66666666666669</v>
      </c>
      <c r="L147" cm="1">
        <f t="array" ref="L147">IFERROR(_xlfn.STDEV.S(IF((OutputTable[GroupByKey]=OutputTable[[#This Row],[GroupByKey]]),(OutputTable[GroupByKey]=OutputTable[[#This Row],[GroupByKey]])*OutputTable[RecordedValue])),0)</f>
        <v>12.949060233064802</v>
      </c>
      <c r="M147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147" cm="1">
        <f t="array" ref="O147">MIN(IF((OutputTable[GroupByKey]=OutputTable[[#This Row],[GroupByKey]]),(OutputTable[GroupByKey]=OutputTable[[#This Row],[GroupByKey]])*OutputTable[RecordedValue]))</f>
        <v>264</v>
      </c>
      <c r="P147" cm="1">
        <f t="array" ref="P147">MAX(IF((OutputTable[GroupByKey]=OutputTable[[#This Row],[GroupByKey]]),(OutputTable[GroupByKey]=OutputTable[[#This Row],[GroupByKey]])*OutputTable[RecordedValue]))</f>
        <v>320</v>
      </c>
    </row>
    <row r="148" spans="1:16" x14ac:dyDescent="0.2">
      <c r="A148" t="s">
        <v>67</v>
      </c>
      <c r="B148" t="s">
        <v>70</v>
      </c>
      <c r="C148">
        <v>12</v>
      </c>
      <c r="D148" t="s">
        <v>109</v>
      </c>
      <c r="E148" t="s">
        <v>107</v>
      </c>
      <c r="F148" t="s">
        <v>95</v>
      </c>
      <c r="G148">
        <v>0.64543431332300205</v>
      </c>
      <c r="H148">
        <v>0</v>
      </c>
      <c r="I148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148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cm="1">
        <f t="array" ref="K148">IFERROR(AVERAGE(IF((OutputTable[GroupByKey]=OutputTable[[#This Row],[GroupByKey]]),(OutputTable[GroupByKey]=OutputTable[[#This Row],[GroupByKey]])*OutputTable[RecordedValue])),0)</f>
        <v>0.62721981794251769</v>
      </c>
      <c r="L148" cm="1">
        <f t="array" ref="L148">IFERROR(_xlfn.STDEV.S(IF((OutputTable[GroupByKey]=OutputTable[[#This Row],[GroupByKey]]),(OutputTable[GroupByKey]=OutputTable[[#This Row],[GroupByKey]])*OutputTable[RecordedValue])),0)</f>
        <v>2.6376107220918699E-2</v>
      </c>
      <c r="M148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148" cm="1">
        <f t="array" ref="O148">MIN(IF((OutputTable[GroupByKey]=OutputTable[[#This Row],[GroupByKey]]),(OutputTable[GroupByKey]=OutputTable[[#This Row],[GroupByKey]])*OutputTable[RecordedValue]))</f>
        <v>0.58256422876290004</v>
      </c>
      <c r="P148" cm="1">
        <f t="array" ref="P148">MAX(IF((OutputTable[GroupByKey]=OutputTable[[#This Row],[GroupByKey]]),(OutputTable[GroupByKey]=OutputTable[[#This Row],[GroupByKey]])*OutputTable[RecordedValue]))</f>
        <v>0.68643238055161704</v>
      </c>
    </row>
    <row r="149" spans="1:16" x14ac:dyDescent="0.2">
      <c r="A149" t="s">
        <v>67</v>
      </c>
      <c r="B149" t="s">
        <v>70</v>
      </c>
      <c r="C149">
        <v>12</v>
      </c>
      <c r="D149" t="s">
        <v>110</v>
      </c>
      <c r="E149" t="s">
        <v>111</v>
      </c>
      <c r="F149" t="s">
        <v>76</v>
      </c>
      <c r="G149">
        <v>889</v>
      </c>
      <c r="H149">
        <v>0</v>
      </c>
      <c r="I149" t="str">
        <f>OutputTable[[#This Row],[ProjectName]]&amp;OutputTable[[#This Row],[Name]]&amp;OutputTable[[#This Row],[Type]]&amp;OutputTable[[#This Row],[Source]]</f>
        <v>Unnamed ProjectCustomer.NumberInNumber InEntity</v>
      </c>
      <c r="J149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cm="1">
        <f t="array" ref="K149">IFERROR(AVERAGE(IF((OutputTable[GroupByKey]=OutputTable[[#This Row],[GroupByKey]]),(OutputTable[GroupByKey]=OutputTable[[#This Row],[GroupByKey]])*OutputTable[RecordedValue])),0)</f>
        <v>855.93333333333328</v>
      </c>
      <c r="L149" cm="1">
        <f t="array" ref="L149">IFERROR(_xlfn.STDEV.S(IF((OutputTable[GroupByKey]=OutputTable[[#This Row],[GroupByKey]]),(OutputTable[GroupByKey]=OutputTable[[#This Row],[GroupByKey]])*OutputTable[RecordedValue])),0)</f>
        <v>38.659373073509371</v>
      </c>
      <c r="M149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149" cm="1">
        <f t="array" ref="O149">MIN(IF((OutputTable[GroupByKey]=OutputTable[[#This Row],[GroupByKey]]),(OutputTable[GroupByKey]=OutputTable[[#This Row],[GroupByKey]])*OutputTable[RecordedValue]))</f>
        <v>792</v>
      </c>
      <c r="P149" cm="1">
        <f t="array" ref="P149">MAX(IF((OutputTable[GroupByKey]=OutputTable[[#This Row],[GroupByKey]]),(OutputTable[GroupByKey]=OutputTable[[#This Row],[GroupByKey]])*OutputTable[RecordedValue]))</f>
        <v>958</v>
      </c>
    </row>
    <row r="150" spans="1:16" x14ac:dyDescent="0.2">
      <c r="A150" t="s">
        <v>67</v>
      </c>
      <c r="B150" t="s">
        <v>70</v>
      </c>
      <c r="C150">
        <v>12</v>
      </c>
      <c r="D150" t="s">
        <v>112</v>
      </c>
      <c r="E150" t="s">
        <v>113</v>
      </c>
      <c r="F150" t="s">
        <v>76</v>
      </c>
      <c r="G150">
        <v>899</v>
      </c>
      <c r="H150">
        <v>0</v>
      </c>
      <c r="I150" t="str">
        <f>OutputTable[[#This Row],[ProjectName]]&amp;OutputTable[[#This Row],[Name]]&amp;OutputTable[[#This Row],[Type]]&amp;OutputTable[[#This Row],[Source]]</f>
        <v>Unnamed ProjectCustomer.NumberOutNumber OutEntity</v>
      </c>
      <c r="J150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cm="1">
        <f t="array" ref="K150">IFERROR(AVERAGE(IF((OutputTable[GroupByKey]=OutputTable[[#This Row],[GroupByKey]]),(OutputTable[GroupByKey]=OutputTable[[#This Row],[GroupByKey]])*OutputTable[RecordedValue])),0)</f>
        <v>855.3</v>
      </c>
      <c r="L150" cm="1">
        <f t="array" ref="L150">IFERROR(_xlfn.STDEV.S(IF((OutputTable[GroupByKey]=OutputTable[[#This Row],[GroupByKey]]),(OutputTable[GroupByKey]=OutputTable[[#This Row],[GroupByKey]])*OutputTable[RecordedValue])),0)</f>
        <v>38.322722169527033</v>
      </c>
      <c r="M150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150" cm="1">
        <f t="array" ref="O150">MIN(IF((OutputTable[GroupByKey]=OutputTable[[#This Row],[GroupByKey]]),(OutputTable[GroupByKey]=OutputTable[[#This Row],[GroupByKey]])*OutputTable[RecordedValue]))</f>
        <v>798</v>
      </c>
      <c r="P150" cm="1">
        <f t="array" ref="P150">MAX(IF((OutputTable[GroupByKey]=OutputTable[[#This Row],[GroupByKey]]),(OutputTable[GroupByKey]=OutputTable[[#This Row],[GroupByKey]])*OutputTable[RecordedValue]))</f>
        <v>954</v>
      </c>
    </row>
    <row r="151" spans="1:16" x14ac:dyDescent="0.2">
      <c r="A151" t="s">
        <v>67</v>
      </c>
      <c r="B151" t="s">
        <v>70</v>
      </c>
      <c r="C151">
        <v>12</v>
      </c>
      <c r="D151" t="s">
        <v>114</v>
      </c>
      <c r="E151" t="s">
        <v>105</v>
      </c>
      <c r="F151" t="s">
        <v>95</v>
      </c>
      <c r="G151">
        <v>339</v>
      </c>
      <c r="H151">
        <v>0</v>
      </c>
      <c r="I151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151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cm="1">
        <f t="array" ref="K151">IFERROR(AVERAGE(IF((OutputTable[GroupByKey]=OutputTable[[#This Row],[GroupByKey]]),(OutputTable[GroupByKey]=OutputTable[[#This Row],[GroupByKey]])*OutputTable[RecordedValue])),0)</f>
        <v>344.6</v>
      </c>
      <c r="L151" cm="1">
        <f t="array" ref="L151">IFERROR(_xlfn.STDEV.S(IF((OutputTable[GroupByKey]=OutputTable[[#This Row],[GroupByKey]]),(OutputTable[GroupByKey]=OutputTable[[#This Row],[GroupByKey]])*OutputTable[RecordedValue])),0)</f>
        <v>21.890952311479008</v>
      </c>
      <c r="M151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151" cm="1">
        <f t="array" ref="O151">MIN(IF((OutputTable[GroupByKey]=OutputTable[[#This Row],[GroupByKey]]),(OutputTable[GroupByKey]=OutputTable[[#This Row],[GroupByKey]])*OutputTable[RecordedValue]))</f>
        <v>311</v>
      </c>
      <c r="P151" cm="1">
        <f t="array" ref="P151">MAX(IF((OutputTable[GroupByKey]=OutputTable[[#This Row],[GroupByKey]]),(OutputTable[GroupByKey]=OutputTable[[#This Row],[GroupByKey]])*OutputTable[RecordedValue]))</f>
        <v>396</v>
      </c>
    </row>
    <row r="152" spans="1:16" x14ac:dyDescent="0.2">
      <c r="A152" t="s">
        <v>67</v>
      </c>
      <c r="B152" t="s">
        <v>70</v>
      </c>
      <c r="C152">
        <v>12</v>
      </c>
      <c r="D152" t="s">
        <v>115</v>
      </c>
      <c r="E152" t="s">
        <v>107</v>
      </c>
      <c r="F152" t="s">
        <v>95</v>
      </c>
      <c r="G152">
        <v>1.85855263157895E-3</v>
      </c>
      <c r="H152">
        <v>0</v>
      </c>
      <c r="I152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152" cm="1">
        <f t="array" ref="J152">MAX(IF((ProjectInfoTable[ProjectName]=OutputTable[[#This Row],[ProjectName]]),(ProjectInfoTable[ProjectName]=OutputTable[[#This Row],[ProjectName]])*ProjectInfoTable[NumberOfReplications]))</f>
        <v>30</v>
      </c>
      <c r="K152" cm="1">
        <f t="array" ref="K152">IFERROR(AVERAGE(IF((OutputTable[GroupByKey]=OutputTable[[#This Row],[GroupByKey]]),(OutputTable[GroupByKey]=OutputTable[[#This Row],[GroupByKey]])*OutputTable[RecordedValue])),0)</f>
        <v>1.889307012236451E-3</v>
      </c>
      <c r="L152" cm="1">
        <f t="array" ref="L152">IFERROR(_xlfn.STDEV.S(IF((OutputTable[GroupByKey]=OutputTable[[#This Row],[GroupByKey]]),(OutputTable[GroupByKey]=OutputTable[[#This Row],[GroupByKey]])*OutputTable[RecordedValue])),0)</f>
        <v>1.2015303758165521E-4</v>
      </c>
      <c r="M152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152" cm="1">
        <f t="array" ref="O152">MIN(IF((OutputTable[GroupByKey]=OutputTable[[#This Row],[GroupByKey]]),(OutputTable[GroupByKey]=OutputTable[[#This Row],[GroupByKey]])*OutputTable[RecordedValue]))</f>
        <v>1.70504385964912E-3</v>
      </c>
      <c r="P152" cm="1">
        <f t="array" ref="P152">MAX(IF((OutputTable[GroupByKey]=OutputTable[[#This Row],[GroupByKey]]),(OutputTable[GroupByKey]=OutputTable[[#This Row],[GroupByKey]])*OutputTable[RecordedValue]))</f>
        <v>2.17031677925951E-3</v>
      </c>
    </row>
    <row r="153" spans="1:16" x14ac:dyDescent="0.2">
      <c r="A153" t="s">
        <v>67</v>
      </c>
      <c r="B153" t="s">
        <v>70</v>
      </c>
      <c r="C153">
        <v>12</v>
      </c>
      <c r="D153" t="s">
        <v>116</v>
      </c>
      <c r="E153" t="s">
        <v>105</v>
      </c>
      <c r="F153" t="s">
        <v>95</v>
      </c>
      <c r="G153">
        <v>253</v>
      </c>
      <c r="H153">
        <v>0</v>
      </c>
      <c r="I153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153" cm="1">
        <f t="array" ref="J153">MAX(IF((ProjectInfoTable[ProjectName]=OutputTable[[#This Row],[ProjectName]]),(ProjectInfoTable[ProjectName]=OutputTable[[#This Row],[ProjectName]])*ProjectInfoTable[NumberOfReplications]))</f>
        <v>30</v>
      </c>
      <c r="K153" cm="1">
        <f t="array" ref="K153">IFERROR(AVERAGE(IF((OutputTable[GroupByKey]=OutputTable[[#This Row],[GroupByKey]]),(OutputTable[GroupByKey]=OutputTable[[#This Row],[GroupByKey]])*OutputTable[RecordedValue])),0)</f>
        <v>225.93333333333334</v>
      </c>
      <c r="L153" cm="1">
        <f t="array" ref="L153">IFERROR(_xlfn.STDEV.S(IF((OutputTable[GroupByKey]=OutputTable[[#This Row],[GroupByKey]]),(OutputTable[GroupByKey]=OutputTable[[#This Row],[GroupByKey]])*OutputTable[RecordedValue])),0)</f>
        <v>12.403929670244338</v>
      </c>
      <c r="M153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153" cm="1">
        <f t="array" ref="O153">MIN(IF((OutputTable[GroupByKey]=OutputTable[[#This Row],[GroupByKey]]),(OutputTable[GroupByKey]=OutputTable[[#This Row],[GroupByKey]])*OutputTable[RecordedValue]))</f>
        <v>205</v>
      </c>
      <c r="P153" cm="1">
        <f t="array" ref="P153">MAX(IF((OutputTable[GroupByKey]=OutputTable[[#This Row],[GroupByKey]]),(OutputTable[GroupByKey]=OutputTable[[#This Row],[GroupByKey]])*OutputTable[RecordedValue]))</f>
        <v>253</v>
      </c>
    </row>
    <row r="154" spans="1:16" x14ac:dyDescent="0.2">
      <c r="A154" t="s">
        <v>67</v>
      </c>
      <c r="B154" t="s">
        <v>70</v>
      </c>
      <c r="C154">
        <v>12</v>
      </c>
      <c r="D154" t="s">
        <v>117</v>
      </c>
      <c r="E154" t="s">
        <v>107</v>
      </c>
      <c r="F154" t="s">
        <v>95</v>
      </c>
      <c r="G154">
        <v>5.5482456140350904E-3</v>
      </c>
      <c r="H154">
        <v>0</v>
      </c>
      <c r="I154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154" cm="1">
        <f t="array" ref="J154">MAX(IF((ProjectInfoTable[ProjectName]=OutputTable[[#This Row],[ProjectName]]),(ProjectInfoTable[ProjectName]=OutputTable[[#This Row],[ProjectName]])*ProjectInfoTable[NumberOfReplications]))</f>
        <v>30</v>
      </c>
      <c r="K154" cm="1">
        <f t="array" ref="K154">IFERROR(AVERAGE(IF((OutputTable[GroupByKey]=OutputTable[[#This Row],[GroupByKey]]),(OutputTable[GroupByKey]=OutputTable[[#This Row],[GroupByKey]])*OutputTable[RecordedValue])),0)</f>
        <v>4.9565971649701106E-3</v>
      </c>
      <c r="L154" cm="1">
        <f t="array" ref="L154">IFERROR(_xlfn.STDEV.S(IF((OutputTable[GroupByKey]=OutputTable[[#This Row],[GroupByKey]]),(OutputTable[GroupByKey]=OutputTable[[#This Row],[GroupByKey]])*OutputTable[RecordedValue])),0)</f>
        <v>2.7167433725199517E-4</v>
      </c>
      <c r="M154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154" cm="1">
        <f t="array" ref="O154">MIN(IF((OutputTable[GroupByKey]=OutputTable[[#This Row],[GroupByKey]]),(OutputTable[GroupByKey]=OutputTable[[#This Row],[GroupByKey]])*OutputTable[RecordedValue]))</f>
        <v>4.4956140350877203E-3</v>
      </c>
      <c r="P154" cm="1">
        <f t="array" ref="P154">MAX(IF((OutputTable[GroupByKey]=OutputTable[[#This Row],[GroupByKey]]),(OutputTable[GroupByKey]=OutputTable[[#This Row],[GroupByKey]])*OutputTable[RecordedValue]))</f>
        <v>5.5482456140350904E-3</v>
      </c>
    </row>
    <row r="155" spans="1:16" x14ac:dyDescent="0.2">
      <c r="A155" t="s">
        <v>67</v>
      </c>
      <c r="B155" t="s">
        <v>70</v>
      </c>
      <c r="C155">
        <v>12</v>
      </c>
      <c r="D155" t="s">
        <v>118</v>
      </c>
      <c r="E155" t="s">
        <v>113</v>
      </c>
      <c r="F155" t="s">
        <v>119</v>
      </c>
      <c r="G155">
        <v>299</v>
      </c>
      <c r="H155">
        <v>0</v>
      </c>
      <c r="I155" t="str">
        <f>OutputTable[[#This Row],[ProjectName]]&amp;OutputTable[[#This Row],[Name]]&amp;OutputTable[[#This Row],[Type]]&amp;OutputTable[[#This Row],[Source]]</f>
        <v>Unnamed ProjectSystem.NumberOutNumber OutSystem</v>
      </c>
      <c r="J155" cm="1">
        <f t="array" ref="J155">MAX(IF((ProjectInfoTable[ProjectName]=OutputTable[[#This Row],[ProjectName]]),(ProjectInfoTable[ProjectName]=OutputTable[[#This Row],[ProjectName]])*ProjectInfoTable[NumberOfReplications]))</f>
        <v>30</v>
      </c>
      <c r="K155" cm="1">
        <f t="array" ref="K155">IFERROR(AVERAGE(IF((OutputTable[GroupByKey]=OutputTable[[#This Row],[GroupByKey]]),(OutputTable[GroupByKey]=OutputTable[[#This Row],[GroupByKey]])*OutputTable[RecordedValue])),0)</f>
        <v>285.3</v>
      </c>
      <c r="L155" cm="1">
        <f t="array" ref="L155">IFERROR(_xlfn.STDEV.S(IF((OutputTable[GroupByKey]=OutputTable[[#This Row],[GroupByKey]]),(OutputTable[GroupByKey]=OutputTable[[#This Row],[GroupByKey]])*OutputTable[RecordedValue])),0)</f>
        <v>12.739160368585981</v>
      </c>
      <c r="M15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155" cm="1">
        <f t="array" ref="O155">MIN(IF((OutputTable[GroupByKey]=OutputTable[[#This Row],[GroupByKey]]),(OutputTable[GroupByKey]=OutputTable[[#This Row],[GroupByKey]])*OutputTable[RecordedValue]))</f>
        <v>266</v>
      </c>
      <c r="P155" cm="1">
        <f t="array" ref="P155">MAX(IF((OutputTable[GroupByKey]=OutputTable[[#This Row],[GroupByKey]]),(OutputTable[GroupByKey]=OutputTable[[#This Row],[GroupByKey]])*OutputTable[RecordedValue]))</f>
        <v>318</v>
      </c>
    </row>
    <row r="156" spans="1:16" x14ac:dyDescent="0.2">
      <c r="A156" t="s">
        <v>67</v>
      </c>
      <c r="B156" t="s">
        <v>70</v>
      </c>
      <c r="C156">
        <v>12</v>
      </c>
      <c r="D156" t="s">
        <v>120</v>
      </c>
      <c r="E156" t="s">
        <v>105</v>
      </c>
      <c r="F156" t="s">
        <v>95</v>
      </c>
      <c r="G156">
        <v>148</v>
      </c>
      <c r="H156">
        <v>0</v>
      </c>
      <c r="I156" t="str">
        <f>OutputTable[[#This Row],[ProjectName]]&amp;OutputTable[[#This Row],[Name]]&amp;OutputTable[[#This Row],[Type]]&amp;OutputTable[[#This Row],[Source]]</f>
        <v>Unnamed ProjectWaiter.NumberSeizedTotal Number SeizedResource</v>
      </c>
      <c r="J156" cm="1">
        <f t="array" ref="J156">MAX(IF((ProjectInfoTable[ProjectName]=OutputTable[[#This Row],[ProjectName]]),(ProjectInfoTable[ProjectName]=OutputTable[[#This Row],[ProjectName]])*ProjectInfoTable[NumberOfReplications]))</f>
        <v>30</v>
      </c>
      <c r="K156" cm="1">
        <f t="array" ref="K156">IFERROR(AVERAGE(IF((OutputTable[GroupByKey]=OutputTable[[#This Row],[GroupByKey]]),(OutputTable[GroupByKey]=OutputTable[[#This Row],[GroupByKey]])*OutputTable[RecordedValue])),0)</f>
        <v>142.66666666666666</v>
      </c>
      <c r="L156" cm="1">
        <f t="array" ref="L156">IFERROR(_xlfn.STDEV.S(IF((OutputTable[GroupByKey]=OutputTable[[#This Row],[GroupByKey]]),(OutputTable[GroupByKey]=OutputTable[[#This Row],[GroupByKey]])*OutputTable[RecordedValue])),0)</f>
        <v>6.4505190025531167</v>
      </c>
      <c r="M156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156" cm="1">
        <f t="array" ref="O156">MIN(IF((OutputTable[GroupByKey]=OutputTable[[#This Row],[GroupByKey]]),(OutputTable[GroupByKey]=OutputTable[[#This Row],[GroupByKey]])*OutputTable[RecordedValue]))</f>
        <v>132</v>
      </c>
      <c r="P156" cm="1">
        <f t="array" ref="P156">MAX(IF((OutputTable[GroupByKey]=OutputTable[[#This Row],[GroupByKey]]),(OutputTable[GroupByKey]=OutputTable[[#This Row],[GroupByKey]])*OutputTable[RecordedValue]))</f>
        <v>160</v>
      </c>
    </row>
    <row r="157" spans="1:16" x14ac:dyDescent="0.2">
      <c r="A157" t="s">
        <v>67</v>
      </c>
      <c r="B157" t="s">
        <v>70</v>
      </c>
      <c r="C157">
        <v>12</v>
      </c>
      <c r="D157" t="s">
        <v>121</v>
      </c>
      <c r="E157" t="s">
        <v>107</v>
      </c>
      <c r="F157" t="s">
        <v>95</v>
      </c>
      <c r="G157">
        <v>8.7155605256225399E-2</v>
      </c>
      <c r="H157">
        <v>0</v>
      </c>
      <c r="I157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157" cm="1">
        <f t="array" ref="J157">MAX(IF((ProjectInfoTable[ProjectName]=OutputTable[[#This Row],[ProjectName]]),(ProjectInfoTable[ProjectName]=OutputTable[[#This Row],[ProjectName]])*ProjectInfoTable[NumberOfReplications]))</f>
        <v>30</v>
      </c>
      <c r="K157" cm="1">
        <f t="array" ref="K157">IFERROR(AVERAGE(IF((OutputTable[GroupByKey]=OutputTable[[#This Row],[GroupByKey]]),(OutputTable[GroupByKey]=OutputTable[[#This Row],[GroupByKey]])*OutputTable[RecordedValue])),0)</f>
        <v>8.3509459606410805E-2</v>
      </c>
      <c r="L157" cm="1">
        <f t="array" ref="L157">IFERROR(_xlfn.STDEV.S(IF((OutputTable[GroupByKey]=OutputTable[[#This Row],[GroupByKey]]),(OutputTable[GroupByKey]=OutputTable[[#This Row],[GroupByKey]])*OutputTable[RecordedValue])),0)</f>
        <v>3.5452891325333867E-3</v>
      </c>
      <c r="M157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157" cm="1">
        <f t="array" ref="O157">MIN(IF((OutputTable[GroupByKey]=OutputTable[[#This Row],[GroupByKey]]),(OutputTable[GroupByKey]=OutputTable[[#This Row],[GroupByKey]])*OutputTable[RecordedValue]))</f>
        <v>7.7176470357847096E-2</v>
      </c>
      <c r="P157" cm="1">
        <f t="array" ref="P157">MAX(IF((OutputTable[GroupByKey]=OutputTable[[#This Row],[GroupByKey]]),(OutputTable[GroupByKey]=OutputTable[[#This Row],[GroupByKey]])*OutputTable[RecordedValue]))</f>
        <v>9.2534326714405798E-2</v>
      </c>
    </row>
    <row r="158" spans="1:16" x14ac:dyDescent="0.2">
      <c r="A158" t="s">
        <v>67</v>
      </c>
      <c r="B158" t="s">
        <v>70</v>
      </c>
      <c r="C158">
        <v>13</v>
      </c>
      <c r="D158" t="s">
        <v>104</v>
      </c>
      <c r="E158" t="s">
        <v>105</v>
      </c>
      <c r="F158" t="s">
        <v>95</v>
      </c>
      <c r="G158">
        <v>297</v>
      </c>
      <c r="H158">
        <v>0</v>
      </c>
      <c r="I158" t="str">
        <f>OutputTable[[#This Row],[ProjectName]]&amp;OutputTable[[#This Row],[Name]]&amp;OutputTable[[#This Row],[Type]]&amp;OutputTable[[#This Row],[Source]]</f>
        <v>Unnamed ProjectCleaner.NumberSeizedTotal Number SeizedResource</v>
      </c>
      <c r="J158" cm="1">
        <f t="array" ref="J158">MAX(IF((ProjectInfoTable[ProjectName]=OutputTable[[#This Row],[ProjectName]]),(ProjectInfoTable[ProjectName]=OutputTable[[#This Row],[ProjectName]])*ProjectInfoTable[NumberOfReplications]))</f>
        <v>30</v>
      </c>
      <c r="K158" cm="1">
        <f t="array" ref="K158">IFERROR(AVERAGE(IF((OutputTable[GroupByKey]=OutputTable[[#This Row],[GroupByKey]]),(OutputTable[GroupByKey]=OutputTable[[#This Row],[GroupByKey]])*OutputTable[RecordedValue])),0)</f>
        <v>285.39999999999998</v>
      </c>
      <c r="L158" cm="1">
        <f t="array" ref="L158">IFERROR(_xlfn.STDEV.S(IF((OutputTable[GroupByKey]=OutputTable[[#This Row],[GroupByKey]]),(OutputTable[GroupByKey]=OutputTable[[#This Row],[GroupByKey]])*OutputTable[RecordedValue])),0)</f>
        <v>12.88302812979555</v>
      </c>
      <c r="M158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158" cm="1">
        <f t="array" ref="O158">MIN(IF((OutputTable[GroupByKey]=OutputTable[[#This Row],[GroupByKey]]),(OutputTable[GroupByKey]=OutputTable[[#This Row],[GroupByKey]])*OutputTable[RecordedValue]))</f>
        <v>266</v>
      </c>
      <c r="P158" cm="1">
        <f t="array" ref="P158">MAX(IF((OutputTable[GroupByKey]=OutputTable[[#This Row],[GroupByKey]]),(OutputTable[GroupByKey]=OutputTable[[#This Row],[GroupByKey]])*OutputTable[RecordedValue]))</f>
        <v>318</v>
      </c>
    </row>
    <row r="159" spans="1:16" x14ac:dyDescent="0.2">
      <c r="A159" t="s">
        <v>67</v>
      </c>
      <c r="B159" t="s">
        <v>70</v>
      </c>
      <c r="C159">
        <v>13</v>
      </c>
      <c r="D159" t="s">
        <v>106</v>
      </c>
      <c r="E159" t="s">
        <v>107</v>
      </c>
      <c r="F159" t="s">
        <v>95</v>
      </c>
      <c r="G159">
        <v>0.26026130163086397</v>
      </c>
      <c r="H159">
        <v>0</v>
      </c>
      <c r="I159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159" cm="1">
        <f t="array" ref="J159">MAX(IF((ProjectInfoTable[ProjectName]=OutputTable[[#This Row],[ProjectName]]),(ProjectInfoTable[ProjectName]=OutputTable[[#This Row],[ProjectName]])*ProjectInfoTable[NumberOfReplications]))</f>
        <v>30</v>
      </c>
      <c r="K159" cm="1">
        <f t="array" ref="K159">IFERROR(AVERAGE(IF((OutputTable[GroupByKey]=OutputTable[[#This Row],[GroupByKey]]),(OutputTable[GroupByKey]=OutputTable[[#This Row],[GroupByKey]])*OutputTable[RecordedValue])),0)</f>
        <v>0.25031804088290305</v>
      </c>
      <c r="L159" cm="1">
        <f t="array" ref="L159">IFERROR(_xlfn.STDEV.S(IF((OutputTable[GroupByKey]=OutputTable[[#This Row],[GroupByKey]]),(OutputTable[GroupByKey]=OutputTable[[#This Row],[GroupByKey]])*OutputTable[RecordedValue])),0)</f>
        <v>1.1255778929137084E-2</v>
      </c>
      <c r="M159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159" cm="1">
        <f t="array" ref="O159">MIN(IF((OutputTable[GroupByKey]=OutputTable[[#This Row],[GroupByKey]]),(OutputTable[GroupByKey]=OutputTable[[#This Row],[GroupByKey]])*OutputTable[RecordedValue]))</f>
        <v>0.233333333333333</v>
      </c>
      <c r="P159" cm="1">
        <f t="array" ref="P159">MAX(IF((OutputTable[GroupByKey]=OutputTable[[#This Row],[GroupByKey]]),(OutputTable[GroupByKey]=OutputTable[[#This Row],[GroupByKey]])*OutputTable[RecordedValue]))</f>
        <v>0.27905535859326402</v>
      </c>
    </row>
    <row r="160" spans="1:16" x14ac:dyDescent="0.2">
      <c r="A160" t="s">
        <v>67</v>
      </c>
      <c r="B160" t="s">
        <v>70</v>
      </c>
      <c r="C160">
        <v>13</v>
      </c>
      <c r="D160" t="s">
        <v>108</v>
      </c>
      <c r="E160" t="s">
        <v>105</v>
      </c>
      <c r="F160" t="s">
        <v>95</v>
      </c>
      <c r="G160">
        <v>296</v>
      </c>
      <c r="H160">
        <v>0</v>
      </c>
      <c r="I160" t="str">
        <f>OutputTable[[#This Row],[ProjectName]]&amp;OutputTable[[#This Row],[Name]]&amp;OutputTable[[#This Row],[Type]]&amp;OutputTable[[#This Row],[Source]]</f>
        <v>Unnamed ProjectCooker.NumberSeizedTotal Number SeizedResource</v>
      </c>
      <c r="J160" cm="1">
        <f t="array" ref="J160">MAX(IF((ProjectInfoTable[ProjectName]=OutputTable[[#This Row],[ProjectName]]),(ProjectInfoTable[ProjectName]=OutputTable[[#This Row],[ProjectName]])*ProjectInfoTable[NumberOfReplications]))</f>
        <v>30</v>
      </c>
      <c r="K160" cm="1">
        <f t="array" ref="K160">IFERROR(AVERAGE(IF((OutputTable[GroupByKey]=OutputTable[[#This Row],[GroupByKey]]),(OutputTable[GroupByKey]=OutputTable[[#This Row],[GroupByKey]])*OutputTable[RecordedValue])),0)</f>
        <v>285.66666666666669</v>
      </c>
      <c r="L160" cm="1">
        <f t="array" ref="L160">IFERROR(_xlfn.STDEV.S(IF((OutputTable[GroupByKey]=OutputTable[[#This Row],[GroupByKey]]),(OutputTable[GroupByKey]=OutputTable[[#This Row],[GroupByKey]])*OutputTable[RecordedValue])),0)</f>
        <v>12.949060233064802</v>
      </c>
      <c r="M160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160" cm="1">
        <f t="array" ref="O160">MIN(IF((OutputTable[GroupByKey]=OutputTable[[#This Row],[GroupByKey]]),(OutputTable[GroupByKey]=OutputTable[[#This Row],[GroupByKey]])*OutputTable[RecordedValue]))</f>
        <v>264</v>
      </c>
      <c r="P160" cm="1">
        <f t="array" ref="P160">MAX(IF((OutputTable[GroupByKey]=OutputTable[[#This Row],[GroupByKey]]),(OutputTable[GroupByKey]=OutputTable[[#This Row],[GroupByKey]])*OutputTable[RecordedValue]))</f>
        <v>320</v>
      </c>
    </row>
    <row r="161" spans="1:16" x14ac:dyDescent="0.2">
      <c r="A161" t="s">
        <v>67</v>
      </c>
      <c r="B161" t="s">
        <v>70</v>
      </c>
      <c r="C161">
        <v>13</v>
      </c>
      <c r="D161" t="s">
        <v>109</v>
      </c>
      <c r="E161" t="s">
        <v>107</v>
      </c>
      <c r="F161" t="s">
        <v>95</v>
      </c>
      <c r="G161">
        <v>0.65057958120381199</v>
      </c>
      <c r="H161">
        <v>0</v>
      </c>
      <c r="I161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161" cm="1">
        <f t="array" ref="J161">MAX(IF((ProjectInfoTable[ProjectName]=OutputTable[[#This Row],[ProjectName]]),(ProjectInfoTable[ProjectName]=OutputTable[[#This Row],[ProjectName]])*ProjectInfoTable[NumberOfReplications]))</f>
        <v>30</v>
      </c>
      <c r="K161" cm="1">
        <f t="array" ref="K161">IFERROR(AVERAGE(IF((OutputTable[GroupByKey]=OutputTable[[#This Row],[GroupByKey]]),(OutputTable[GroupByKey]=OutputTable[[#This Row],[GroupByKey]])*OutputTable[RecordedValue])),0)</f>
        <v>0.62721981794251769</v>
      </c>
      <c r="L161" cm="1">
        <f t="array" ref="L161">IFERROR(_xlfn.STDEV.S(IF((OutputTable[GroupByKey]=OutputTable[[#This Row],[GroupByKey]]),(OutputTable[GroupByKey]=OutputTable[[#This Row],[GroupByKey]])*OutputTable[RecordedValue])),0)</f>
        <v>2.6376107220918699E-2</v>
      </c>
      <c r="M161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161" cm="1">
        <f t="array" ref="O161">MIN(IF((OutputTable[GroupByKey]=OutputTable[[#This Row],[GroupByKey]]),(OutputTable[GroupByKey]=OutputTable[[#This Row],[GroupByKey]])*OutputTable[RecordedValue]))</f>
        <v>0.58256422876290004</v>
      </c>
      <c r="P161" cm="1">
        <f t="array" ref="P161">MAX(IF((OutputTable[GroupByKey]=OutputTable[[#This Row],[GroupByKey]]),(OutputTable[GroupByKey]=OutputTable[[#This Row],[GroupByKey]])*OutputTable[RecordedValue]))</f>
        <v>0.68643238055161704</v>
      </c>
    </row>
    <row r="162" spans="1:16" x14ac:dyDescent="0.2">
      <c r="A162" t="s">
        <v>67</v>
      </c>
      <c r="B162" t="s">
        <v>70</v>
      </c>
      <c r="C162">
        <v>13</v>
      </c>
      <c r="D162" t="s">
        <v>110</v>
      </c>
      <c r="E162" t="s">
        <v>111</v>
      </c>
      <c r="F162" t="s">
        <v>76</v>
      </c>
      <c r="G162">
        <v>884</v>
      </c>
      <c r="H162">
        <v>0</v>
      </c>
      <c r="I162" t="str">
        <f>OutputTable[[#This Row],[ProjectName]]&amp;OutputTable[[#This Row],[Name]]&amp;OutputTable[[#This Row],[Type]]&amp;OutputTable[[#This Row],[Source]]</f>
        <v>Unnamed ProjectCustomer.NumberInNumber InEntity</v>
      </c>
      <c r="J162" cm="1">
        <f t="array" ref="J162">MAX(IF((ProjectInfoTable[ProjectName]=OutputTable[[#This Row],[ProjectName]]),(ProjectInfoTable[ProjectName]=OutputTable[[#This Row],[ProjectName]])*ProjectInfoTable[NumberOfReplications]))</f>
        <v>30</v>
      </c>
      <c r="K162" cm="1">
        <f t="array" ref="K162">IFERROR(AVERAGE(IF((OutputTable[GroupByKey]=OutputTable[[#This Row],[GroupByKey]]),(OutputTable[GroupByKey]=OutputTable[[#This Row],[GroupByKey]])*OutputTable[RecordedValue])),0)</f>
        <v>855.93333333333328</v>
      </c>
      <c r="L162" cm="1">
        <f t="array" ref="L162">IFERROR(_xlfn.STDEV.S(IF((OutputTable[GroupByKey]=OutputTable[[#This Row],[GroupByKey]]),(OutputTable[GroupByKey]=OutputTable[[#This Row],[GroupByKey]])*OutputTable[RecordedValue])),0)</f>
        <v>38.659373073509371</v>
      </c>
      <c r="M162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162" cm="1">
        <f t="array" ref="O162">MIN(IF((OutputTable[GroupByKey]=OutputTable[[#This Row],[GroupByKey]]),(OutputTable[GroupByKey]=OutputTable[[#This Row],[GroupByKey]])*OutputTable[RecordedValue]))</f>
        <v>792</v>
      </c>
      <c r="P162" cm="1">
        <f t="array" ref="P162">MAX(IF((OutputTable[GroupByKey]=OutputTable[[#This Row],[GroupByKey]]),(OutputTable[GroupByKey]=OutputTable[[#This Row],[GroupByKey]])*OutputTable[RecordedValue]))</f>
        <v>958</v>
      </c>
    </row>
    <row r="163" spans="1:16" x14ac:dyDescent="0.2">
      <c r="A163" t="s">
        <v>67</v>
      </c>
      <c r="B163" t="s">
        <v>70</v>
      </c>
      <c r="C163">
        <v>13</v>
      </c>
      <c r="D163" t="s">
        <v>112</v>
      </c>
      <c r="E163" t="s">
        <v>113</v>
      </c>
      <c r="F163" t="s">
        <v>76</v>
      </c>
      <c r="G163">
        <v>888</v>
      </c>
      <c r="H163">
        <v>0</v>
      </c>
      <c r="I163" t="str">
        <f>OutputTable[[#This Row],[ProjectName]]&amp;OutputTable[[#This Row],[Name]]&amp;OutputTable[[#This Row],[Type]]&amp;OutputTable[[#This Row],[Source]]</f>
        <v>Unnamed ProjectCustomer.NumberOutNumber OutEntity</v>
      </c>
      <c r="J163" cm="1">
        <f t="array" ref="J163">MAX(IF((ProjectInfoTable[ProjectName]=OutputTable[[#This Row],[ProjectName]]),(ProjectInfoTable[ProjectName]=OutputTable[[#This Row],[ProjectName]])*ProjectInfoTable[NumberOfReplications]))</f>
        <v>30</v>
      </c>
      <c r="K163" cm="1">
        <f t="array" ref="K163">IFERROR(AVERAGE(IF((OutputTable[GroupByKey]=OutputTable[[#This Row],[GroupByKey]]),(OutputTable[GroupByKey]=OutputTable[[#This Row],[GroupByKey]])*OutputTable[RecordedValue])),0)</f>
        <v>855.3</v>
      </c>
      <c r="L163" cm="1">
        <f t="array" ref="L163">IFERROR(_xlfn.STDEV.S(IF((OutputTable[GroupByKey]=OutputTable[[#This Row],[GroupByKey]]),(OutputTable[GroupByKey]=OutputTable[[#This Row],[GroupByKey]])*OutputTable[RecordedValue])),0)</f>
        <v>38.322722169527033</v>
      </c>
      <c r="M163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163" cm="1">
        <f t="array" ref="O163">MIN(IF((OutputTable[GroupByKey]=OutputTable[[#This Row],[GroupByKey]]),(OutputTable[GroupByKey]=OutputTable[[#This Row],[GroupByKey]])*OutputTable[RecordedValue]))</f>
        <v>798</v>
      </c>
      <c r="P163" cm="1">
        <f t="array" ref="P163">MAX(IF((OutputTable[GroupByKey]=OutputTable[[#This Row],[GroupByKey]]),(OutputTable[GroupByKey]=OutputTable[[#This Row],[GroupByKey]])*OutputTable[RecordedValue]))</f>
        <v>954</v>
      </c>
    </row>
    <row r="164" spans="1:16" x14ac:dyDescent="0.2">
      <c r="A164" t="s">
        <v>67</v>
      </c>
      <c r="B164" t="s">
        <v>70</v>
      </c>
      <c r="C164">
        <v>13</v>
      </c>
      <c r="D164" t="s">
        <v>114</v>
      </c>
      <c r="E164" t="s">
        <v>105</v>
      </c>
      <c r="F164" t="s">
        <v>95</v>
      </c>
      <c r="G164">
        <v>358</v>
      </c>
      <c r="H164">
        <v>0</v>
      </c>
      <c r="I164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164" cm="1">
        <f t="array" ref="J164">MAX(IF((ProjectInfoTable[ProjectName]=OutputTable[[#This Row],[ProjectName]]),(ProjectInfoTable[ProjectName]=OutputTable[[#This Row],[ProjectName]])*ProjectInfoTable[NumberOfReplications]))</f>
        <v>30</v>
      </c>
      <c r="K164" cm="1">
        <f t="array" ref="K164">IFERROR(AVERAGE(IF((OutputTable[GroupByKey]=OutputTable[[#This Row],[GroupByKey]]),(OutputTable[GroupByKey]=OutputTable[[#This Row],[GroupByKey]])*OutputTable[RecordedValue])),0)</f>
        <v>344.6</v>
      </c>
      <c r="L164" cm="1">
        <f t="array" ref="L164">IFERROR(_xlfn.STDEV.S(IF((OutputTable[GroupByKey]=OutputTable[[#This Row],[GroupByKey]]),(OutputTable[GroupByKey]=OutputTable[[#This Row],[GroupByKey]])*OutputTable[RecordedValue])),0)</f>
        <v>21.890952311479008</v>
      </c>
      <c r="M164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164" cm="1">
        <f t="array" ref="O164">MIN(IF((OutputTable[GroupByKey]=OutputTable[[#This Row],[GroupByKey]]),(OutputTable[GroupByKey]=OutputTable[[#This Row],[GroupByKey]])*OutputTable[RecordedValue]))</f>
        <v>311</v>
      </c>
      <c r="P164" cm="1">
        <f t="array" ref="P164">MAX(IF((OutputTable[GroupByKey]=OutputTable[[#This Row],[GroupByKey]]),(OutputTable[GroupByKey]=OutputTable[[#This Row],[GroupByKey]])*OutputTable[RecordedValue]))</f>
        <v>396</v>
      </c>
    </row>
    <row r="165" spans="1:16" x14ac:dyDescent="0.2">
      <c r="A165" t="s">
        <v>67</v>
      </c>
      <c r="B165" t="s">
        <v>70</v>
      </c>
      <c r="C165">
        <v>13</v>
      </c>
      <c r="D165" t="s">
        <v>115</v>
      </c>
      <c r="E165" t="s">
        <v>107</v>
      </c>
      <c r="F165" t="s">
        <v>95</v>
      </c>
      <c r="G165">
        <v>1.96271929824561E-3</v>
      </c>
      <c r="H165">
        <v>0</v>
      </c>
      <c r="I165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165" cm="1">
        <f t="array" ref="J165">MAX(IF((ProjectInfoTable[ProjectName]=OutputTable[[#This Row],[ProjectName]]),(ProjectInfoTable[ProjectName]=OutputTable[[#This Row],[ProjectName]])*ProjectInfoTable[NumberOfReplications]))</f>
        <v>30</v>
      </c>
      <c r="K165" cm="1">
        <f t="array" ref="K165">IFERROR(AVERAGE(IF((OutputTable[GroupByKey]=OutputTable[[#This Row],[GroupByKey]]),(OutputTable[GroupByKey]=OutputTable[[#This Row],[GroupByKey]])*OutputTable[RecordedValue])),0)</f>
        <v>1.889307012236451E-3</v>
      </c>
      <c r="L165" cm="1">
        <f t="array" ref="L165">IFERROR(_xlfn.STDEV.S(IF((OutputTable[GroupByKey]=OutputTable[[#This Row],[GroupByKey]]),(OutputTable[GroupByKey]=OutputTable[[#This Row],[GroupByKey]])*OutputTable[RecordedValue])),0)</f>
        <v>1.2015303758165521E-4</v>
      </c>
      <c r="M16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165" cm="1">
        <f t="array" ref="O165">MIN(IF((OutputTable[GroupByKey]=OutputTable[[#This Row],[GroupByKey]]),(OutputTable[GroupByKey]=OutputTable[[#This Row],[GroupByKey]])*OutputTable[RecordedValue]))</f>
        <v>1.70504385964912E-3</v>
      </c>
      <c r="P165" cm="1">
        <f t="array" ref="P165">MAX(IF((OutputTable[GroupByKey]=OutputTable[[#This Row],[GroupByKey]]),(OutputTable[GroupByKey]=OutputTable[[#This Row],[GroupByKey]])*OutputTable[RecordedValue]))</f>
        <v>2.17031677925951E-3</v>
      </c>
    </row>
    <row r="166" spans="1:16" x14ac:dyDescent="0.2">
      <c r="A166" t="s">
        <v>67</v>
      </c>
      <c r="B166" t="s">
        <v>70</v>
      </c>
      <c r="C166">
        <v>13</v>
      </c>
      <c r="D166" t="s">
        <v>116</v>
      </c>
      <c r="E166" t="s">
        <v>105</v>
      </c>
      <c r="F166" t="s">
        <v>95</v>
      </c>
      <c r="G166">
        <v>231</v>
      </c>
      <c r="H166">
        <v>0</v>
      </c>
      <c r="I166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166" cm="1">
        <f t="array" ref="J166">MAX(IF((ProjectInfoTable[ProjectName]=OutputTable[[#This Row],[ProjectName]]),(ProjectInfoTable[ProjectName]=OutputTable[[#This Row],[ProjectName]])*ProjectInfoTable[NumberOfReplications]))</f>
        <v>30</v>
      </c>
      <c r="K166" cm="1">
        <f t="array" ref="K166">IFERROR(AVERAGE(IF((OutputTable[GroupByKey]=OutputTable[[#This Row],[GroupByKey]]),(OutputTable[GroupByKey]=OutputTable[[#This Row],[GroupByKey]])*OutputTable[RecordedValue])),0)</f>
        <v>225.93333333333334</v>
      </c>
      <c r="L166" cm="1">
        <f t="array" ref="L166">IFERROR(_xlfn.STDEV.S(IF((OutputTable[GroupByKey]=OutputTable[[#This Row],[GroupByKey]]),(OutputTable[GroupByKey]=OutputTable[[#This Row],[GroupByKey]])*OutputTable[RecordedValue])),0)</f>
        <v>12.403929670244338</v>
      </c>
      <c r="M166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166" cm="1">
        <f t="array" ref="O166">MIN(IF((OutputTable[GroupByKey]=OutputTable[[#This Row],[GroupByKey]]),(OutputTable[GroupByKey]=OutputTable[[#This Row],[GroupByKey]])*OutputTable[RecordedValue]))</f>
        <v>205</v>
      </c>
      <c r="P166" cm="1">
        <f t="array" ref="P166">MAX(IF((OutputTable[GroupByKey]=OutputTable[[#This Row],[GroupByKey]]),(OutputTable[GroupByKey]=OutputTable[[#This Row],[GroupByKey]])*OutputTable[RecordedValue]))</f>
        <v>253</v>
      </c>
    </row>
    <row r="167" spans="1:16" x14ac:dyDescent="0.2">
      <c r="A167" t="s">
        <v>67</v>
      </c>
      <c r="B167" t="s">
        <v>70</v>
      </c>
      <c r="C167">
        <v>13</v>
      </c>
      <c r="D167" t="s">
        <v>117</v>
      </c>
      <c r="E167" t="s">
        <v>107</v>
      </c>
      <c r="F167" t="s">
        <v>95</v>
      </c>
      <c r="G167">
        <v>5.0657894736842101E-3</v>
      </c>
      <c r="H167">
        <v>0</v>
      </c>
      <c r="I167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167" cm="1">
        <f t="array" ref="J167">MAX(IF((ProjectInfoTable[ProjectName]=OutputTable[[#This Row],[ProjectName]]),(ProjectInfoTable[ProjectName]=OutputTable[[#This Row],[ProjectName]])*ProjectInfoTable[NumberOfReplications]))</f>
        <v>30</v>
      </c>
      <c r="K167" cm="1">
        <f t="array" ref="K167">IFERROR(AVERAGE(IF((OutputTable[GroupByKey]=OutputTable[[#This Row],[GroupByKey]]),(OutputTable[GroupByKey]=OutputTable[[#This Row],[GroupByKey]])*OutputTable[RecordedValue])),0)</f>
        <v>4.9565971649701106E-3</v>
      </c>
      <c r="L167" cm="1">
        <f t="array" ref="L167">IFERROR(_xlfn.STDEV.S(IF((OutputTable[GroupByKey]=OutputTable[[#This Row],[GroupByKey]]),(OutputTable[GroupByKey]=OutputTable[[#This Row],[GroupByKey]])*OutputTable[RecordedValue])),0)</f>
        <v>2.7167433725199517E-4</v>
      </c>
      <c r="M167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167" cm="1">
        <f t="array" ref="O167">MIN(IF((OutputTable[GroupByKey]=OutputTable[[#This Row],[GroupByKey]]),(OutputTable[GroupByKey]=OutputTable[[#This Row],[GroupByKey]])*OutputTable[RecordedValue]))</f>
        <v>4.4956140350877203E-3</v>
      </c>
      <c r="P167" cm="1">
        <f t="array" ref="P167">MAX(IF((OutputTable[GroupByKey]=OutputTable[[#This Row],[GroupByKey]]),(OutputTable[GroupByKey]=OutputTable[[#This Row],[GroupByKey]])*OutputTable[RecordedValue]))</f>
        <v>5.5482456140350904E-3</v>
      </c>
    </row>
    <row r="168" spans="1:16" x14ac:dyDescent="0.2">
      <c r="A168" t="s">
        <v>67</v>
      </c>
      <c r="B168" t="s">
        <v>70</v>
      </c>
      <c r="C168">
        <v>13</v>
      </c>
      <c r="D168" t="s">
        <v>118</v>
      </c>
      <c r="E168" t="s">
        <v>113</v>
      </c>
      <c r="F168" t="s">
        <v>119</v>
      </c>
      <c r="G168">
        <v>296</v>
      </c>
      <c r="H168">
        <v>0</v>
      </c>
      <c r="I168" t="str">
        <f>OutputTable[[#This Row],[ProjectName]]&amp;OutputTable[[#This Row],[Name]]&amp;OutputTable[[#This Row],[Type]]&amp;OutputTable[[#This Row],[Source]]</f>
        <v>Unnamed ProjectSystem.NumberOutNumber OutSystem</v>
      </c>
      <c r="J168" cm="1">
        <f t="array" ref="J168">MAX(IF((ProjectInfoTable[ProjectName]=OutputTable[[#This Row],[ProjectName]]),(ProjectInfoTable[ProjectName]=OutputTable[[#This Row],[ProjectName]])*ProjectInfoTable[NumberOfReplications]))</f>
        <v>30</v>
      </c>
      <c r="K168" cm="1">
        <f t="array" ref="K168">IFERROR(AVERAGE(IF((OutputTable[GroupByKey]=OutputTable[[#This Row],[GroupByKey]]),(OutputTable[GroupByKey]=OutputTable[[#This Row],[GroupByKey]])*OutputTable[RecordedValue])),0)</f>
        <v>285.3</v>
      </c>
      <c r="L168" cm="1">
        <f t="array" ref="L168">IFERROR(_xlfn.STDEV.S(IF((OutputTable[GroupByKey]=OutputTable[[#This Row],[GroupByKey]]),(OutputTable[GroupByKey]=OutputTable[[#This Row],[GroupByKey]])*OutputTable[RecordedValue])),0)</f>
        <v>12.739160368585981</v>
      </c>
      <c r="M168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168" cm="1">
        <f t="array" ref="O168">MIN(IF((OutputTable[GroupByKey]=OutputTable[[#This Row],[GroupByKey]]),(OutputTable[GroupByKey]=OutputTable[[#This Row],[GroupByKey]])*OutputTable[RecordedValue]))</f>
        <v>266</v>
      </c>
      <c r="P168" cm="1">
        <f t="array" ref="P168">MAX(IF((OutputTable[GroupByKey]=OutputTable[[#This Row],[GroupByKey]]),(OutputTable[GroupByKey]=OutputTable[[#This Row],[GroupByKey]])*OutputTable[RecordedValue]))</f>
        <v>318</v>
      </c>
    </row>
    <row r="169" spans="1:16" x14ac:dyDescent="0.2">
      <c r="A169" t="s">
        <v>67</v>
      </c>
      <c r="B169" t="s">
        <v>70</v>
      </c>
      <c r="C169">
        <v>13</v>
      </c>
      <c r="D169" t="s">
        <v>120</v>
      </c>
      <c r="E169" t="s">
        <v>105</v>
      </c>
      <c r="F169" t="s">
        <v>95</v>
      </c>
      <c r="G169">
        <v>147</v>
      </c>
      <c r="H169">
        <v>0</v>
      </c>
      <c r="I169" t="str">
        <f>OutputTable[[#This Row],[ProjectName]]&amp;OutputTable[[#This Row],[Name]]&amp;OutputTable[[#This Row],[Type]]&amp;OutputTable[[#This Row],[Source]]</f>
        <v>Unnamed ProjectWaiter.NumberSeizedTotal Number SeizedResource</v>
      </c>
      <c r="J169" cm="1">
        <f t="array" ref="J169">MAX(IF((ProjectInfoTable[ProjectName]=OutputTable[[#This Row],[ProjectName]]),(ProjectInfoTable[ProjectName]=OutputTable[[#This Row],[ProjectName]])*ProjectInfoTable[NumberOfReplications]))</f>
        <v>30</v>
      </c>
      <c r="K169" cm="1">
        <f t="array" ref="K169">IFERROR(AVERAGE(IF((OutputTable[GroupByKey]=OutputTable[[#This Row],[GroupByKey]]),(OutputTable[GroupByKey]=OutputTable[[#This Row],[GroupByKey]])*OutputTable[RecordedValue])),0)</f>
        <v>142.66666666666666</v>
      </c>
      <c r="L169" cm="1">
        <f t="array" ref="L169">IFERROR(_xlfn.STDEV.S(IF((OutputTable[GroupByKey]=OutputTable[[#This Row],[GroupByKey]]),(OutputTable[GroupByKey]=OutputTable[[#This Row],[GroupByKey]])*OutputTable[RecordedValue])),0)</f>
        <v>6.4505190025531167</v>
      </c>
      <c r="M169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169" cm="1">
        <f t="array" ref="O169">MIN(IF((OutputTable[GroupByKey]=OutputTable[[#This Row],[GroupByKey]]),(OutputTable[GroupByKey]=OutputTable[[#This Row],[GroupByKey]])*OutputTable[RecordedValue]))</f>
        <v>132</v>
      </c>
      <c r="P169" cm="1">
        <f t="array" ref="P169">MAX(IF((OutputTable[GroupByKey]=OutputTable[[#This Row],[GroupByKey]]),(OutputTable[GroupByKey]=OutputTable[[#This Row],[GroupByKey]])*OutputTable[RecordedValue]))</f>
        <v>160</v>
      </c>
    </row>
    <row r="170" spans="1:16" x14ac:dyDescent="0.2">
      <c r="A170" t="s">
        <v>67</v>
      </c>
      <c r="B170" t="s">
        <v>70</v>
      </c>
      <c r="C170">
        <v>13</v>
      </c>
      <c r="D170" t="s">
        <v>121</v>
      </c>
      <c r="E170" t="s">
        <v>107</v>
      </c>
      <c r="F170" t="s">
        <v>95</v>
      </c>
      <c r="G170">
        <v>8.6082941460922505E-2</v>
      </c>
      <c r="H170">
        <v>0</v>
      </c>
      <c r="I170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170" cm="1">
        <f t="array" ref="J170">MAX(IF((ProjectInfoTable[ProjectName]=OutputTable[[#This Row],[ProjectName]]),(ProjectInfoTable[ProjectName]=OutputTable[[#This Row],[ProjectName]])*ProjectInfoTable[NumberOfReplications]))</f>
        <v>30</v>
      </c>
      <c r="K170" cm="1">
        <f t="array" ref="K170">IFERROR(AVERAGE(IF((OutputTable[GroupByKey]=OutputTable[[#This Row],[GroupByKey]]),(OutputTable[GroupByKey]=OutputTable[[#This Row],[GroupByKey]])*OutputTable[RecordedValue])),0)</f>
        <v>8.3509459606410805E-2</v>
      </c>
      <c r="L170" cm="1">
        <f t="array" ref="L170">IFERROR(_xlfn.STDEV.S(IF((OutputTable[GroupByKey]=OutputTable[[#This Row],[GroupByKey]]),(OutputTable[GroupByKey]=OutputTable[[#This Row],[GroupByKey]])*OutputTable[RecordedValue])),0)</f>
        <v>3.5452891325333867E-3</v>
      </c>
      <c r="M170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170" cm="1">
        <f t="array" ref="O170">MIN(IF((OutputTable[GroupByKey]=OutputTable[[#This Row],[GroupByKey]]),(OutputTable[GroupByKey]=OutputTable[[#This Row],[GroupByKey]])*OutputTable[RecordedValue]))</f>
        <v>7.7176470357847096E-2</v>
      </c>
      <c r="P170" cm="1">
        <f t="array" ref="P170">MAX(IF((OutputTable[GroupByKey]=OutputTable[[#This Row],[GroupByKey]]),(OutputTable[GroupByKey]=OutputTable[[#This Row],[GroupByKey]])*OutputTable[RecordedValue]))</f>
        <v>9.2534326714405798E-2</v>
      </c>
    </row>
    <row r="171" spans="1:16" x14ac:dyDescent="0.2">
      <c r="A171" t="s">
        <v>67</v>
      </c>
      <c r="B171" t="s">
        <v>70</v>
      </c>
      <c r="C171">
        <v>14</v>
      </c>
      <c r="D171" t="s">
        <v>104</v>
      </c>
      <c r="E171" t="s">
        <v>105</v>
      </c>
      <c r="F171" t="s">
        <v>95</v>
      </c>
      <c r="G171">
        <v>275</v>
      </c>
      <c r="H171">
        <v>0</v>
      </c>
      <c r="I171" t="str">
        <f>OutputTable[[#This Row],[ProjectName]]&amp;OutputTable[[#This Row],[Name]]&amp;OutputTable[[#This Row],[Type]]&amp;OutputTable[[#This Row],[Source]]</f>
        <v>Unnamed ProjectCleaner.NumberSeizedTotal Number SeizedResource</v>
      </c>
      <c r="J171" cm="1">
        <f t="array" ref="J171">MAX(IF((ProjectInfoTable[ProjectName]=OutputTable[[#This Row],[ProjectName]]),(ProjectInfoTable[ProjectName]=OutputTable[[#This Row],[ProjectName]])*ProjectInfoTable[NumberOfReplications]))</f>
        <v>30</v>
      </c>
      <c r="K171" cm="1">
        <f t="array" ref="K171">IFERROR(AVERAGE(IF((OutputTable[GroupByKey]=OutputTable[[#This Row],[GroupByKey]]),(OutputTable[GroupByKey]=OutputTable[[#This Row],[GroupByKey]])*OutputTable[RecordedValue])),0)</f>
        <v>285.39999999999998</v>
      </c>
      <c r="L171" cm="1">
        <f t="array" ref="L171">IFERROR(_xlfn.STDEV.S(IF((OutputTable[GroupByKey]=OutputTable[[#This Row],[GroupByKey]]),(OutputTable[GroupByKey]=OutputTable[[#This Row],[GroupByKey]])*OutputTable[RecordedValue])),0)</f>
        <v>12.88302812979555</v>
      </c>
      <c r="M171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171" cm="1">
        <f t="array" ref="O171">MIN(IF((OutputTable[GroupByKey]=OutputTable[[#This Row],[GroupByKey]]),(OutputTable[GroupByKey]=OutputTable[[#This Row],[GroupByKey]])*OutputTable[RecordedValue]))</f>
        <v>266</v>
      </c>
      <c r="P171" cm="1">
        <f t="array" ref="P171">MAX(IF((OutputTable[GroupByKey]=OutputTable[[#This Row],[GroupByKey]]),(OutputTable[GroupByKey]=OutputTable[[#This Row],[GroupByKey]])*OutputTable[RecordedValue]))</f>
        <v>318</v>
      </c>
    </row>
    <row r="172" spans="1:16" x14ac:dyDescent="0.2">
      <c r="A172" t="s">
        <v>67</v>
      </c>
      <c r="B172" t="s">
        <v>70</v>
      </c>
      <c r="C172">
        <v>14</v>
      </c>
      <c r="D172" t="s">
        <v>106</v>
      </c>
      <c r="E172" t="s">
        <v>107</v>
      </c>
      <c r="F172" t="s">
        <v>95</v>
      </c>
      <c r="G172">
        <v>0.24122807017543901</v>
      </c>
      <c r="H172">
        <v>0</v>
      </c>
      <c r="I172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172" cm="1">
        <f t="array" ref="J172">MAX(IF((ProjectInfoTable[ProjectName]=OutputTable[[#This Row],[ProjectName]]),(ProjectInfoTable[ProjectName]=OutputTable[[#This Row],[ProjectName]])*ProjectInfoTable[NumberOfReplications]))</f>
        <v>30</v>
      </c>
      <c r="K172" cm="1">
        <f t="array" ref="K172">IFERROR(AVERAGE(IF((OutputTable[GroupByKey]=OutputTable[[#This Row],[GroupByKey]]),(OutputTable[GroupByKey]=OutputTable[[#This Row],[GroupByKey]])*OutputTable[RecordedValue])),0)</f>
        <v>0.25031804088290305</v>
      </c>
      <c r="L172" cm="1">
        <f t="array" ref="L172">IFERROR(_xlfn.STDEV.S(IF((OutputTable[GroupByKey]=OutputTable[[#This Row],[GroupByKey]]),(OutputTable[GroupByKey]=OutputTable[[#This Row],[GroupByKey]])*OutputTable[RecordedValue])),0)</f>
        <v>1.1255778929137084E-2</v>
      </c>
      <c r="M172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172" cm="1">
        <f t="array" ref="O172">MIN(IF((OutputTable[GroupByKey]=OutputTable[[#This Row],[GroupByKey]]),(OutputTable[GroupByKey]=OutputTable[[#This Row],[GroupByKey]])*OutputTable[RecordedValue]))</f>
        <v>0.233333333333333</v>
      </c>
      <c r="P172" cm="1">
        <f t="array" ref="P172">MAX(IF((OutputTable[GroupByKey]=OutputTable[[#This Row],[GroupByKey]]),(OutputTable[GroupByKey]=OutputTable[[#This Row],[GroupByKey]])*OutputTable[RecordedValue]))</f>
        <v>0.27905535859326402</v>
      </c>
    </row>
    <row r="173" spans="1:16" x14ac:dyDescent="0.2">
      <c r="A173" t="s">
        <v>67</v>
      </c>
      <c r="B173" t="s">
        <v>70</v>
      </c>
      <c r="C173">
        <v>14</v>
      </c>
      <c r="D173" t="s">
        <v>108</v>
      </c>
      <c r="E173" t="s">
        <v>105</v>
      </c>
      <c r="F173" t="s">
        <v>95</v>
      </c>
      <c r="G173">
        <v>276</v>
      </c>
      <c r="H173">
        <v>0</v>
      </c>
      <c r="I173" t="str">
        <f>OutputTable[[#This Row],[ProjectName]]&amp;OutputTable[[#This Row],[Name]]&amp;OutputTable[[#This Row],[Type]]&amp;OutputTable[[#This Row],[Source]]</f>
        <v>Unnamed ProjectCooker.NumberSeizedTotal Number SeizedResource</v>
      </c>
      <c r="J173" cm="1">
        <f t="array" ref="J173">MAX(IF((ProjectInfoTable[ProjectName]=OutputTable[[#This Row],[ProjectName]]),(ProjectInfoTable[ProjectName]=OutputTable[[#This Row],[ProjectName]])*ProjectInfoTable[NumberOfReplications]))</f>
        <v>30</v>
      </c>
      <c r="K173" cm="1">
        <f t="array" ref="K173">IFERROR(AVERAGE(IF((OutputTable[GroupByKey]=OutputTable[[#This Row],[GroupByKey]]),(OutputTable[GroupByKey]=OutputTable[[#This Row],[GroupByKey]])*OutputTable[RecordedValue])),0)</f>
        <v>285.66666666666669</v>
      </c>
      <c r="L173" cm="1">
        <f t="array" ref="L173">IFERROR(_xlfn.STDEV.S(IF((OutputTable[GroupByKey]=OutputTable[[#This Row],[GroupByKey]]),(OutputTable[GroupByKey]=OutputTable[[#This Row],[GroupByKey]])*OutputTable[RecordedValue])),0)</f>
        <v>12.949060233064802</v>
      </c>
      <c r="M173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173" cm="1">
        <f t="array" ref="O173">MIN(IF((OutputTable[GroupByKey]=OutputTable[[#This Row],[GroupByKey]]),(OutputTable[GroupByKey]=OutputTable[[#This Row],[GroupByKey]])*OutputTable[RecordedValue]))</f>
        <v>264</v>
      </c>
      <c r="P173" cm="1">
        <f t="array" ref="P173">MAX(IF((OutputTable[GroupByKey]=OutputTable[[#This Row],[GroupByKey]]),(OutputTable[GroupByKey]=OutputTable[[#This Row],[GroupByKey]])*OutputTable[RecordedValue]))</f>
        <v>320</v>
      </c>
    </row>
    <row r="174" spans="1:16" x14ac:dyDescent="0.2">
      <c r="A174" t="s">
        <v>67</v>
      </c>
      <c r="B174" t="s">
        <v>70</v>
      </c>
      <c r="C174">
        <v>14</v>
      </c>
      <c r="D174" t="s">
        <v>109</v>
      </c>
      <c r="E174" t="s">
        <v>107</v>
      </c>
      <c r="F174" t="s">
        <v>95</v>
      </c>
      <c r="G174">
        <v>0.61523141287821304</v>
      </c>
      <c r="H174">
        <v>0</v>
      </c>
      <c r="I174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174" cm="1">
        <f t="array" ref="J174">MAX(IF((ProjectInfoTable[ProjectName]=OutputTable[[#This Row],[ProjectName]]),(ProjectInfoTable[ProjectName]=OutputTable[[#This Row],[ProjectName]])*ProjectInfoTable[NumberOfReplications]))</f>
        <v>30</v>
      </c>
      <c r="K174" cm="1">
        <f t="array" ref="K174">IFERROR(AVERAGE(IF((OutputTable[GroupByKey]=OutputTable[[#This Row],[GroupByKey]]),(OutputTable[GroupByKey]=OutputTable[[#This Row],[GroupByKey]])*OutputTable[RecordedValue])),0)</f>
        <v>0.62721981794251769</v>
      </c>
      <c r="L174" cm="1">
        <f t="array" ref="L174">IFERROR(_xlfn.STDEV.S(IF((OutputTable[GroupByKey]=OutputTable[[#This Row],[GroupByKey]]),(OutputTable[GroupByKey]=OutputTable[[#This Row],[GroupByKey]])*OutputTable[RecordedValue])),0)</f>
        <v>2.6376107220918699E-2</v>
      </c>
      <c r="M174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174" cm="1">
        <f t="array" ref="O174">MIN(IF((OutputTable[GroupByKey]=OutputTable[[#This Row],[GroupByKey]]),(OutputTable[GroupByKey]=OutputTable[[#This Row],[GroupByKey]])*OutputTable[RecordedValue]))</f>
        <v>0.58256422876290004</v>
      </c>
      <c r="P174" cm="1">
        <f t="array" ref="P174">MAX(IF((OutputTable[GroupByKey]=OutputTable[[#This Row],[GroupByKey]]),(OutputTable[GroupByKey]=OutputTable[[#This Row],[GroupByKey]])*OutputTable[RecordedValue]))</f>
        <v>0.68643238055161704</v>
      </c>
    </row>
    <row r="175" spans="1:16" x14ac:dyDescent="0.2">
      <c r="A175" t="s">
        <v>67</v>
      </c>
      <c r="B175" t="s">
        <v>70</v>
      </c>
      <c r="C175">
        <v>14</v>
      </c>
      <c r="D175" t="s">
        <v>110</v>
      </c>
      <c r="E175" t="s">
        <v>111</v>
      </c>
      <c r="F175" t="s">
        <v>76</v>
      </c>
      <c r="G175">
        <v>822</v>
      </c>
      <c r="H175">
        <v>0</v>
      </c>
      <c r="I175" t="str">
        <f>OutputTable[[#This Row],[ProjectName]]&amp;OutputTable[[#This Row],[Name]]&amp;OutputTable[[#This Row],[Type]]&amp;OutputTable[[#This Row],[Source]]</f>
        <v>Unnamed ProjectCustomer.NumberInNumber InEntity</v>
      </c>
      <c r="J175" cm="1">
        <f t="array" ref="J175">MAX(IF((ProjectInfoTable[ProjectName]=OutputTable[[#This Row],[ProjectName]]),(ProjectInfoTable[ProjectName]=OutputTable[[#This Row],[ProjectName]])*ProjectInfoTable[NumberOfReplications]))</f>
        <v>30</v>
      </c>
      <c r="K175" cm="1">
        <f t="array" ref="K175">IFERROR(AVERAGE(IF((OutputTable[GroupByKey]=OutputTable[[#This Row],[GroupByKey]]),(OutputTable[GroupByKey]=OutputTable[[#This Row],[GroupByKey]])*OutputTable[RecordedValue])),0)</f>
        <v>855.93333333333328</v>
      </c>
      <c r="L175" cm="1">
        <f t="array" ref="L175">IFERROR(_xlfn.STDEV.S(IF((OutputTable[GroupByKey]=OutputTable[[#This Row],[GroupByKey]]),(OutputTable[GroupByKey]=OutputTable[[#This Row],[GroupByKey]])*OutputTable[RecordedValue])),0)</f>
        <v>38.659373073509371</v>
      </c>
      <c r="M17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175" cm="1">
        <f t="array" ref="O175">MIN(IF((OutputTable[GroupByKey]=OutputTable[[#This Row],[GroupByKey]]),(OutputTable[GroupByKey]=OutputTable[[#This Row],[GroupByKey]])*OutputTable[RecordedValue]))</f>
        <v>792</v>
      </c>
      <c r="P175" cm="1">
        <f t="array" ref="P175">MAX(IF((OutputTable[GroupByKey]=OutputTable[[#This Row],[GroupByKey]]),(OutputTable[GroupByKey]=OutputTable[[#This Row],[GroupByKey]])*OutputTable[RecordedValue]))</f>
        <v>958</v>
      </c>
    </row>
    <row r="176" spans="1:16" x14ac:dyDescent="0.2">
      <c r="A176" t="s">
        <v>67</v>
      </c>
      <c r="B176" t="s">
        <v>70</v>
      </c>
      <c r="C176">
        <v>14</v>
      </c>
      <c r="D176" t="s">
        <v>112</v>
      </c>
      <c r="E176" t="s">
        <v>113</v>
      </c>
      <c r="F176" t="s">
        <v>76</v>
      </c>
      <c r="G176">
        <v>823</v>
      </c>
      <c r="H176">
        <v>0</v>
      </c>
      <c r="I176" t="str">
        <f>OutputTable[[#This Row],[ProjectName]]&amp;OutputTable[[#This Row],[Name]]&amp;OutputTable[[#This Row],[Type]]&amp;OutputTable[[#This Row],[Source]]</f>
        <v>Unnamed ProjectCustomer.NumberOutNumber OutEntity</v>
      </c>
      <c r="J176" cm="1">
        <f t="array" ref="J176">MAX(IF((ProjectInfoTable[ProjectName]=OutputTable[[#This Row],[ProjectName]]),(ProjectInfoTable[ProjectName]=OutputTable[[#This Row],[ProjectName]])*ProjectInfoTable[NumberOfReplications]))</f>
        <v>30</v>
      </c>
      <c r="K176" cm="1">
        <f t="array" ref="K176">IFERROR(AVERAGE(IF((OutputTable[GroupByKey]=OutputTable[[#This Row],[GroupByKey]]),(OutputTable[GroupByKey]=OutputTable[[#This Row],[GroupByKey]])*OutputTable[RecordedValue])),0)</f>
        <v>855.3</v>
      </c>
      <c r="L176" cm="1">
        <f t="array" ref="L176">IFERROR(_xlfn.STDEV.S(IF((OutputTable[GroupByKey]=OutputTable[[#This Row],[GroupByKey]]),(OutputTable[GroupByKey]=OutputTable[[#This Row],[GroupByKey]])*OutputTable[RecordedValue])),0)</f>
        <v>38.322722169527033</v>
      </c>
      <c r="M176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176" cm="1">
        <f t="array" ref="O176">MIN(IF((OutputTable[GroupByKey]=OutputTable[[#This Row],[GroupByKey]]),(OutputTable[GroupByKey]=OutputTable[[#This Row],[GroupByKey]])*OutputTable[RecordedValue]))</f>
        <v>798</v>
      </c>
      <c r="P176" cm="1">
        <f t="array" ref="P176">MAX(IF((OutputTable[GroupByKey]=OutputTable[[#This Row],[GroupByKey]]),(OutputTable[GroupByKey]=OutputTable[[#This Row],[GroupByKey]])*OutputTable[RecordedValue]))</f>
        <v>954</v>
      </c>
    </row>
    <row r="177" spans="1:16" x14ac:dyDescent="0.2">
      <c r="A177" t="s">
        <v>67</v>
      </c>
      <c r="B177" t="s">
        <v>70</v>
      </c>
      <c r="C177">
        <v>14</v>
      </c>
      <c r="D177" t="s">
        <v>114</v>
      </c>
      <c r="E177" t="s">
        <v>105</v>
      </c>
      <c r="F177" t="s">
        <v>95</v>
      </c>
      <c r="G177">
        <v>327</v>
      </c>
      <c r="H177">
        <v>0</v>
      </c>
      <c r="I177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177" cm="1">
        <f t="array" ref="J177">MAX(IF((ProjectInfoTable[ProjectName]=OutputTable[[#This Row],[ProjectName]]),(ProjectInfoTable[ProjectName]=OutputTable[[#This Row],[ProjectName]])*ProjectInfoTable[NumberOfReplications]))</f>
        <v>30</v>
      </c>
      <c r="K177" cm="1">
        <f t="array" ref="K177">IFERROR(AVERAGE(IF((OutputTable[GroupByKey]=OutputTable[[#This Row],[GroupByKey]]),(OutputTable[GroupByKey]=OutputTable[[#This Row],[GroupByKey]])*OutputTable[RecordedValue])),0)</f>
        <v>344.6</v>
      </c>
      <c r="L177" cm="1">
        <f t="array" ref="L177">IFERROR(_xlfn.STDEV.S(IF((OutputTable[GroupByKey]=OutputTable[[#This Row],[GroupByKey]]),(OutputTable[GroupByKey]=OutputTable[[#This Row],[GroupByKey]])*OutputTable[RecordedValue])),0)</f>
        <v>21.890952311479008</v>
      </c>
      <c r="M177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177" cm="1">
        <f t="array" ref="O177">MIN(IF((OutputTable[GroupByKey]=OutputTable[[#This Row],[GroupByKey]]),(OutputTable[GroupByKey]=OutputTable[[#This Row],[GroupByKey]])*OutputTable[RecordedValue]))</f>
        <v>311</v>
      </c>
      <c r="P177" cm="1">
        <f t="array" ref="P177">MAX(IF((OutputTable[GroupByKey]=OutputTable[[#This Row],[GroupByKey]]),(OutputTable[GroupByKey]=OutputTable[[#This Row],[GroupByKey]])*OutputTable[RecordedValue]))</f>
        <v>396</v>
      </c>
    </row>
    <row r="178" spans="1:16" x14ac:dyDescent="0.2">
      <c r="A178" t="s">
        <v>67</v>
      </c>
      <c r="B178" t="s">
        <v>70</v>
      </c>
      <c r="C178">
        <v>14</v>
      </c>
      <c r="D178" t="s">
        <v>115</v>
      </c>
      <c r="E178" t="s">
        <v>107</v>
      </c>
      <c r="F178" t="s">
        <v>95</v>
      </c>
      <c r="G178">
        <v>1.7939910121356E-3</v>
      </c>
      <c r="H178">
        <v>0</v>
      </c>
      <c r="I178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178" cm="1">
        <f t="array" ref="J178">MAX(IF((ProjectInfoTable[ProjectName]=OutputTable[[#This Row],[ProjectName]]),(ProjectInfoTable[ProjectName]=OutputTable[[#This Row],[ProjectName]])*ProjectInfoTable[NumberOfReplications]))</f>
        <v>30</v>
      </c>
      <c r="K178" cm="1">
        <f t="array" ref="K178">IFERROR(AVERAGE(IF((OutputTable[GroupByKey]=OutputTable[[#This Row],[GroupByKey]]),(OutputTable[GroupByKey]=OutputTable[[#This Row],[GroupByKey]])*OutputTable[RecordedValue])),0)</f>
        <v>1.889307012236451E-3</v>
      </c>
      <c r="L178" cm="1">
        <f t="array" ref="L178">IFERROR(_xlfn.STDEV.S(IF((OutputTable[GroupByKey]=OutputTable[[#This Row],[GroupByKey]]),(OutputTable[GroupByKey]=OutputTable[[#This Row],[GroupByKey]])*OutputTable[RecordedValue])),0)</f>
        <v>1.2015303758165521E-4</v>
      </c>
      <c r="M178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178" cm="1">
        <f t="array" ref="O178">MIN(IF((OutputTable[GroupByKey]=OutputTable[[#This Row],[GroupByKey]]),(OutputTable[GroupByKey]=OutputTable[[#This Row],[GroupByKey]])*OutputTable[RecordedValue]))</f>
        <v>1.70504385964912E-3</v>
      </c>
      <c r="P178" cm="1">
        <f t="array" ref="P178">MAX(IF((OutputTable[GroupByKey]=OutputTable[[#This Row],[GroupByKey]]),(OutputTable[GroupByKey]=OutputTable[[#This Row],[GroupByKey]])*OutputTable[RecordedValue]))</f>
        <v>2.17031677925951E-3</v>
      </c>
    </row>
    <row r="179" spans="1:16" x14ac:dyDescent="0.2">
      <c r="A179" t="s">
        <v>67</v>
      </c>
      <c r="B179" t="s">
        <v>70</v>
      </c>
      <c r="C179">
        <v>14</v>
      </c>
      <c r="D179" t="s">
        <v>116</v>
      </c>
      <c r="E179" t="s">
        <v>105</v>
      </c>
      <c r="F179" t="s">
        <v>95</v>
      </c>
      <c r="G179">
        <v>221</v>
      </c>
      <c r="H179">
        <v>0</v>
      </c>
      <c r="I179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179" cm="1">
        <f t="array" ref="J179">MAX(IF((ProjectInfoTable[ProjectName]=OutputTable[[#This Row],[ProjectName]]),(ProjectInfoTable[ProjectName]=OutputTable[[#This Row],[ProjectName]])*ProjectInfoTable[NumberOfReplications]))</f>
        <v>30</v>
      </c>
      <c r="K179" cm="1">
        <f t="array" ref="K179">IFERROR(AVERAGE(IF((OutputTable[GroupByKey]=OutputTable[[#This Row],[GroupByKey]]),(OutputTable[GroupByKey]=OutputTable[[#This Row],[GroupByKey]])*OutputTable[RecordedValue])),0)</f>
        <v>225.93333333333334</v>
      </c>
      <c r="L179" cm="1">
        <f t="array" ref="L179">IFERROR(_xlfn.STDEV.S(IF((OutputTable[GroupByKey]=OutputTable[[#This Row],[GroupByKey]]),(OutputTable[GroupByKey]=OutputTable[[#This Row],[GroupByKey]])*OutputTable[RecordedValue])),0)</f>
        <v>12.403929670244338</v>
      </c>
      <c r="M179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179" cm="1">
        <f t="array" ref="O179">MIN(IF((OutputTable[GroupByKey]=OutputTable[[#This Row],[GroupByKey]]),(OutputTable[GroupByKey]=OutputTable[[#This Row],[GroupByKey]])*OutputTable[RecordedValue]))</f>
        <v>205</v>
      </c>
      <c r="P179" cm="1">
        <f t="array" ref="P179">MAX(IF((OutputTable[GroupByKey]=OutputTable[[#This Row],[GroupByKey]]),(OutputTable[GroupByKey]=OutputTable[[#This Row],[GroupByKey]])*OutputTable[RecordedValue]))</f>
        <v>253</v>
      </c>
    </row>
    <row r="180" spans="1:16" x14ac:dyDescent="0.2">
      <c r="A180" t="s">
        <v>67</v>
      </c>
      <c r="B180" t="s">
        <v>70</v>
      </c>
      <c r="C180">
        <v>14</v>
      </c>
      <c r="D180" t="s">
        <v>117</v>
      </c>
      <c r="E180" t="s">
        <v>107</v>
      </c>
      <c r="F180" t="s">
        <v>95</v>
      </c>
      <c r="G180">
        <v>4.8464912280701796E-3</v>
      </c>
      <c r="H180">
        <v>0</v>
      </c>
      <c r="I180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180" cm="1">
        <f t="array" ref="J180">MAX(IF((ProjectInfoTable[ProjectName]=OutputTable[[#This Row],[ProjectName]]),(ProjectInfoTable[ProjectName]=OutputTable[[#This Row],[ProjectName]])*ProjectInfoTable[NumberOfReplications]))</f>
        <v>30</v>
      </c>
      <c r="K180" cm="1">
        <f t="array" ref="K180">IFERROR(AVERAGE(IF((OutputTable[GroupByKey]=OutputTable[[#This Row],[GroupByKey]]),(OutputTable[GroupByKey]=OutputTable[[#This Row],[GroupByKey]])*OutputTable[RecordedValue])),0)</f>
        <v>4.9565971649701106E-3</v>
      </c>
      <c r="L180" cm="1">
        <f t="array" ref="L180">IFERROR(_xlfn.STDEV.S(IF((OutputTable[GroupByKey]=OutputTable[[#This Row],[GroupByKey]]),(OutputTable[GroupByKey]=OutputTable[[#This Row],[GroupByKey]])*OutputTable[RecordedValue])),0)</f>
        <v>2.7167433725199517E-4</v>
      </c>
      <c r="M180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180" cm="1">
        <f t="array" ref="O180">MIN(IF((OutputTable[GroupByKey]=OutputTable[[#This Row],[GroupByKey]]),(OutputTable[GroupByKey]=OutputTable[[#This Row],[GroupByKey]])*OutputTable[RecordedValue]))</f>
        <v>4.4956140350877203E-3</v>
      </c>
      <c r="P180" cm="1">
        <f t="array" ref="P180">MAX(IF((OutputTable[GroupByKey]=OutputTable[[#This Row],[GroupByKey]]),(OutputTable[GroupByKey]=OutputTable[[#This Row],[GroupByKey]])*OutputTable[RecordedValue]))</f>
        <v>5.5482456140350904E-3</v>
      </c>
    </row>
    <row r="181" spans="1:16" x14ac:dyDescent="0.2">
      <c r="A181" t="s">
        <v>67</v>
      </c>
      <c r="B181" t="s">
        <v>70</v>
      </c>
      <c r="C181">
        <v>14</v>
      </c>
      <c r="D181" t="s">
        <v>118</v>
      </c>
      <c r="E181" t="s">
        <v>113</v>
      </c>
      <c r="F181" t="s">
        <v>119</v>
      </c>
      <c r="G181">
        <v>275</v>
      </c>
      <c r="H181">
        <v>0</v>
      </c>
      <c r="I181" t="str">
        <f>OutputTable[[#This Row],[ProjectName]]&amp;OutputTable[[#This Row],[Name]]&amp;OutputTable[[#This Row],[Type]]&amp;OutputTable[[#This Row],[Source]]</f>
        <v>Unnamed ProjectSystem.NumberOutNumber OutSystem</v>
      </c>
      <c r="J181" cm="1">
        <f t="array" ref="J181">MAX(IF((ProjectInfoTable[ProjectName]=OutputTable[[#This Row],[ProjectName]]),(ProjectInfoTable[ProjectName]=OutputTable[[#This Row],[ProjectName]])*ProjectInfoTable[NumberOfReplications]))</f>
        <v>30</v>
      </c>
      <c r="K181" cm="1">
        <f t="array" ref="K181">IFERROR(AVERAGE(IF((OutputTable[GroupByKey]=OutputTable[[#This Row],[GroupByKey]]),(OutputTable[GroupByKey]=OutputTable[[#This Row],[GroupByKey]])*OutputTable[RecordedValue])),0)</f>
        <v>285.3</v>
      </c>
      <c r="L181" cm="1">
        <f t="array" ref="L181">IFERROR(_xlfn.STDEV.S(IF((OutputTable[GroupByKey]=OutputTable[[#This Row],[GroupByKey]]),(OutputTable[GroupByKey]=OutputTable[[#This Row],[GroupByKey]])*OutputTable[RecordedValue])),0)</f>
        <v>12.739160368585981</v>
      </c>
      <c r="M181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181" cm="1">
        <f t="array" ref="O181">MIN(IF((OutputTable[GroupByKey]=OutputTable[[#This Row],[GroupByKey]]),(OutputTable[GroupByKey]=OutputTable[[#This Row],[GroupByKey]])*OutputTable[RecordedValue]))</f>
        <v>266</v>
      </c>
      <c r="P181" cm="1">
        <f t="array" ref="P181">MAX(IF((OutputTable[GroupByKey]=OutputTable[[#This Row],[GroupByKey]]),(OutputTable[GroupByKey]=OutputTable[[#This Row],[GroupByKey]])*OutputTable[RecordedValue]))</f>
        <v>318</v>
      </c>
    </row>
    <row r="182" spans="1:16" x14ac:dyDescent="0.2">
      <c r="A182" t="s">
        <v>67</v>
      </c>
      <c r="B182" t="s">
        <v>70</v>
      </c>
      <c r="C182">
        <v>14</v>
      </c>
      <c r="D182" t="s">
        <v>120</v>
      </c>
      <c r="E182" t="s">
        <v>105</v>
      </c>
      <c r="F182" t="s">
        <v>95</v>
      </c>
      <c r="G182">
        <v>137</v>
      </c>
      <c r="H182">
        <v>0</v>
      </c>
      <c r="I182" t="str">
        <f>OutputTable[[#This Row],[ProjectName]]&amp;OutputTable[[#This Row],[Name]]&amp;OutputTable[[#This Row],[Type]]&amp;OutputTable[[#This Row],[Source]]</f>
        <v>Unnamed ProjectWaiter.NumberSeizedTotal Number SeizedResource</v>
      </c>
      <c r="J182" cm="1">
        <f t="array" ref="J182">MAX(IF((ProjectInfoTable[ProjectName]=OutputTable[[#This Row],[ProjectName]]),(ProjectInfoTable[ProjectName]=OutputTable[[#This Row],[ProjectName]])*ProjectInfoTable[NumberOfReplications]))</f>
        <v>30</v>
      </c>
      <c r="K182" cm="1">
        <f t="array" ref="K182">IFERROR(AVERAGE(IF((OutputTable[GroupByKey]=OutputTable[[#This Row],[GroupByKey]]),(OutputTable[GroupByKey]=OutputTable[[#This Row],[GroupByKey]])*OutputTable[RecordedValue])),0)</f>
        <v>142.66666666666666</v>
      </c>
      <c r="L182" cm="1">
        <f t="array" ref="L182">IFERROR(_xlfn.STDEV.S(IF((OutputTable[GroupByKey]=OutputTable[[#This Row],[GroupByKey]]),(OutputTable[GroupByKey]=OutputTable[[#This Row],[GroupByKey]])*OutputTable[RecordedValue])),0)</f>
        <v>6.4505190025531167</v>
      </c>
      <c r="M182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182" cm="1">
        <f t="array" ref="O182">MIN(IF((OutputTable[GroupByKey]=OutputTable[[#This Row],[GroupByKey]]),(OutputTable[GroupByKey]=OutputTable[[#This Row],[GroupByKey]])*OutputTable[RecordedValue]))</f>
        <v>132</v>
      </c>
      <c r="P182" cm="1">
        <f t="array" ref="P182">MAX(IF((OutputTable[GroupByKey]=OutputTable[[#This Row],[GroupByKey]]),(OutputTable[GroupByKey]=OutputTable[[#This Row],[GroupByKey]])*OutputTable[RecordedValue]))</f>
        <v>160</v>
      </c>
    </row>
    <row r="183" spans="1:16" x14ac:dyDescent="0.2">
      <c r="A183" t="s">
        <v>67</v>
      </c>
      <c r="B183" t="s">
        <v>70</v>
      </c>
      <c r="C183">
        <v>14</v>
      </c>
      <c r="D183" t="s">
        <v>121</v>
      </c>
      <c r="E183" t="s">
        <v>107</v>
      </c>
      <c r="F183" t="s">
        <v>95</v>
      </c>
      <c r="G183">
        <v>8.16627497191552E-2</v>
      </c>
      <c r="H183">
        <v>0</v>
      </c>
      <c r="I183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183" cm="1">
        <f t="array" ref="J183">MAX(IF((ProjectInfoTable[ProjectName]=OutputTable[[#This Row],[ProjectName]]),(ProjectInfoTable[ProjectName]=OutputTable[[#This Row],[ProjectName]])*ProjectInfoTable[NumberOfReplications]))</f>
        <v>30</v>
      </c>
      <c r="K183" cm="1">
        <f t="array" ref="K183">IFERROR(AVERAGE(IF((OutputTable[GroupByKey]=OutputTable[[#This Row],[GroupByKey]]),(OutputTable[GroupByKey]=OutputTable[[#This Row],[GroupByKey]])*OutputTable[RecordedValue])),0)</f>
        <v>8.3509459606410805E-2</v>
      </c>
      <c r="L183" cm="1">
        <f t="array" ref="L183">IFERROR(_xlfn.STDEV.S(IF((OutputTable[GroupByKey]=OutputTable[[#This Row],[GroupByKey]]),(OutputTable[GroupByKey]=OutputTable[[#This Row],[GroupByKey]])*OutputTable[RecordedValue])),0)</f>
        <v>3.5452891325333867E-3</v>
      </c>
      <c r="M183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183" cm="1">
        <f t="array" ref="O183">MIN(IF((OutputTable[GroupByKey]=OutputTable[[#This Row],[GroupByKey]]),(OutputTable[GroupByKey]=OutputTable[[#This Row],[GroupByKey]])*OutputTable[RecordedValue]))</f>
        <v>7.7176470357847096E-2</v>
      </c>
      <c r="P183" cm="1">
        <f t="array" ref="P183">MAX(IF((OutputTable[GroupByKey]=OutputTable[[#This Row],[GroupByKey]]),(OutputTable[GroupByKey]=OutputTable[[#This Row],[GroupByKey]])*OutputTable[RecordedValue]))</f>
        <v>9.2534326714405798E-2</v>
      </c>
    </row>
    <row r="184" spans="1:16" x14ac:dyDescent="0.2">
      <c r="A184" t="s">
        <v>67</v>
      </c>
      <c r="B184" t="s">
        <v>70</v>
      </c>
      <c r="C184">
        <v>15</v>
      </c>
      <c r="D184" t="s">
        <v>104</v>
      </c>
      <c r="E184" t="s">
        <v>105</v>
      </c>
      <c r="F184" t="s">
        <v>95</v>
      </c>
      <c r="G184">
        <v>277</v>
      </c>
      <c r="H184">
        <v>0</v>
      </c>
      <c r="I184" t="str">
        <f>OutputTable[[#This Row],[ProjectName]]&amp;OutputTable[[#This Row],[Name]]&amp;OutputTable[[#This Row],[Type]]&amp;OutputTable[[#This Row],[Source]]</f>
        <v>Unnamed ProjectCleaner.NumberSeizedTotal Number SeizedResource</v>
      </c>
      <c r="J184" cm="1">
        <f t="array" ref="J184">MAX(IF((ProjectInfoTable[ProjectName]=OutputTable[[#This Row],[ProjectName]]),(ProjectInfoTable[ProjectName]=OutputTable[[#This Row],[ProjectName]])*ProjectInfoTable[NumberOfReplications]))</f>
        <v>30</v>
      </c>
      <c r="K184" cm="1">
        <f t="array" ref="K184">IFERROR(AVERAGE(IF((OutputTable[GroupByKey]=OutputTable[[#This Row],[GroupByKey]]),(OutputTable[GroupByKey]=OutputTable[[#This Row],[GroupByKey]])*OutputTable[RecordedValue])),0)</f>
        <v>285.39999999999998</v>
      </c>
      <c r="L184" cm="1">
        <f t="array" ref="L184">IFERROR(_xlfn.STDEV.S(IF((OutputTable[GroupByKey]=OutputTable[[#This Row],[GroupByKey]]),(OutputTable[GroupByKey]=OutputTable[[#This Row],[GroupByKey]])*OutputTable[RecordedValue])),0)</f>
        <v>12.88302812979555</v>
      </c>
      <c r="M184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184" cm="1">
        <f t="array" ref="O184">MIN(IF((OutputTable[GroupByKey]=OutputTable[[#This Row],[GroupByKey]]),(OutputTable[GroupByKey]=OutputTable[[#This Row],[GroupByKey]])*OutputTable[RecordedValue]))</f>
        <v>266</v>
      </c>
      <c r="P184" cm="1">
        <f t="array" ref="P184">MAX(IF((OutputTable[GroupByKey]=OutputTable[[#This Row],[GroupByKey]]),(OutputTable[GroupByKey]=OutputTable[[#This Row],[GroupByKey]])*OutputTable[RecordedValue]))</f>
        <v>318</v>
      </c>
    </row>
    <row r="185" spans="1:16" x14ac:dyDescent="0.2">
      <c r="A185" t="s">
        <v>67</v>
      </c>
      <c r="B185" t="s">
        <v>70</v>
      </c>
      <c r="C185">
        <v>15</v>
      </c>
      <c r="D185" t="s">
        <v>106</v>
      </c>
      <c r="E185" t="s">
        <v>107</v>
      </c>
      <c r="F185" t="s">
        <v>95</v>
      </c>
      <c r="G185">
        <v>0.24298245614035099</v>
      </c>
      <c r="H185">
        <v>0</v>
      </c>
      <c r="I18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185" cm="1">
        <f t="array" ref="J185">MAX(IF((ProjectInfoTable[ProjectName]=OutputTable[[#This Row],[ProjectName]]),(ProjectInfoTable[ProjectName]=OutputTable[[#This Row],[ProjectName]])*ProjectInfoTable[NumberOfReplications]))</f>
        <v>30</v>
      </c>
      <c r="K185" cm="1">
        <f t="array" ref="K185">IFERROR(AVERAGE(IF((OutputTable[GroupByKey]=OutputTable[[#This Row],[GroupByKey]]),(OutputTable[GroupByKey]=OutputTable[[#This Row],[GroupByKey]])*OutputTable[RecordedValue])),0)</f>
        <v>0.25031804088290305</v>
      </c>
      <c r="L185" cm="1">
        <f t="array" ref="L185">IFERROR(_xlfn.STDEV.S(IF((OutputTable[GroupByKey]=OutputTable[[#This Row],[GroupByKey]]),(OutputTable[GroupByKey]=OutputTable[[#This Row],[GroupByKey]])*OutputTable[RecordedValue])),0)</f>
        <v>1.1255778929137084E-2</v>
      </c>
      <c r="M18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185" cm="1">
        <f t="array" ref="O185">MIN(IF((OutputTable[GroupByKey]=OutputTable[[#This Row],[GroupByKey]]),(OutputTable[GroupByKey]=OutputTable[[#This Row],[GroupByKey]])*OutputTable[RecordedValue]))</f>
        <v>0.233333333333333</v>
      </c>
      <c r="P185" cm="1">
        <f t="array" ref="P185">MAX(IF((OutputTable[GroupByKey]=OutputTable[[#This Row],[GroupByKey]]),(OutputTable[GroupByKey]=OutputTable[[#This Row],[GroupByKey]])*OutputTable[RecordedValue]))</f>
        <v>0.27905535859326402</v>
      </c>
    </row>
    <row r="186" spans="1:16" x14ac:dyDescent="0.2">
      <c r="A186" t="s">
        <v>67</v>
      </c>
      <c r="B186" t="s">
        <v>70</v>
      </c>
      <c r="C186">
        <v>15</v>
      </c>
      <c r="D186" t="s">
        <v>108</v>
      </c>
      <c r="E186" t="s">
        <v>105</v>
      </c>
      <c r="F186" t="s">
        <v>95</v>
      </c>
      <c r="G186">
        <v>276</v>
      </c>
      <c r="H186">
        <v>0</v>
      </c>
      <c r="I186" t="str">
        <f>OutputTable[[#This Row],[ProjectName]]&amp;OutputTable[[#This Row],[Name]]&amp;OutputTable[[#This Row],[Type]]&amp;OutputTable[[#This Row],[Source]]</f>
        <v>Unnamed ProjectCooker.NumberSeizedTotal Number SeizedResource</v>
      </c>
      <c r="J186" cm="1">
        <f t="array" ref="J186">MAX(IF((ProjectInfoTable[ProjectName]=OutputTable[[#This Row],[ProjectName]]),(ProjectInfoTable[ProjectName]=OutputTable[[#This Row],[ProjectName]])*ProjectInfoTable[NumberOfReplications]))</f>
        <v>30</v>
      </c>
      <c r="K186" cm="1">
        <f t="array" ref="K186">IFERROR(AVERAGE(IF((OutputTable[GroupByKey]=OutputTable[[#This Row],[GroupByKey]]),(OutputTable[GroupByKey]=OutputTable[[#This Row],[GroupByKey]])*OutputTable[RecordedValue])),0)</f>
        <v>285.66666666666669</v>
      </c>
      <c r="L186" cm="1">
        <f t="array" ref="L186">IFERROR(_xlfn.STDEV.S(IF((OutputTable[GroupByKey]=OutputTable[[#This Row],[GroupByKey]]),(OutputTable[GroupByKey]=OutputTable[[#This Row],[GroupByKey]])*OutputTable[RecordedValue])),0)</f>
        <v>12.949060233064802</v>
      </c>
      <c r="M186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186" cm="1">
        <f t="array" ref="O186">MIN(IF((OutputTable[GroupByKey]=OutputTable[[#This Row],[GroupByKey]]),(OutputTable[GroupByKey]=OutputTable[[#This Row],[GroupByKey]])*OutputTable[RecordedValue]))</f>
        <v>264</v>
      </c>
      <c r="P186" cm="1">
        <f t="array" ref="P186">MAX(IF((OutputTable[GroupByKey]=OutputTable[[#This Row],[GroupByKey]]),(OutputTable[GroupByKey]=OutputTable[[#This Row],[GroupByKey]])*OutputTable[RecordedValue]))</f>
        <v>320</v>
      </c>
    </row>
    <row r="187" spans="1:16" x14ac:dyDescent="0.2">
      <c r="A187" t="s">
        <v>67</v>
      </c>
      <c r="B187" t="s">
        <v>70</v>
      </c>
      <c r="C187">
        <v>15</v>
      </c>
      <c r="D187" t="s">
        <v>109</v>
      </c>
      <c r="E187" t="s">
        <v>107</v>
      </c>
      <c r="F187" t="s">
        <v>95</v>
      </c>
      <c r="G187">
        <v>0.60538881518458598</v>
      </c>
      <c r="H187">
        <v>0</v>
      </c>
      <c r="I187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187" cm="1">
        <f t="array" ref="J187">MAX(IF((ProjectInfoTable[ProjectName]=OutputTable[[#This Row],[ProjectName]]),(ProjectInfoTable[ProjectName]=OutputTable[[#This Row],[ProjectName]])*ProjectInfoTable[NumberOfReplications]))</f>
        <v>30</v>
      </c>
      <c r="K187" cm="1">
        <f t="array" ref="K187">IFERROR(AVERAGE(IF((OutputTable[GroupByKey]=OutputTable[[#This Row],[GroupByKey]]),(OutputTable[GroupByKey]=OutputTable[[#This Row],[GroupByKey]])*OutputTable[RecordedValue])),0)</f>
        <v>0.62721981794251769</v>
      </c>
      <c r="L187" cm="1">
        <f t="array" ref="L187">IFERROR(_xlfn.STDEV.S(IF((OutputTable[GroupByKey]=OutputTable[[#This Row],[GroupByKey]]),(OutputTable[GroupByKey]=OutputTable[[#This Row],[GroupByKey]])*OutputTable[RecordedValue])),0)</f>
        <v>2.6376107220918699E-2</v>
      </c>
      <c r="M187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187" cm="1">
        <f t="array" ref="O187">MIN(IF((OutputTable[GroupByKey]=OutputTable[[#This Row],[GroupByKey]]),(OutputTable[GroupByKey]=OutputTable[[#This Row],[GroupByKey]])*OutputTable[RecordedValue]))</f>
        <v>0.58256422876290004</v>
      </c>
      <c r="P187" cm="1">
        <f t="array" ref="P187">MAX(IF((OutputTable[GroupByKey]=OutputTable[[#This Row],[GroupByKey]]),(OutputTable[GroupByKey]=OutputTable[[#This Row],[GroupByKey]])*OutputTable[RecordedValue]))</f>
        <v>0.68643238055161704</v>
      </c>
    </row>
    <row r="188" spans="1:16" x14ac:dyDescent="0.2">
      <c r="A188" t="s">
        <v>67</v>
      </c>
      <c r="B188" t="s">
        <v>70</v>
      </c>
      <c r="C188">
        <v>15</v>
      </c>
      <c r="D188" t="s">
        <v>110</v>
      </c>
      <c r="E188" t="s">
        <v>111</v>
      </c>
      <c r="F188" t="s">
        <v>76</v>
      </c>
      <c r="G188">
        <v>828</v>
      </c>
      <c r="H188">
        <v>0</v>
      </c>
      <c r="I188" t="str">
        <f>OutputTable[[#This Row],[ProjectName]]&amp;OutputTable[[#This Row],[Name]]&amp;OutputTable[[#This Row],[Type]]&amp;OutputTable[[#This Row],[Source]]</f>
        <v>Unnamed ProjectCustomer.NumberInNumber InEntity</v>
      </c>
      <c r="J188" cm="1">
        <f t="array" ref="J188">MAX(IF((ProjectInfoTable[ProjectName]=OutputTable[[#This Row],[ProjectName]]),(ProjectInfoTable[ProjectName]=OutputTable[[#This Row],[ProjectName]])*ProjectInfoTable[NumberOfReplications]))</f>
        <v>30</v>
      </c>
      <c r="K188" cm="1">
        <f t="array" ref="K188">IFERROR(AVERAGE(IF((OutputTable[GroupByKey]=OutputTable[[#This Row],[GroupByKey]]),(OutputTable[GroupByKey]=OutputTable[[#This Row],[GroupByKey]])*OutputTable[RecordedValue])),0)</f>
        <v>855.93333333333328</v>
      </c>
      <c r="L188" cm="1">
        <f t="array" ref="L188">IFERROR(_xlfn.STDEV.S(IF((OutputTable[GroupByKey]=OutputTable[[#This Row],[GroupByKey]]),(OutputTable[GroupByKey]=OutputTable[[#This Row],[GroupByKey]])*OutputTable[RecordedValue])),0)</f>
        <v>38.659373073509371</v>
      </c>
      <c r="M188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188" cm="1">
        <f t="array" ref="O188">MIN(IF((OutputTable[GroupByKey]=OutputTable[[#This Row],[GroupByKey]]),(OutputTable[GroupByKey]=OutputTable[[#This Row],[GroupByKey]])*OutputTable[RecordedValue]))</f>
        <v>792</v>
      </c>
      <c r="P188" cm="1">
        <f t="array" ref="P188">MAX(IF((OutputTable[GroupByKey]=OutputTable[[#This Row],[GroupByKey]]),(OutputTable[GroupByKey]=OutputTable[[#This Row],[GroupByKey]])*OutputTable[RecordedValue]))</f>
        <v>958</v>
      </c>
    </row>
    <row r="189" spans="1:16" x14ac:dyDescent="0.2">
      <c r="A189" t="s">
        <v>67</v>
      </c>
      <c r="B189" t="s">
        <v>70</v>
      </c>
      <c r="C189">
        <v>15</v>
      </c>
      <c r="D189" t="s">
        <v>112</v>
      </c>
      <c r="E189" t="s">
        <v>113</v>
      </c>
      <c r="F189" t="s">
        <v>76</v>
      </c>
      <c r="G189">
        <v>829</v>
      </c>
      <c r="H189">
        <v>0</v>
      </c>
      <c r="I189" t="str">
        <f>OutputTable[[#This Row],[ProjectName]]&amp;OutputTable[[#This Row],[Name]]&amp;OutputTable[[#This Row],[Type]]&amp;OutputTable[[#This Row],[Source]]</f>
        <v>Unnamed ProjectCustomer.NumberOutNumber OutEntity</v>
      </c>
      <c r="J189" cm="1">
        <f t="array" ref="J189">MAX(IF((ProjectInfoTable[ProjectName]=OutputTable[[#This Row],[ProjectName]]),(ProjectInfoTable[ProjectName]=OutputTable[[#This Row],[ProjectName]])*ProjectInfoTable[NumberOfReplications]))</f>
        <v>30</v>
      </c>
      <c r="K189" cm="1">
        <f t="array" ref="K189">IFERROR(AVERAGE(IF((OutputTable[GroupByKey]=OutputTable[[#This Row],[GroupByKey]]),(OutputTable[GroupByKey]=OutputTable[[#This Row],[GroupByKey]])*OutputTable[RecordedValue])),0)</f>
        <v>855.3</v>
      </c>
      <c r="L189" cm="1">
        <f t="array" ref="L189">IFERROR(_xlfn.STDEV.S(IF((OutputTable[GroupByKey]=OutputTable[[#This Row],[GroupByKey]]),(OutputTable[GroupByKey]=OutputTable[[#This Row],[GroupByKey]])*OutputTable[RecordedValue])),0)</f>
        <v>38.322722169527033</v>
      </c>
      <c r="M189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189" cm="1">
        <f t="array" ref="O189">MIN(IF((OutputTable[GroupByKey]=OutputTable[[#This Row],[GroupByKey]]),(OutputTable[GroupByKey]=OutputTable[[#This Row],[GroupByKey]])*OutputTable[RecordedValue]))</f>
        <v>798</v>
      </c>
      <c r="P189" cm="1">
        <f t="array" ref="P189">MAX(IF((OutputTable[GroupByKey]=OutputTable[[#This Row],[GroupByKey]]),(OutputTable[GroupByKey]=OutputTable[[#This Row],[GroupByKey]])*OutputTable[RecordedValue]))</f>
        <v>954</v>
      </c>
    </row>
    <row r="190" spans="1:16" x14ac:dyDescent="0.2">
      <c r="A190" t="s">
        <v>67</v>
      </c>
      <c r="B190" t="s">
        <v>70</v>
      </c>
      <c r="C190">
        <v>15</v>
      </c>
      <c r="D190" t="s">
        <v>114</v>
      </c>
      <c r="E190" t="s">
        <v>105</v>
      </c>
      <c r="F190" t="s">
        <v>95</v>
      </c>
      <c r="G190">
        <v>344</v>
      </c>
      <c r="H190">
        <v>0</v>
      </c>
      <c r="I190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190" cm="1">
        <f t="array" ref="J190">MAX(IF((ProjectInfoTable[ProjectName]=OutputTable[[#This Row],[ProjectName]]),(ProjectInfoTable[ProjectName]=OutputTable[[#This Row],[ProjectName]])*ProjectInfoTable[NumberOfReplications]))</f>
        <v>30</v>
      </c>
      <c r="K190" cm="1">
        <f t="array" ref="K190">IFERROR(AVERAGE(IF((OutputTable[GroupByKey]=OutputTable[[#This Row],[GroupByKey]]),(OutputTable[GroupByKey]=OutputTable[[#This Row],[GroupByKey]])*OutputTable[RecordedValue])),0)</f>
        <v>344.6</v>
      </c>
      <c r="L190" cm="1">
        <f t="array" ref="L190">IFERROR(_xlfn.STDEV.S(IF((OutputTable[GroupByKey]=OutputTable[[#This Row],[GroupByKey]]),(OutputTable[GroupByKey]=OutputTable[[#This Row],[GroupByKey]])*OutputTable[RecordedValue])),0)</f>
        <v>21.890952311479008</v>
      </c>
      <c r="M190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190" cm="1">
        <f t="array" ref="O190">MIN(IF((OutputTable[GroupByKey]=OutputTable[[#This Row],[GroupByKey]]),(OutputTable[GroupByKey]=OutputTable[[#This Row],[GroupByKey]])*OutputTable[RecordedValue]))</f>
        <v>311</v>
      </c>
      <c r="P190" cm="1">
        <f t="array" ref="P190">MAX(IF((OutputTable[GroupByKey]=OutputTable[[#This Row],[GroupByKey]]),(OutputTable[GroupByKey]=OutputTable[[#This Row],[GroupByKey]])*OutputTable[RecordedValue]))</f>
        <v>396</v>
      </c>
    </row>
    <row r="191" spans="1:16" x14ac:dyDescent="0.2">
      <c r="A191" t="s">
        <v>67</v>
      </c>
      <c r="B191" t="s">
        <v>70</v>
      </c>
      <c r="C191">
        <v>15</v>
      </c>
      <c r="D191" t="s">
        <v>115</v>
      </c>
      <c r="E191" t="s">
        <v>107</v>
      </c>
      <c r="F191" t="s">
        <v>95</v>
      </c>
      <c r="G191">
        <v>1.8859649122806999E-3</v>
      </c>
      <c r="H191">
        <v>0</v>
      </c>
      <c r="I191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191" cm="1">
        <f t="array" ref="J191">MAX(IF((ProjectInfoTable[ProjectName]=OutputTable[[#This Row],[ProjectName]]),(ProjectInfoTable[ProjectName]=OutputTable[[#This Row],[ProjectName]])*ProjectInfoTable[NumberOfReplications]))</f>
        <v>30</v>
      </c>
      <c r="K191" cm="1">
        <f t="array" ref="K191">IFERROR(AVERAGE(IF((OutputTable[GroupByKey]=OutputTable[[#This Row],[GroupByKey]]),(OutputTable[GroupByKey]=OutputTable[[#This Row],[GroupByKey]])*OutputTable[RecordedValue])),0)</f>
        <v>1.889307012236451E-3</v>
      </c>
      <c r="L191" cm="1">
        <f t="array" ref="L191">IFERROR(_xlfn.STDEV.S(IF((OutputTable[GroupByKey]=OutputTable[[#This Row],[GroupByKey]]),(OutputTable[GroupByKey]=OutputTable[[#This Row],[GroupByKey]])*OutputTable[RecordedValue])),0)</f>
        <v>1.2015303758165521E-4</v>
      </c>
      <c r="M191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191" cm="1">
        <f t="array" ref="O191">MIN(IF((OutputTable[GroupByKey]=OutputTable[[#This Row],[GroupByKey]]),(OutputTable[GroupByKey]=OutputTable[[#This Row],[GroupByKey]])*OutputTable[RecordedValue]))</f>
        <v>1.70504385964912E-3</v>
      </c>
      <c r="P191" cm="1">
        <f t="array" ref="P191">MAX(IF((OutputTable[GroupByKey]=OutputTable[[#This Row],[GroupByKey]]),(OutputTable[GroupByKey]=OutputTable[[#This Row],[GroupByKey]])*OutputTable[RecordedValue]))</f>
        <v>2.17031677925951E-3</v>
      </c>
    </row>
    <row r="192" spans="1:16" x14ac:dyDescent="0.2">
      <c r="A192" t="s">
        <v>67</v>
      </c>
      <c r="B192" t="s">
        <v>70</v>
      </c>
      <c r="C192">
        <v>15</v>
      </c>
      <c r="D192" t="s">
        <v>116</v>
      </c>
      <c r="E192" t="s">
        <v>105</v>
      </c>
      <c r="F192" t="s">
        <v>95</v>
      </c>
      <c r="G192">
        <v>208</v>
      </c>
      <c r="H192">
        <v>0</v>
      </c>
      <c r="I192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192" cm="1">
        <f t="array" ref="J192">MAX(IF((ProjectInfoTable[ProjectName]=OutputTable[[#This Row],[ProjectName]]),(ProjectInfoTable[ProjectName]=OutputTable[[#This Row],[ProjectName]])*ProjectInfoTable[NumberOfReplications]))</f>
        <v>30</v>
      </c>
      <c r="K192" cm="1">
        <f t="array" ref="K192">IFERROR(AVERAGE(IF((OutputTable[GroupByKey]=OutputTable[[#This Row],[GroupByKey]]),(OutputTable[GroupByKey]=OutputTable[[#This Row],[GroupByKey]])*OutputTable[RecordedValue])),0)</f>
        <v>225.93333333333334</v>
      </c>
      <c r="L192" cm="1">
        <f t="array" ref="L192">IFERROR(_xlfn.STDEV.S(IF((OutputTable[GroupByKey]=OutputTable[[#This Row],[GroupByKey]]),(OutputTable[GroupByKey]=OutputTable[[#This Row],[GroupByKey]])*OutputTable[RecordedValue])),0)</f>
        <v>12.403929670244338</v>
      </c>
      <c r="M192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192" cm="1">
        <f t="array" ref="O192">MIN(IF((OutputTable[GroupByKey]=OutputTable[[#This Row],[GroupByKey]]),(OutputTable[GroupByKey]=OutputTable[[#This Row],[GroupByKey]])*OutputTable[RecordedValue]))</f>
        <v>205</v>
      </c>
      <c r="P192" cm="1">
        <f t="array" ref="P192">MAX(IF((OutputTable[GroupByKey]=OutputTable[[#This Row],[GroupByKey]]),(OutputTable[GroupByKey]=OutputTable[[#This Row],[GroupByKey]])*OutputTable[RecordedValue]))</f>
        <v>253</v>
      </c>
    </row>
    <row r="193" spans="1:16" x14ac:dyDescent="0.2">
      <c r="A193" t="s">
        <v>67</v>
      </c>
      <c r="B193" t="s">
        <v>70</v>
      </c>
      <c r="C193">
        <v>15</v>
      </c>
      <c r="D193" t="s">
        <v>117</v>
      </c>
      <c r="E193" t="s">
        <v>107</v>
      </c>
      <c r="F193" t="s">
        <v>95</v>
      </c>
      <c r="G193">
        <v>4.5614035087719303E-3</v>
      </c>
      <c r="H193">
        <v>0</v>
      </c>
      <c r="I193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193" cm="1">
        <f t="array" ref="J193">MAX(IF((ProjectInfoTable[ProjectName]=OutputTable[[#This Row],[ProjectName]]),(ProjectInfoTable[ProjectName]=OutputTable[[#This Row],[ProjectName]])*ProjectInfoTable[NumberOfReplications]))</f>
        <v>30</v>
      </c>
      <c r="K193" cm="1">
        <f t="array" ref="K193">IFERROR(AVERAGE(IF((OutputTable[GroupByKey]=OutputTable[[#This Row],[GroupByKey]]),(OutputTable[GroupByKey]=OutputTable[[#This Row],[GroupByKey]])*OutputTable[RecordedValue])),0)</f>
        <v>4.9565971649701106E-3</v>
      </c>
      <c r="L193" cm="1">
        <f t="array" ref="L193">IFERROR(_xlfn.STDEV.S(IF((OutputTable[GroupByKey]=OutputTable[[#This Row],[GroupByKey]]),(OutputTable[GroupByKey]=OutputTable[[#This Row],[GroupByKey]])*OutputTable[RecordedValue])),0)</f>
        <v>2.7167433725199517E-4</v>
      </c>
      <c r="M193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193" cm="1">
        <f t="array" ref="O193">MIN(IF((OutputTable[GroupByKey]=OutputTable[[#This Row],[GroupByKey]]),(OutputTable[GroupByKey]=OutputTable[[#This Row],[GroupByKey]])*OutputTable[RecordedValue]))</f>
        <v>4.4956140350877203E-3</v>
      </c>
      <c r="P193" cm="1">
        <f t="array" ref="P193">MAX(IF((OutputTable[GroupByKey]=OutputTable[[#This Row],[GroupByKey]]),(OutputTable[GroupByKey]=OutputTable[[#This Row],[GroupByKey]])*OutputTable[RecordedValue]))</f>
        <v>5.5482456140350904E-3</v>
      </c>
    </row>
    <row r="194" spans="1:16" x14ac:dyDescent="0.2">
      <c r="A194" t="s">
        <v>67</v>
      </c>
      <c r="B194" t="s">
        <v>70</v>
      </c>
      <c r="C194">
        <v>15</v>
      </c>
      <c r="D194" t="s">
        <v>118</v>
      </c>
      <c r="E194" t="s">
        <v>113</v>
      </c>
      <c r="F194" t="s">
        <v>119</v>
      </c>
      <c r="G194">
        <v>277</v>
      </c>
      <c r="H194">
        <v>0</v>
      </c>
      <c r="I194" t="str">
        <f>OutputTable[[#This Row],[ProjectName]]&amp;OutputTable[[#This Row],[Name]]&amp;OutputTable[[#This Row],[Type]]&amp;OutputTable[[#This Row],[Source]]</f>
        <v>Unnamed ProjectSystem.NumberOutNumber OutSystem</v>
      </c>
      <c r="J194" cm="1">
        <f t="array" ref="J194">MAX(IF((ProjectInfoTable[ProjectName]=OutputTable[[#This Row],[ProjectName]]),(ProjectInfoTable[ProjectName]=OutputTable[[#This Row],[ProjectName]])*ProjectInfoTable[NumberOfReplications]))</f>
        <v>30</v>
      </c>
      <c r="K194" cm="1">
        <f t="array" ref="K194">IFERROR(AVERAGE(IF((OutputTable[GroupByKey]=OutputTable[[#This Row],[GroupByKey]]),(OutputTable[GroupByKey]=OutputTable[[#This Row],[GroupByKey]])*OutputTable[RecordedValue])),0)</f>
        <v>285.3</v>
      </c>
      <c r="L194" cm="1">
        <f t="array" ref="L194">IFERROR(_xlfn.STDEV.S(IF((OutputTable[GroupByKey]=OutputTable[[#This Row],[GroupByKey]]),(OutputTable[GroupByKey]=OutputTable[[#This Row],[GroupByKey]])*OutputTable[RecordedValue])),0)</f>
        <v>12.739160368585981</v>
      </c>
      <c r="M194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194" cm="1">
        <f t="array" ref="O194">MIN(IF((OutputTable[GroupByKey]=OutputTable[[#This Row],[GroupByKey]]),(OutputTable[GroupByKey]=OutputTable[[#This Row],[GroupByKey]])*OutputTable[RecordedValue]))</f>
        <v>266</v>
      </c>
      <c r="P194" cm="1">
        <f t="array" ref="P194">MAX(IF((OutputTable[GroupByKey]=OutputTable[[#This Row],[GroupByKey]]),(OutputTable[GroupByKey]=OutputTable[[#This Row],[GroupByKey]])*OutputTable[RecordedValue]))</f>
        <v>318</v>
      </c>
    </row>
    <row r="195" spans="1:16" x14ac:dyDescent="0.2">
      <c r="A195" t="s">
        <v>67</v>
      </c>
      <c r="B195" t="s">
        <v>70</v>
      </c>
      <c r="C195">
        <v>15</v>
      </c>
      <c r="D195" t="s">
        <v>120</v>
      </c>
      <c r="E195" t="s">
        <v>105</v>
      </c>
      <c r="F195" t="s">
        <v>95</v>
      </c>
      <c r="G195">
        <v>138</v>
      </c>
      <c r="H195">
        <v>0</v>
      </c>
      <c r="I195" t="str">
        <f>OutputTable[[#This Row],[ProjectName]]&amp;OutputTable[[#This Row],[Name]]&amp;OutputTable[[#This Row],[Type]]&amp;OutputTable[[#This Row],[Source]]</f>
        <v>Unnamed ProjectWaiter.NumberSeizedTotal Number SeizedResource</v>
      </c>
      <c r="J195" cm="1">
        <f t="array" ref="J195">MAX(IF((ProjectInfoTable[ProjectName]=OutputTable[[#This Row],[ProjectName]]),(ProjectInfoTable[ProjectName]=OutputTable[[#This Row],[ProjectName]])*ProjectInfoTable[NumberOfReplications]))</f>
        <v>30</v>
      </c>
      <c r="K195" cm="1">
        <f t="array" ref="K195">IFERROR(AVERAGE(IF((OutputTable[GroupByKey]=OutputTable[[#This Row],[GroupByKey]]),(OutputTable[GroupByKey]=OutputTable[[#This Row],[GroupByKey]])*OutputTable[RecordedValue])),0)</f>
        <v>142.66666666666666</v>
      </c>
      <c r="L195" cm="1">
        <f t="array" ref="L195">IFERROR(_xlfn.STDEV.S(IF((OutputTable[GroupByKey]=OutputTable[[#This Row],[GroupByKey]]),(OutputTable[GroupByKey]=OutputTable[[#This Row],[GroupByKey]])*OutputTable[RecordedValue])),0)</f>
        <v>6.4505190025531167</v>
      </c>
      <c r="M19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195" cm="1">
        <f t="array" ref="O195">MIN(IF((OutputTable[GroupByKey]=OutputTable[[#This Row],[GroupByKey]]),(OutputTable[GroupByKey]=OutputTable[[#This Row],[GroupByKey]])*OutputTable[RecordedValue]))</f>
        <v>132</v>
      </c>
      <c r="P195" cm="1">
        <f t="array" ref="P195">MAX(IF((OutputTable[GroupByKey]=OutputTable[[#This Row],[GroupByKey]]),(OutputTable[GroupByKey]=OutputTable[[#This Row],[GroupByKey]])*OutputTable[RecordedValue]))</f>
        <v>160</v>
      </c>
    </row>
    <row r="196" spans="1:16" x14ac:dyDescent="0.2">
      <c r="A196" t="s">
        <v>67</v>
      </c>
      <c r="B196" t="s">
        <v>70</v>
      </c>
      <c r="C196">
        <v>15</v>
      </c>
      <c r="D196" t="s">
        <v>121</v>
      </c>
      <c r="E196" t="s">
        <v>107</v>
      </c>
      <c r="F196" t="s">
        <v>95</v>
      </c>
      <c r="G196">
        <v>8.1513731417820007E-2</v>
      </c>
      <c r="H196">
        <v>0</v>
      </c>
      <c r="I196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196" cm="1">
        <f t="array" ref="J196">MAX(IF((ProjectInfoTable[ProjectName]=OutputTable[[#This Row],[ProjectName]]),(ProjectInfoTable[ProjectName]=OutputTable[[#This Row],[ProjectName]])*ProjectInfoTable[NumberOfReplications]))</f>
        <v>30</v>
      </c>
      <c r="K196" cm="1">
        <f t="array" ref="K196">IFERROR(AVERAGE(IF((OutputTable[GroupByKey]=OutputTable[[#This Row],[GroupByKey]]),(OutputTable[GroupByKey]=OutputTable[[#This Row],[GroupByKey]])*OutputTable[RecordedValue])),0)</f>
        <v>8.3509459606410805E-2</v>
      </c>
      <c r="L196" cm="1">
        <f t="array" ref="L196">IFERROR(_xlfn.STDEV.S(IF((OutputTable[GroupByKey]=OutputTable[[#This Row],[GroupByKey]]),(OutputTable[GroupByKey]=OutputTable[[#This Row],[GroupByKey]])*OutputTable[RecordedValue])),0)</f>
        <v>3.5452891325333867E-3</v>
      </c>
      <c r="M196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196" cm="1">
        <f t="array" ref="O196">MIN(IF((OutputTable[GroupByKey]=OutputTable[[#This Row],[GroupByKey]]),(OutputTable[GroupByKey]=OutputTable[[#This Row],[GroupByKey]])*OutputTable[RecordedValue]))</f>
        <v>7.7176470357847096E-2</v>
      </c>
      <c r="P196" cm="1">
        <f t="array" ref="P196">MAX(IF((OutputTable[GroupByKey]=OutputTable[[#This Row],[GroupByKey]]),(OutputTable[GroupByKey]=OutputTable[[#This Row],[GroupByKey]])*OutputTable[RecordedValue]))</f>
        <v>9.2534326714405798E-2</v>
      </c>
    </row>
    <row r="197" spans="1:16" x14ac:dyDescent="0.2">
      <c r="A197" t="s">
        <v>67</v>
      </c>
      <c r="B197" t="s">
        <v>70</v>
      </c>
      <c r="C197">
        <v>16</v>
      </c>
      <c r="D197" t="s">
        <v>104</v>
      </c>
      <c r="E197" t="s">
        <v>105</v>
      </c>
      <c r="F197" t="s">
        <v>95</v>
      </c>
      <c r="G197">
        <v>279</v>
      </c>
      <c r="H197">
        <v>0</v>
      </c>
      <c r="I197" t="str">
        <f>OutputTable[[#This Row],[ProjectName]]&amp;OutputTable[[#This Row],[Name]]&amp;OutputTable[[#This Row],[Type]]&amp;OutputTable[[#This Row],[Source]]</f>
        <v>Unnamed ProjectCleaner.NumberSeizedTotal Number SeizedResource</v>
      </c>
      <c r="J197" cm="1">
        <f t="array" ref="J197">MAX(IF((ProjectInfoTable[ProjectName]=OutputTable[[#This Row],[ProjectName]]),(ProjectInfoTable[ProjectName]=OutputTable[[#This Row],[ProjectName]])*ProjectInfoTable[NumberOfReplications]))</f>
        <v>30</v>
      </c>
      <c r="K197" cm="1">
        <f t="array" ref="K197">IFERROR(AVERAGE(IF((OutputTable[GroupByKey]=OutputTable[[#This Row],[GroupByKey]]),(OutputTable[GroupByKey]=OutputTable[[#This Row],[GroupByKey]])*OutputTable[RecordedValue])),0)</f>
        <v>285.39999999999998</v>
      </c>
      <c r="L197" cm="1">
        <f t="array" ref="L197">IFERROR(_xlfn.STDEV.S(IF((OutputTable[GroupByKey]=OutputTable[[#This Row],[GroupByKey]]),(OutputTable[GroupByKey]=OutputTable[[#This Row],[GroupByKey]])*OutputTable[RecordedValue])),0)</f>
        <v>12.88302812979555</v>
      </c>
      <c r="M197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197" cm="1">
        <f t="array" ref="O197">MIN(IF((OutputTable[GroupByKey]=OutputTable[[#This Row],[GroupByKey]]),(OutputTable[GroupByKey]=OutputTable[[#This Row],[GroupByKey]])*OutputTable[RecordedValue]))</f>
        <v>266</v>
      </c>
      <c r="P197" cm="1">
        <f t="array" ref="P197">MAX(IF((OutputTable[GroupByKey]=OutputTable[[#This Row],[GroupByKey]]),(OutputTable[GroupByKey]=OutputTable[[#This Row],[GroupByKey]])*OutputTable[RecordedValue]))</f>
        <v>318</v>
      </c>
    </row>
    <row r="198" spans="1:16" x14ac:dyDescent="0.2">
      <c r="A198" t="s">
        <v>67</v>
      </c>
      <c r="B198" t="s">
        <v>70</v>
      </c>
      <c r="C198">
        <v>16</v>
      </c>
      <c r="D198" t="s">
        <v>106</v>
      </c>
      <c r="E198" t="s">
        <v>107</v>
      </c>
      <c r="F198" t="s">
        <v>95</v>
      </c>
      <c r="G198">
        <v>0.24518979190839399</v>
      </c>
      <c r="H198">
        <v>0</v>
      </c>
      <c r="I198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198" cm="1">
        <f t="array" ref="J198">MAX(IF((ProjectInfoTable[ProjectName]=OutputTable[[#This Row],[ProjectName]]),(ProjectInfoTable[ProjectName]=OutputTable[[#This Row],[ProjectName]])*ProjectInfoTable[NumberOfReplications]))</f>
        <v>30</v>
      </c>
      <c r="K198" cm="1">
        <f t="array" ref="K198">IFERROR(AVERAGE(IF((OutputTable[GroupByKey]=OutputTable[[#This Row],[GroupByKey]]),(OutputTable[GroupByKey]=OutputTable[[#This Row],[GroupByKey]])*OutputTable[RecordedValue])),0)</f>
        <v>0.25031804088290305</v>
      </c>
      <c r="L198" cm="1">
        <f t="array" ref="L198">IFERROR(_xlfn.STDEV.S(IF((OutputTable[GroupByKey]=OutputTable[[#This Row],[GroupByKey]]),(OutputTable[GroupByKey]=OutputTable[[#This Row],[GroupByKey]])*OutputTable[RecordedValue])),0)</f>
        <v>1.1255778929137084E-2</v>
      </c>
      <c r="M198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198" cm="1">
        <f t="array" ref="O198">MIN(IF((OutputTable[GroupByKey]=OutputTable[[#This Row],[GroupByKey]]),(OutputTable[GroupByKey]=OutputTable[[#This Row],[GroupByKey]])*OutputTable[RecordedValue]))</f>
        <v>0.233333333333333</v>
      </c>
      <c r="P198" cm="1">
        <f t="array" ref="P198">MAX(IF((OutputTable[GroupByKey]=OutputTable[[#This Row],[GroupByKey]]),(OutputTable[GroupByKey]=OutputTable[[#This Row],[GroupByKey]])*OutputTable[RecordedValue]))</f>
        <v>0.27905535859326402</v>
      </c>
    </row>
    <row r="199" spans="1:16" x14ac:dyDescent="0.2">
      <c r="A199" t="s">
        <v>67</v>
      </c>
      <c r="B199" t="s">
        <v>70</v>
      </c>
      <c r="C199">
        <v>16</v>
      </c>
      <c r="D199" t="s">
        <v>108</v>
      </c>
      <c r="E199" t="s">
        <v>105</v>
      </c>
      <c r="F199" t="s">
        <v>95</v>
      </c>
      <c r="G199">
        <v>278</v>
      </c>
      <c r="H199">
        <v>0</v>
      </c>
      <c r="I199" t="str">
        <f>OutputTable[[#This Row],[ProjectName]]&amp;OutputTable[[#This Row],[Name]]&amp;OutputTable[[#This Row],[Type]]&amp;OutputTable[[#This Row],[Source]]</f>
        <v>Unnamed ProjectCooker.NumberSeizedTotal Number SeizedResource</v>
      </c>
      <c r="J199" cm="1">
        <f t="array" ref="J199">MAX(IF((ProjectInfoTable[ProjectName]=OutputTable[[#This Row],[ProjectName]]),(ProjectInfoTable[ProjectName]=OutputTable[[#This Row],[ProjectName]])*ProjectInfoTable[NumberOfReplications]))</f>
        <v>30</v>
      </c>
      <c r="K199" cm="1">
        <f t="array" ref="K199">IFERROR(AVERAGE(IF((OutputTable[GroupByKey]=OutputTable[[#This Row],[GroupByKey]]),(OutputTable[GroupByKey]=OutputTable[[#This Row],[GroupByKey]])*OutputTable[RecordedValue])),0)</f>
        <v>285.66666666666669</v>
      </c>
      <c r="L199" cm="1">
        <f t="array" ref="L199">IFERROR(_xlfn.STDEV.S(IF((OutputTable[GroupByKey]=OutputTable[[#This Row],[GroupByKey]]),(OutputTable[GroupByKey]=OutputTable[[#This Row],[GroupByKey]])*OutputTable[RecordedValue])),0)</f>
        <v>12.949060233064802</v>
      </c>
      <c r="M199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199" cm="1">
        <f t="array" ref="O199">MIN(IF((OutputTable[GroupByKey]=OutputTable[[#This Row],[GroupByKey]]),(OutputTable[GroupByKey]=OutputTable[[#This Row],[GroupByKey]])*OutputTable[RecordedValue]))</f>
        <v>264</v>
      </c>
      <c r="P199" cm="1">
        <f t="array" ref="P199">MAX(IF((OutputTable[GroupByKey]=OutputTable[[#This Row],[GroupByKey]]),(OutputTable[GroupByKey]=OutputTable[[#This Row],[GroupByKey]])*OutputTable[RecordedValue]))</f>
        <v>320</v>
      </c>
    </row>
    <row r="200" spans="1:16" x14ac:dyDescent="0.2">
      <c r="A200" t="s">
        <v>67</v>
      </c>
      <c r="B200" t="s">
        <v>70</v>
      </c>
      <c r="C200">
        <v>16</v>
      </c>
      <c r="D200" t="s">
        <v>109</v>
      </c>
      <c r="E200" t="s">
        <v>107</v>
      </c>
      <c r="F200" t="s">
        <v>95</v>
      </c>
      <c r="G200">
        <v>0.62025742082706403</v>
      </c>
      <c r="H200">
        <v>0</v>
      </c>
      <c r="I200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200" cm="1">
        <f t="array" ref="J200">MAX(IF((ProjectInfoTable[ProjectName]=OutputTable[[#This Row],[ProjectName]]),(ProjectInfoTable[ProjectName]=OutputTable[[#This Row],[ProjectName]])*ProjectInfoTable[NumberOfReplications]))</f>
        <v>30</v>
      </c>
      <c r="K200" cm="1">
        <f t="array" ref="K200">IFERROR(AVERAGE(IF((OutputTable[GroupByKey]=OutputTable[[#This Row],[GroupByKey]]),(OutputTable[GroupByKey]=OutputTable[[#This Row],[GroupByKey]])*OutputTable[RecordedValue])),0)</f>
        <v>0.62721981794251769</v>
      </c>
      <c r="L200" cm="1">
        <f t="array" ref="L200">IFERROR(_xlfn.STDEV.S(IF((OutputTable[GroupByKey]=OutputTable[[#This Row],[GroupByKey]]),(OutputTable[GroupByKey]=OutputTable[[#This Row],[GroupByKey]])*OutputTable[RecordedValue])),0)</f>
        <v>2.6376107220918699E-2</v>
      </c>
      <c r="M200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200" cm="1">
        <f t="array" ref="O200">MIN(IF((OutputTable[GroupByKey]=OutputTable[[#This Row],[GroupByKey]]),(OutputTable[GroupByKey]=OutputTable[[#This Row],[GroupByKey]])*OutputTable[RecordedValue]))</f>
        <v>0.58256422876290004</v>
      </c>
      <c r="P200" cm="1">
        <f t="array" ref="P200">MAX(IF((OutputTable[GroupByKey]=OutputTable[[#This Row],[GroupByKey]]),(OutputTable[GroupByKey]=OutputTable[[#This Row],[GroupByKey]])*OutputTable[RecordedValue]))</f>
        <v>0.68643238055161704</v>
      </c>
    </row>
    <row r="201" spans="1:16" x14ac:dyDescent="0.2">
      <c r="A201" t="s">
        <v>67</v>
      </c>
      <c r="B201" t="s">
        <v>70</v>
      </c>
      <c r="C201">
        <v>16</v>
      </c>
      <c r="D201" t="s">
        <v>110</v>
      </c>
      <c r="E201" t="s">
        <v>111</v>
      </c>
      <c r="F201" t="s">
        <v>76</v>
      </c>
      <c r="G201">
        <v>833</v>
      </c>
      <c r="H201">
        <v>0</v>
      </c>
      <c r="I201" t="str">
        <f>OutputTable[[#This Row],[ProjectName]]&amp;OutputTable[[#This Row],[Name]]&amp;OutputTable[[#This Row],[Type]]&amp;OutputTable[[#This Row],[Source]]</f>
        <v>Unnamed ProjectCustomer.NumberInNumber InEntity</v>
      </c>
      <c r="J201" cm="1">
        <f t="array" ref="J201">MAX(IF((ProjectInfoTable[ProjectName]=OutputTable[[#This Row],[ProjectName]]),(ProjectInfoTable[ProjectName]=OutputTable[[#This Row],[ProjectName]])*ProjectInfoTable[NumberOfReplications]))</f>
        <v>30</v>
      </c>
      <c r="K201" cm="1">
        <f t="array" ref="K201">IFERROR(AVERAGE(IF((OutputTable[GroupByKey]=OutputTable[[#This Row],[GroupByKey]]),(OutputTable[GroupByKey]=OutputTable[[#This Row],[GroupByKey]])*OutputTable[RecordedValue])),0)</f>
        <v>855.93333333333328</v>
      </c>
      <c r="L201" cm="1">
        <f t="array" ref="L201">IFERROR(_xlfn.STDEV.S(IF((OutputTable[GroupByKey]=OutputTable[[#This Row],[GroupByKey]]),(OutputTable[GroupByKey]=OutputTable[[#This Row],[GroupByKey]])*OutputTable[RecordedValue])),0)</f>
        <v>38.659373073509371</v>
      </c>
      <c r="M201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201" cm="1">
        <f t="array" ref="O201">MIN(IF((OutputTable[GroupByKey]=OutputTable[[#This Row],[GroupByKey]]),(OutputTable[GroupByKey]=OutputTable[[#This Row],[GroupByKey]])*OutputTable[RecordedValue]))</f>
        <v>792</v>
      </c>
      <c r="P201" cm="1">
        <f t="array" ref="P201">MAX(IF((OutputTable[GroupByKey]=OutputTable[[#This Row],[GroupByKey]]),(OutputTable[GroupByKey]=OutputTable[[#This Row],[GroupByKey]])*OutputTable[RecordedValue]))</f>
        <v>958</v>
      </c>
    </row>
    <row r="202" spans="1:16" x14ac:dyDescent="0.2">
      <c r="A202" t="s">
        <v>67</v>
      </c>
      <c r="B202" t="s">
        <v>70</v>
      </c>
      <c r="C202">
        <v>16</v>
      </c>
      <c r="D202" t="s">
        <v>112</v>
      </c>
      <c r="E202" t="s">
        <v>113</v>
      </c>
      <c r="F202" t="s">
        <v>76</v>
      </c>
      <c r="G202">
        <v>840</v>
      </c>
      <c r="H202">
        <v>0</v>
      </c>
      <c r="I202" t="str">
        <f>OutputTable[[#This Row],[ProjectName]]&amp;OutputTable[[#This Row],[Name]]&amp;OutputTable[[#This Row],[Type]]&amp;OutputTable[[#This Row],[Source]]</f>
        <v>Unnamed ProjectCustomer.NumberOutNumber OutEntity</v>
      </c>
      <c r="J202" cm="1">
        <f t="array" ref="J202">MAX(IF((ProjectInfoTable[ProjectName]=OutputTable[[#This Row],[ProjectName]]),(ProjectInfoTable[ProjectName]=OutputTable[[#This Row],[ProjectName]])*ProjectInfoTable[NumberOfReplications]))</f>
        <v>30</v>
      </c>
      <c r="K202" cm="1">
        <f t="array" ref="K202">IFERROR(AVERAGE(IF((OutputTable[GroupByKey]=OutputTable[[#This Row],[GroupByKey]]),(OutputTable[GroupByKey]=OutputTable[[#This Row],[GroupByKey]])*OutputTable[RecordedValue])),0)</f>
        <v>855.3</v>
      </c>
      <c r="L202" cm="1">
        <f t="array" ref="L202">IFERROR(_xlfn.STDEV.S(IF((OutputTable[GroupByKey]=OutputTable[[#This Row],[GroupByKey]]),(OutputTable[GroupByKey]=OutputTable[[#This Row],[GroupByKey]])*OutputTable[RecordedValue])),0)</f>
        <v>38.322722169527033</v>
      </c>
      <c r="M202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202" cm="1">
        <f t="array" ref="O202">MIN(IF((OutputTable[GroupByKey]=OutputTable[[#This Row],[GroupByKey]]),(OutputTable[GroupByKey]=OutputTable[[#This Row],[GroupByKey]])*OutputTable[RecordedValue]))</f>
        <v>798</v>
      </c>
      <c r="P202" cm="1">
        <f t="array" ref="P202">MAX(IF((OutputTable[GroupByKey]=OutputTable[[#This Row],[GroupByKey]]),(OutputTable[GroupByKey]=OutputTable[[#This Row],[GroupByKey]])*OutputTable[RecordedValue]))</f>
        <v>954</v>
      </c>
    </row>
    <row r="203" spans="1:16" x14ac:dyDescent="0.2">
      <c r="A203" t="s">
        <v>67</v>
      </c>
      <c r="B203" t="s">
        <v>70</v>
      </c>
      <c r="C203">
        <v>16</v>
      </c>
      <c r="D203" t="s">
        <v>114</v>
      </c>
      <c r="E203" t="s">
        <v>105</v>
      </c>
      <c r="F203" t="s">
        <v>95</v>
      </c>
      <c r="G203">
        <v>333</v>
      </c>
      <c r="H203">
        <v>0</v>
      </c>
      <c r="I203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203" cm="1">
        <f t="array" ref="J203">MAX(IF((ProjectInfoTable[ProjectName]=OutputTable[[#This Row],[ProjectName]]),(ProjectInfoTable[ProjectName]=OutputTable[[#This Row],[ProjectName]])*ProjectInfoTable[NumberOfReplications]))</f>
        <v>30</v>
      </c>
      <c r="K203" cm="1">
        <f t="array" ref="K203">IFERROR(AVERAGE(IF((OutputTable[GroupByKey]=OutputTable[[#This Row],[GroupByKey]]),(OutputTable[GroupByKey]=OutputTable[[#This Row],[GroupByKey]])*OutputTable[RecordedValue])),0)</f>
        <v>344.6</v>
      </c>
      <c r="L203" cm="1">
        <f t="array" ref="L203">IFERROR(_xlfn.STDEV.S(IF((OutputTable[GroupByKey]=OutputTable[[#This Row],[GroupByKey]]),(OutputTable[GroupByKey]=OutputTable[[#This Row],[GroupByKey]])*OutputTable[RecordedValue])),0)</f>
        <v>21.890952311479008</v>
      </c>
      <c r="M203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203" cm="1">
        <f t="array" ref="O203">MIN(IF((OutputTable[GroupByKey]=OutputTable[[#This Row],[GroupByKey]]),(OutputTable[GroupByKey]=OutputTable[[#This Row],[GroupByKey]])*OutputTable[RecordedValue]))</f>
        <v>311</v>
      </c>
      <c r="P203" cm="1">
        <f t="array" ref="P203">MAX(IF((OutputTable[GroupByKey]=OutputTable[[#This Row],[GroupByKey]]),(OutputTable[GroupByKey]=OutputTable[[#This Row],[GroupByKey]])*OutputTable[RecordedValue]))</f>
        <v>396</v>
      </c>
    </row>
    <row r="204" spans="1:16" x14ac:dyDescent="0.2">
      <c r="A204" t="s">
        <v>67</v>
      </c>
      <c r="B204" t="s">
        <v>70</v>
      </c>
      <c r="C204">
        <v>16</v>
      </c>
      <c r="D204" t="s">
        <v>115</v>
      </c>
      <c r="E204" t="s">
        <v>107</v>
      </c>
      <c r="F204" t="s">
        <v>95</v>
      </c>
      <c r="G204">
        <v>1.8201838973989899E-3</v>
      </c>
      <c r="H204">
        <v>0</v>
      </c>
      <c r="I204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204" cm="1">
        <f t="array" ref="J204">MAX(IF((ProjectInfoTable[ProjectName]=OutputTable[[#This Row],[ProjectName]]),(ProjectInfoTable[ProjectName]=OutputTable[[#This Row],[ProjectName]])*ProjectInfoTable[NumberOfReplications]))</f>
        <v>30</v>
      </c>
      <c r="K204" cm="1">
        <f t="array" ref="K204">IFERROR(AVERAGE(IF((OutputTable[GroupByKey]=OutputTable[[#This Row],[GroupByKey]]),(OutputTable[GroupByKey]=OutputTable[[#This Row],[GroupByKey]])*OutputTable[RecordedValue])),0)</f>
        <v>1.889307012236451E-3</v>
      </c>
      <c r="L204" cm="1">
        <f t="array" ref="L204">IFERROR(_xlfn.STDEV.S(IF((OutputTable[GroupByKey]=OutputTable[[#This Row],[GroupByKey]]),(OutputTable[GroupByKey]=OutputTable[[#This Row],[GroupByKey]])*OutputTable[RecordedValue])),0)</f>
        <v>1.2015303758165521E-4</v>
      </c>
      <c r="M204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204" cm="1">
        <f t="array" ref="O204">MIN(IF((OutputTable[GroupByKey]=OutputTable[[#This Row],[GroupByKey]]),(OutputTable[GroupByKey]=OutputTable[[#This Row],[GroupByKey]])*OutputTable[RecordedValue]))</f>
        <v>1.70504385964912E-3</v>
      </c>
      <c r="P204" cm="1">
        <f t="array" ref="P204">MAX(IF((OutputTable[GroupByKey]=OutputTable[[#This Row],[GroupByKey]]),(OutputTable[GroupByKey]=OutputTable[[#This Row],[GroupByKey]])*OutputTable[RecordedValue]))</f>
        <v>2.17031677925951E-3</v>
      </c>
    </row>
    <row r="205" spans="1:16" x14ac:dyDescent="0.2">
      <c r="A205" t="s">
        <v>67</v>
      </c>
      <c r="B205" t="s">
        <v>70</v>
      </c>
      <c r="C205">
        <v>16</v>
      </c>
      <c r="D205" t="s">
        <v>116</v>
      </c>
      <c r="E205" t="s">
        <v>105</v>
      </c>
      <c r="F205" t="s">
        <v>95</v>
      </c>
      <c r="G205">
        <v>222</v>
      </c>
      <c r="H205">
        <v>0</v>
      </c>
      <c r="I205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205" cm="1">
        <f t="array" ref="J205">MAX(IF((ProjectInfoTable[ProjectName]=OutputTable[[#This Row],[ProjectName]]),(ProjectInfoTable[ProjectName]=OutputTable[[#This Row],[ProjectName]])*ProjectInfoTable[NumberOfReplications]))</f>
        <v>30</v>
      </c>
      <c r="K205" cm="1">
        <f t="array" ref="K205">IFERROR(AVERAGE(IF((OutputTable[GroupByKey]=OutputTable[[#This Row],[GroupByKey]]),(OutputTable[GroupByKey]=OutputTable[[#This Row],[GroupByKey]])*OutputTable[RecordedValue])),0)</f>
        <v>225.93333333333334</v>
      </c>
      <c r="L205" cm="1">
        <f t="array" ref="L205">IFERROR(_xlfn.STDEV.S(IF((OutputTable[GroupByKey]=OutputTable[[#This Row],[GroupByKey]]),(OutputTable[GroupByKey]=OutputTable[[#This Row],[GroupByKey]])*OutputTable[RecordedValue])),0)</f>
        <v>12.403929670244338</v>
      </c>
      <c r="M20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205" cm="1">
        <f t="array" ref="O205">MIN(IF((OutputTable[GroupByKey]=OutputTable[[#This Row],[GroupByKey]]),(OutputTable[GroupByKey]=OutputTable[[#This Row],[GroupByKey]])*OutputTable[RecordedValue]))</f>
        <v>205</v>
      </c>
      <c r="P205" cm="1">
        <f t="array" ref="P205">MAX(IF((OutputTable[GroupByKey]=OutputTable[[#This Row],[GroupByKey]]),(OutputTable[GroupByKey]=OutputTable[[#This Row],[GroupByKey]])*OutputTable[RecordedValue]))</f>
        <v>253</v>
      </c>
    </row>
    <row r="206" spans="1:16" x14ac:dyDescent="0.2">
      <c r="A206" t="s">
        <v>67</v>
      </c>
      <c r="B206" t="s">
        <v>70</v>
      </c>
      <c r="C206">
        <v>16</v>
      </c>
      <c r="D206" t="s">
        <v>117</v>
      </c>
      <c r="E206" t="s">
        <v>107</v>
      </c>
      <c r="F206" t="s">
        <v>95</v>
      </c>
      <c r="G206">
        <v>4.86842105263158E-3</v>
      </c>
      <c r="H206">
        <v>0</v>
      </c>
      <c r="I206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206" cm="1">
        <f t="array" ref="J206">MAX(IF((ProjectInfoTable[ProjectName]=OutputTable[[#This Row],[ProjectName]]),(ProjectInfoTable[ProjectName]=OutputTable[[#This Row],[ProjectName]])*ProjectInfoTable[NumberOfReplications]))</f>
        <v>30</v>
      </c>
      <c r="K206" cm="1">
        <f t="array" ref="K206">IFERROR(AVERAGE(IF((OutputTable[GroupByKey]=OutputTable[[#This Row],[GroupByKey]]),(OutputTable[GroupByKey]=OutputTable[[#This Row],[GroupByKey]])*OutputTable[RecordedValue])),0)</f>
        <v>4.9565971649701106E-3</v>
      </c>
      <c r="L206" cm="1">
        <f t="array" ref="L206">IFERROR(_xlfn.STDEV.S(IF((OutputTable[GroupByKey]=OutputTable[[#This Row],[GroupByKey]]),(OutputTable[GroupByKey]=OutputTable[[#This Row],[GroupByKey]])*OutputTable[RecordedValue])),0)</f>
        <v>2.7167433725199517E-4</v>
      </c>
      <c r="M206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206" cm="1">
        <f t="array" ref="O206">MIN(IF((OutputTable[GroupByKey]=OutputTable[[#This Row],[GroupByKey]]),(OutputTable[GroupByKey]=OutputTable[[#This Row],[GroupByKey]])*OutputTable[RecordedValue]))</f>
        <v>4.4956140350877203E-3</v>
      </c>
      <c r="P206" cm="1">
        <f t="array" ref="P206">MAX(IF((OutputTable[GroupByKey]=OutputTable[[#This Row],[GroupByKey]]),(OutputTable[GroupByKey]=OutputTable[[#This Row],[GroupByKey]])*OutputTable[RecordedValue]))</f>
        <v>5.5482456140350904E-3</v>
      </c>
    </row>
    <row r="207" spans="1:16" x14ac:dyDescent="0.2">
      <c r="A207" t="s">
        <v>67</v>
      </c>
      <c r="B207" t="s">
        <v>70</v>
      </c>
      <c r="C207">
        <v>16</v>
      </c>
      <c r="D207" t="s">
        <v>118</v>
      </c>
      <c r="E207" t="s">
        <v>113</v>
      </c>
      <c r="F207" t="s">
        <v>119</v>
      </c>
      <c r="G207">
        <v>280</v>
      </c>
      <c r="H207">
        <v>0</v>
      </c>
      <c r="I207" t="str">
        <f>OutputTable[[#This Row],[ProjectName]]&amp;OutputTable[[#This Row],[Name]]&amp;OutputTable[[#This Row],[Type]]&amp;OutputTable[[#This Row],[Source]]</f>
        <v>Unnamed ProjectSystem.NumberOutNumber OutSystem</v>
      </c>
      <c r="J207" cm="1">
        <f t="array" ref="J207">MAX(IF((ProjectInfoTable[ProjectName]=OutputTable[[#This Row],[ProjectName]]),(ProjectInfoTable[ProjectName]=OutputTable[[#This Row],[ProjectName]])*ProjectInfoTable[NumberOfReplications]))</f>
        <v>30</v>
      </c>
      <c r="K207" cm="1">
        <f t="array" ref="K207">IFERROR(AVERAGE(IF((OutputTable[GroupByKey]=OutputTable[[#This Row],[GroupByKey]]),(OutputTable[GroupByKey]=OutputTable[[#This Row],[GroupByKey]])*OutputTable[RecordedValue])),0)</f>
        <v>285.3</v>
      </c>
      <c r="L207" cm="1">
        <f t="array" ref="L207">IFERROR(_xlfn.STDEV.S(IF((OutputTable[GroupByKey]=OutputTable[[#This Row],[GroupByKey]]),(OutputTable[GroupByKey]=OutputTable[[#This Row],[GroupByKey]])*OutputTable[RecordedValue])),0)</f>
        <v>12.739160368585981</v>
      </c>
      <c r="M207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207" cm="1">
        <f t="array" ref="O207">MIN(IF((OutputTable[GroupByKey]=OutputTable[[#This Row],[GroupByKey]]),(OutputTable[GroupByKey]=OutputTable[[#This Row],[GroupByKey]])*OutputTable[RecordedValue]))</f>
        <v>266</v>
      </c>
      <c r="P207" cm="1">
        <f t="array" ref="P207">MAX(IF((OutputTable[GroupByKey]=OutputTable[[#This Row],[GroupByKey]]),(OutputTable[GroupByKey]=OutputTable[[#This Row],[GroupByKey]])*OutputTable[RecordedValue]))</f>
        <v>318</v>
      </c>
    </row>
    <row r="208" spans="1:16" x14ac:dyDescent="0.2">
      <c r="A208" t="s">
        <v>67</v>
      </c>
      <c r="B208" t="s">
        <v>70</v>
      </c>
      <c r="C208">
        <v>16</v>
      </c>
      <c r="D208" t="s">
        <v>120</v>
      </c>
      <c r="E208" t="s">
        <v>105</v>
      </c>
      <c r="F208" t="s">
        <v>95</v>
      </c>
      <c r="G208">
        <v>139</v>
      </c>
      <c r="H208">
        <v>0</v>
      </c>
      <c r="I208" t="str">
        <f>OutputTable[[#This Row],[ProjectName]]&amp;OutputTable[[#This Row],[Name]]&amp;OutputTable[[#This Row],[Type]]&amp;OutputTable[[#This Row],[Source]]</f>
        <v>Unnamed ProjectWaiter.NumberSeizedTotal Number SeizedResource</v>
      </c>
      <c r="J208" cm="1">
        <f t="array" ref="J208">MAX(IF((ProjectInfoTable[ProjectName]=OutputTable[[#This Row],[ProjectName]]),(ProjectInfoTable[ProjectName]=OutputTable[[#This Row],[ProjectName]])*ProjectInfoTable[NumberOfReplications]))</f>
        <v>30</v>
      </c>
      <c r="K208" cm="1">
        <f t="array" ref="K208">IFERROR(AVERAGE(IF((OutputTable[GroupByKey]=OutputTable[[#This Row],[GroupByKey]]),(OutputTable[GroupByKey]=OutputTable[[#This Row],[GroupByKey]])*OutputTable[RecordedValue])),0)</f>
        <v>142.66666666666666</v>
      </c>
      <c r="L208" cm="1">
        <f t="array" ref="L208">IFERROR(_xlfn.STDEV.S(IF((OutputTable[GroupByKey]=OutputTable[[#This Row],[GroupByKey]]),(OutputTable[GroupByKey]=OutputTable[[#This Row],[GroupByKey]])*OutputTable[RecordedValue])),0)</f>
        <v>6.4505190025531167</v>
      </c>
      <c r="M208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208" cm="1">
        <f t="array" ref="O208">MIN(IF((OutputTable[GroupByKey]=OutputTable[[#This Row],[GroupByKey]]),(OutputTable[GroupByKey]=OutputTable[[#This Row],[GroupByKey]])*OutputTable[RecordedValue]))</f>
        <v>132</v>
      </c>
      <c r="P208" cm="1">
        <f t="array" ref="P208">MAX(IF((OutputTable[GroupByKey]=OutputTable[[#This Row],[GroupByKey]]),(OutputTable[GroupByKey]=OutputTable[[#This Row],[GroupByKey]])*OutputTable[RecordedValue]))</f>
        <v>160</v>
      </c>
    </row>
    <row r="209" spans="1:16" x14ac:dyDescent="0.2">
      <c r="A209" t="s">
        <v>67</v>
      </c>
      <c r="B209" t="s">
        <v>70</v>
      </c>
      <c r="C209">
        <v>16</v>
      </c>
      <c r="D209" t="s">
        <v>121</v>
      </c>
      <c r="E209" t="s">
        <v>107</v>
      </c>
      <c r="F209" t="s">
        <v>95</v>
      </c>
      <c r="G209">
        <v>8.0650049738792307E-2</v>
      </c>
      <c r="H209">
        <v>0</v>
      </c>
      <c r="I209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209" cm="1">
        <f t="array" ref="J209">MAX(IF((ProjectInfoTable[ProjectName]=OutputTable[[#This Row],[ProjectName]]),(ProjectInfoTable[ProjectName]=OutputTable[[#This Row],[ProjectName]])*ProjectInfoTable[NumberOfReplications]))</f>
        <v>30</v>
      </c>
      <c r="K209" cm="1">
        <f t="array" ref="K209">IFERROR(AVERAGE(IF((OutputTable[GroupByKey]=OutputTable[[#This Row],[GroupByKey]]),(OutputTable[GroupByKey]=OutputTable[[#This Row],[GroupByKey]])*OutputTable[RecordedValue])),0)</f>
        <v>8.3509459606410805E-2</v>
      </c>
      <c r="L209" cm="1">
        <f t="array" ref="L209">IFERROR(_xlfn.STDEV.S(IF((OutputTable[GroupByKey]=OutputTable[[#This Row],[GroupByKey]]),(OutputTable[GroupByKey]=OutputTable[[#This Row],[GroupByKey]])*OutputTable[RecordedValue])),0)</f>
        <v>3.5452891325333867E-3</v>
      </c>
      <c r="M209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209" cm="1">
        <f t="array" ref="O209">MIN(IF((OutputTable[GroupByKey]=OutputTable[[#This Row],[GroupByKey]]),(OutputTable[GroupByKey]=OutputTable[[#This Row],[GroupByKey]])*OutputTable[RecordedValue]))</f>
        <v>7.7176470357847096E-2</v>
      </c>
      <c r="P209" cm="1">
        <f t="array" ref="P209">MAX(IF((OutputTable[GroupByKey]=OutputTable[[#This Row],[GroupByKey]]),(OutputTable[GroupByKey]=OutputTable[[#This Row],[GroupByKey]])*OutputTable[RecordedValue]))</f>
        <v>9.2534326714405798E-2</v>
      </c>
    </row>
    <row r="210" spans="1:16" x14ac:dyDescent="0.2">
      <c r="A210" t="s">
        <v>67</v>
      </c>
      <c r="B210" t="s">
        <v>70</v>
      </c>
      <c r="C210">
        <v>17</v>
      </c>
      <c r="D210" t="s">
        <v>104</v>
      </c>
      <c r="E210" t="s">
        <v>105</v>
      </c>
      <c r="F210" t="s">
        <v>95</v>
      </c>
      <c r="G210">
        <v>280</v>
      </c>
      <c r="H210">
        <v>0</v>
      </c>
      <c r="I210" t="str">
        <f>OutputTable[[#This Row],[ProjectName]]&amp;OutputTable[[#This Row],[Name]]&amp;OutputTable[[#This Row],[Type]]&amp;OutputTable[[#This Row],[Source]]</f>
        <v>Unnamed ProjectCleaner.NumberSeizedTotal Number SeizedResource</v>
      </c>
      <c r="J210" cm="1">
        <f t="array" ref="J210">MAX(IF((ProjectInfoTable[ProjectName]=OutputTable[[#This Row],[ProjectName]]),(ProjectInfoTable[ProjectName]=OutputTable[[#This Row],[ProjectName]])*ProjectInfoTable[NumberOfReplications]))</f>
        <v>30</v>
      </c>
      <c r="K210" cm="1">
        <f t="array" ref="K210">IFERROR(AVERAGE(IF((OutputTable[GroupByKey]=OutputTable[[#This Row],[GroupByKey]]),(OutputTable[GroupByKey]=OutputTable[[#This Row],[GroupByKey]])*OutputTable[RecordedValue])),0)</f>
        <v>285.39999999999998</v>
      </c>
      <c r="L210" cm="1">
        <f t="array" ref="L210">IFERROR(_xlfn.STDEV.S(IF((OutputTable[GroupByKey]=OutputTable[[#This Row],[GroupByKey]]),(OutputTable[GroupByKey]=OutputTable[[#This Row],[GroupByKey]])*OutputTable[RecordedValue])),0)</f>
        <v>12.88302812979555</v>
      </c>
      <c r="M210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210" cm="1">
        <f t="array" ref="O210">MIN(IF((OutputTable[GroupByKey]=OutputTable[[#This Row],[GroupByKey]]),(OutputTable[GroupByKey]=OutputTable[[#This Row],[GroupByKey]])*OutputTable[RecordedValue]))</f>
        <v>266</v>
      </c>
      <c r="P210" cm="1">
        <f t="array" ref="P210">MAX(IF((OutputTable[GroupByKey]=OutputTable[[#This Row],[GroupByKey]]),(OutputTable[GroupByKey]=OutputTable[[#This Row],[GroupByKey]])*OutputTable[RecordedValue]))</f>
        <v>318</v>
      </c>
    </row>
    <row r="211" spans="1:16" x14ac:dyDescent="0.2">
      <c r="A211" t="s">
        <v>67</v>
      </c>
      <c r="B211" t="s">
        <v>70</v>
      </c>
      <c r="C211">
        <v>17</v>
      </c>
      <c r="D211" t="s">
        <v>106</v>
      </c>
      <c r="E211" t="s">
        <v>107</v>
      </c>
      <c r="F211" t="s">
        <v>95</v>
      </c>
      <c r="G211">
        <v>0.24561403508771901</v>
      </c>
      <c r="H211">
        <v>0</v>
      </c>
      <c r="I211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211" cm="1">
        <f t="array" ref="J211">MAX(IF((ProjectInfoTable[ProjectName]=OutputTable[[#This Row],[ProjectName]]),(ProjectInfoTable[ProjectName]=OutputTable[[#This Row],[ProjectName]])*ProjectInfoTable[NumberOfReplications]))</f>
        <v>30</v>
      </c>
      <c r="K211" cm="1">
        <f t="array" ref="K211">IFERROR(AVERAGE(IF((OutputTable[GroupByKey]=OutputTable[[#This Row],[GroupByKey]]),(OutputTable[GroupByKey]=OutputTable[[#This Row],[GroupByKey]])*OutputTable[RecordedValue])),0)</f>
        <v>0.25031804088290305</v>
      </c>
      <c r="L211" cm="1">
        <f t="array" ref="L211">IFERROR(_xlfn.STDEV.S(IF((OutputTable[GroupByKey]=OutputTable[[#This Row],[GroupByKey]]),(OutputTable[GroupByKey]=OutputTable[[#This Row],[GroupByKey]])*OutputTable[RecordedValue])),0)</f>
        <v>1.1255778929137084E-2</v>
      </c>
      <c r="M211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211" cm="1">
        <f t="array" ref="O211">MIN(IF((OutputTable[GroupByKey]=OutputTable[[#This Row],[GroupByKey]]),(OutputTable[GroupByKey]=OutputTable[[#This Row],[GroupByKey]])*OutputTable[RecordedValue]))</f>
        <v>0.233333333333333</v>
      </c>
      <c r="P211" cm="1">
        <f t="array" ref="P211">MAX(IF((OutputTable[GroupByKey]=OutputTable[[#This Row],[GroupByKey]]),(OutputTable[GroupByKey]=OutputTable[[#This Row],[GroupByKey]])*OutputTable[RecordedValue]))</f>
        <v>0.27905535859326402</v>
      </c>
    </row>
    <row r="212" spans="1:16" x14ac:dyDescent="0.2">
      <c r="A212" t="s">
        <v>67</v>
      </c>
      <c r="B212" t="s">
        <v>70</v>
      </c>
      <c r="C212">
        <v>17</v>
      </c>
      <c r="D212" t="s">
        <v>108</v>
      </c>
      <c r="E212" t="s">
        <v>105</v>
      </c>
      <c r="F212" t="s">
        <v>95</v>
      </c>
      <c r="G212">
        <v>282</v>
      </c>
      <c r="H212">
        <v>0</v>
      </c>
      <c r="I212" t="str">
        <f>OutputTable[[#This Row],[ProjectName]]&amp;OutputTable[[#This Row],[Name]]&amp;OutputTable[[#This Row],[Type]]&amp;OutputTable[[#This Row],[Source]]</f>
        <v>Unnamed ProjectCooker.NumberSeizedTotal Number SeizedResource</v>
      </c>
      <c r="J212" cm="1">
        <f t="array" ref="J212">MAX(IF((ProjectInfoTable[ProjectName]=OutputTable[[#This Row],[ProjectName]]),(ProjectInfoTable[ProjectName]=OutputTable[[#This Row],[ProjectName]])*ProjectInfoTable[NumberOfReplications]))</f>
        <v>30</v>
      </c>
      <c r="K212" cm="1">
        <f t="array" ref="K212">IFERROR(AVERAGE(IF((OutputTable[GroupByKey]=OutputTable[[#This Row],[GroupByKey]]),(OutputTable[GroupByKey]=OutputTable[[#This Row],[GroupByKey]])*OutputTable[RecordedValue])),0)</f>
        <v>285.66666666666669</v>
      </c>
      <c r="L212" cm="1">
        <f t="array" ref="L212">IFERROR(_xlfn.STDEV.S(IF((OutputTable[GroupByKey]=OutputTable[[#This Row],[GroupByKey]]),(OutputTable[GroupByKey]=OutputTable[[#This Row],[GroupByKey]])*OutputTable[RecordedValue])),0)</f>
        <v>12.949060233064802</v>
      </c>
      <c r="M212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212" cm="1">
        <f t="array" ref="O212">MIN(IF((OutputTable[GroupByKey]=OutputTable[[#This Row],[GroupByKey]]),(OutputTable[GroupByKey]=OutputTable[[#This Row],[GroupByKey]])*OutputTable[RecordedValue]))</f>
        <v>264</v>
      </c>
      <c r="P212" cm="1">
        <f t="array" ref="P212">MAX(IF((OutputTable[GroupByKey]=OutputTable[[#This Row],[GroupByKey]]),(OutputTable[GroupByKey]=OutputTable[[#This Row],[GroupByKey]])*OutputTable[RecordedValue]))</f>
        <v>320</v>
      </c>
    </row>
    <row r="213" spans="1:16" x14ac:dyDescent="0.2">
      <c r="A213" t="s">
        <v>67</v>
      </c>
      <c r="B213" t="s">
        <v>70</v>
      </c>
      <c r="C213">
        <v>17</v>
      </c>
      <c r="D213" t="s">
        <v>109</v>
      </c>
      <c r="E213" t="s">
        <v>107</v>
      </c>
      <c r="F213" t="s">
        <v>95</v>
      </c>
      <c r="G213">
        <v>0.62040482220339699</v>
      </c>
      <c r="H213">
        <v>0</v>
      </c>
      <c r="I213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213" cm="1">
        <f t="array" ref="J213">MAX(IF((ProjectInfoTable[ProjectName]=OutputTable[[#This Row],[ProjectName]]),(ProjectInfoTable[ProjectName]=OutputTable[[#This Row],[ProjectName]])*ProjectInfoTable[NumberOfReplications]))</f>
        <v>30</v>
      </c>
      <c r="K213" cm="1">
        <f t="array" ref="K213">IFERROR(AVERAGE(IF((OutputTable[GroupByKey]=OutputTable[[#This Row],[GroupByKey]]),(OutputTable[GroupByKey]=OutputTable[[#This Row],[GroupByKey]])*OutputTable[RecordedValue])),0)</f>
        <v>0.62721981794251769</v>
      </c>
      <c r="L213" cm="1">
        <f t="array" ref="L213">IFERROR(_xlfn.STDEV.S(IF((OutputTable[GroupByKey]=OutputTable[[#This Row],[GroupByKey]]),(OutputTable[GroupByKey]=OutputTable[[#This Row],[GroupByKey]])*OutputTable[RecordedValue])),0)</f>
        <v>2.6376107220918699E-2</v>
      </c>
      <c r="M213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213" cm="1">
        <f t="array" ref="O213">MIN(IF((OutputTable[GroupByKey]=OutputTable[[#This Row],[GroupByKey]]),(OutputTable[GroupByKey]=OutputTable[[#This Row],[GroupByKey]])*OutputTable[RecordedValue]))</f>
        <v>0.58256422876290004</v>
      </c>
      <c r="P213" cm="1">
        <f t="array" ref="P213">MAX(IF((OutputTable[GroupByKey]=OutputTable[[#This Row],[GroupByKey]]),(OutputTable[GroupByKey]=OutputTable[[#This Row],[GroupByKey]])*OutputTable[RecordedValue]))</f>
        <v>0.68643238055161704</v>
      </c>
    </row>
    <row r="214" spans="1:16" x14ac:dyDescent="0.2">
      <c r="A214" t="s">
        <v>67</v>
      </c>
      <c r="B214" t="s">
        <v>70</v>
      </c>
      <c r="C214">
        <v>17</v>
      </c>
      <c r="D214" t="s">
        <v>110</v>
      </c>
      <c r="E214" t="s">
        <v>111</v>
      </c>
      <c r="F214" t="s">
        <v>76</v>
      </c>
      <c r="G214">
        <v>845</v>
      </c>
      <c r="H214">
        <v>0</v>
      </c>
      <c r="I214" t="str">
        <f>OutputTable[[#This Row],[ProjectName]]&amp;OutputTable[[#This Row],[Name]]&amp;OutputTable[[#This Row],[Type]]&amp;OutputTable[[#This Row],[Source]]</f>
        <v>Unnamed ProjectCustomer.NumberInNumber InEntity</v>
      </c>
      <c r="J214" cm="1">
        <f t="array" ref="J214">MAX(IF((ProjectInfoTable[ProjectName]=OutputTable[[#This Row],[ProjectName]]),(ProjectInfoTable[ProjectName]=OutputTable[[#This Row],[ProjectName]])*ProjectInfoTable[NumberOfReplications]))</f>
        <v>30</v>
      </c>
      <c r="K214" cm="1">
        <f t="array" ref="K214">IFERROR(AVERAGE(IF((OutputTable[GroupByKey]=OutputTable[[#This Row],[GroupByKey]]),(OutputTable[GroupByKey]=OutputTable[[#This Row],[GroupByKey]])*OutputTable[RecordedValue])),0)</f>
        <v>855.93333333333328</v>
      </c>
      <c r="L214" cm="1">
        <f t="array" ref="L214">IFERROR(_xlfn.STDEV.S(IF((OutputTable[GroupByKey]=OutputTable[[#This Row],[GroupByKey]]),(OutputTable[GroupByKey]=OutputTable[[#This Row],[GroupByKey]])*OutputTable[RecordedValue])),0)</f>
        <v>38.659373073509371</v>
      </c>
      <c r="M214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214" cm="1">
        <f t="array" ref="O214">MIN(IF((OutputTable[GroupByKey]=OutputTable[[#This Row],[GroupByKey]]),(OutputTable[GroupByKey]=OutputTable[[#This Row],[GroupByKey]])*OutputTable[RecordedValue]))</f>
        <v>792</v>
      </c>
      <c r="P214" cm="1">
        <f t="array" ref="P214">MAX(IF((OutputTable[GroupByKey]=OutputTable[[#This Row],[GroupByKey]]),(OutputTable[GroupByKey]=OutputTable[[#This Row],[GroupByKey]])*OutputTable[RecordedValue]))</f>
        <v>958</v>
      </c>
    </row>
    <row r="215" spans="1:16" x14ac:dyDescent="0.2">
      <c r="A215" t="s">
        <v>67</v>
      </c>
      <c r="B215" t="s">
        <v>70</v>
      </c>
      <c r="C215">
        <v>17</v>
      </c>
      <c r="D215" t="s">
        <v>112</v>
      </c>
      <c r="E215" t="s">
        <v>113</v>
      </c>
      <c r="F215" t="s">
        <v>76</v>
      </c>
      <c r="G215">
        <v>840</v>
      </c>
      <c r="H215">
        <v>0</v>
      </c>
      <c r="I215" t="str">
        <f>OutputTable[[#This Row],[ProjectName]]&amp;OutputTable[[#This Row],[Name]]&amp;OutputTable[[#This Row],[Type]]&amp;OutputTable[[#This Row],[Source]]</f>
        <v>Unnamed ProjectCustomer.NumberOutNumber OutEntity</v>
      </c>
      <c r="J215" cm="1">
        <f t="array" ref="J215">MAX(IF((ProjectInfoTable[ProjectName]=OutputTable[[#This Row],[ProjectName]]),(ProjectInfoTable[ProjectName]=OutputTable[[#This Row],[ProjectName]])*ProjectInfoTable[NumberOfReplications]))</f>
        <v>30</v>
      </c>
      <c r="K215" cm="1">
        <f t="array" ref="K215">IFERROR(AVERAGE(IF((OutputTable[GroupByKey]=OutputTable[[#This Row],[GroupByKey]]),(OutputTable[GroupByKey]=OutputTable[[#This Row],[GroupByKey]])*OutputTable[RecordedValue])),0)</f>
        <v>855.3</v>
      </c>
      <c r="L215" cm="1">
        <f t="array" ref="L215">IFERROR(_xlfn.STDEV.S(IF((OutputTable[GroupByKey]=OutputTable[[#This Row],[GroupByKey]]),(OutputTable[GroupByKey]=OutputTable[[#This Row],[GroupByKey]])*OutputTable[RecordedValue])),0)</f>
        <v>38.322722169527033</v>
      </c>
      <c r="M21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215" cm="1">
        <f t="array" ref="O215">MIN(IF((OutputTable[GroupByKey]=OutputTable[[#This Row],[GroupByKey]]),(OutputTable[GroupByKey]=OutputTable[[#This Row],[GroupByKey]])*OutputTable[RecordedValue]))</f>
        <v>798</v>
      </c>
      <c r="P215" cm="1">
        <f t="array" ref="P215">MAX(IF((OutputTable[GroupByKey]=OutputTable[[#This Row],[GroupByKey]]),(OutputTable[GroupByKey]=OutputTable[[#This Row],[GroupByKey]])*OutputTable[RecordedValue]))</f>
        <v>954</v>
      </c>
    </row>
    <row r="216" spans="1:16" x14ac:dyDescent="0.2">
      <c r="A216" t="s">
        <v>67</v>
      </c>
      <c r="B216" t="s">
        <v>70</v>
      </c>
      <c r="C216">
        <v>17</v>
      </c>
      <c r="D216" t="s">
        <v>114</v>
      </c>
      <c r="E216" t="s">
        <v>105</v>
      </c>
      <c r="F216" t="s">
        <v>95</v>
      </c>
      <c r="G216">
        <v>338</v>
      </c>
      <c r="H216">
        <v>0</v>
      </c>
      <c r="I216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216" cm="1">
        <f t="array" ref="J216">MAX(IF((ProjectInfoTable[ProjectName]=OutputTable[[#This Row],[ProjectName]]),(ProjectInfoTable[ProjectName]=OutputTable[[#This Row],[ProjectName]])*ProjectInfoTable[NumberOfReplications]))</f>
        <v>30</v>
      </c>
      <c r="K216" cm="1">
        <f t="array" ref="K216">IFERROR(AVERAGE(IF((OutputTable[GroupByKey]=OutputTable[[#This Row],[GroupByKey]]),(OutputTable[GroupByKey]=OutputTable[[#This Row],[GroupByKey]])*OutputTable[RecordedValue])),0)</f>
        <v>344.6</v>
      </c>
      <c r="L216" cm="1">
        <f t="array" ref="L216">IFERROR(_xlfn.STDEV.S(IF((OutputTable[GroupByKey]=OutputTable[[#This Row],[GroupByKey]]),(OutputTable[GroupByKey]=OutputTable[[#This Row],[GroupByKey]])*OutputTable[RecordedValue])),0)</f>
        <v>21.890952311479008</v>
      </c>
      <c r="M216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216" cm="1">
        <f t="array" ref="O216">MIN(IF((OutputTable[GroupByKey]=OutputTable[[#This Row],[GroupByKey]]),(OutputTable[GroupByKey]=OutputTable[[#This Row],[GroupByKey]])*OutputTable[RecordedValue]))</f>
        <v>311</v>
      </c>
      <c r="P216" cm="1">
        <f t="array" ref="P216">MAX(IF((OutputTable[GroupByKey]=OutputTable[[#This Row],[GroupByKey]]),(OutputTable[GroupByKey]=OutputTable[[#This Row],[GroupByKey]])*OutputTable[RecordedValue]))</f>
        <v>396</v>
      </c>
    </row>
    <row r="217" spans="1:16" x14ac:dyDescent="0.2">
      <c r="A217" t="s">
        <v>67</v>
      </c>
      <c r="B217" t="s">
        <v>70</v>
      </c>
      <c r="C217">
        <v>17</v>
      </c>
      <c r="D217" t="s">
        <v>115</v>
      </c>
      <c r="E217" t="s">
        <v>107</v>
      </c>
      <c r="F217" t="s">
        <v>95</v>
      </c>
      <c r="G217">
        <v>1.8530701754385999E-3</v>
      </c>
      <c r="H217">
        <v>0</v>
      </c>
      <c r="I217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217" cm="1">
        <f t="array" ref="J217">MAX(IF((ProjectInfoTable[ProjectName]=OutputTable[[#This Row],[ProjectName]]),(ProjectInfoTable[ProjectName]=OutputTable[[#This Row],[ProjectName]])*ProjectInfoTable[NumberOfReplications]))</f>
        <v>30</v>
      </c>
      <c r="K217" cm="1">
        <f t="array" ref="K217">IFERROR(AVERAGE(IF((OutputTable[GroupByKey]=OutputTable[[#This Row],[GroupByKey]]),(OutputTable[GroupByKey]=OutputTable[[#This Row],[GroupByKey]])*OutputTable[RecordedValue])),0)</f>
        <v>1.889307012236451E-3</v>
      </c>
      <c r="L217" cm="1">
        <f t="array" ref="L217">IFERROR(_xlfn.STDEV.S(IF((OutputTable[GroupByKey]=OutputTable[[#This Row],[GroupByKey]]),(OutputTable[GroupByKey]=OutputTable[[#This Row],[GroupByKey]])*OutputTable[RecordedValue])),0)</f>
        <v>1.2015303758165521E-4</v>
      </c>
      <c r="M217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217" cm="1">
        <f t="array" ref="O217">MIN(IF((OutputTable[GroupByKey]=OutputTable[[#This Row],[GroupByKey]]),(OutputTable[GroupByKey]=OutputTable[[#This Row],[GroupByKey]])*OutputTable[RecordedValue]))</f>
        <v>1.70504385964912E-3</v>
      </c>
      <c r="P217" cm="1">
        <f t="array" ref="P217">MAX(IF((OutputTable[GroupByKey]=OutputTable[[#This Row],[GroupByKey]]),(OutputTable[GroupByKey]=OutputTable[[#This Row],[GroupByKey]])*OutputTable[RecordedValue]))</f>
        <v>2.17031677925951E-3</v>
      </c>
    </row>
    <row r="218" spans="1:16" x14ac:dyDescent="0.2">
      <c r="A218" t="s">
        <v>67</v>
      </c>
      <c r="B218" t="s">
        <v>70</v>
      </c>
      <c r="C218">
        <v>17</v>
      </c>
      <c r="D218" t="s">
        <v>116</v>
      </c>
      <c r="E218" t="s">
        <v>105</v>
      </c>
      <c r="F218" t="s">
        <v>95</v>
      </c>
      <c r="G218">
        <v>225</v>
      </c>
      <c r="H218">
        <v>0</v>
      </c>
      <c r="I218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218" cm="1">
        <f t="array" ref="J218">MAX(IF((ProjectInfoTable[ProjectName]=OutputTable[[#This Row],[ProjectName]]),(ProjectInfoTable[ProjectName]=OutputTable[[#This Row],[ProjectName]])*ProjectInfoTable[NumberOfReplications]))</f>
        <v>30</v>
      </c>
      <c r="K218" cm="1">
        <f t="array" ref="K218">IFERROR(AVERAGE(IF((OutputTable[GroupByKey]=OutputTable[[#This Row],[GroupByKey]]),(OutputTable[GroupByKey]=OutputTable[[#This Row],[GroupByKey]])*OutputTable[RecordedValue])),0)</f>
        <v>225.93333333333334</v>
      </c>
      <c r="L218" cm="1">
        <f t="array" ref="L218">IFERROR(_xlfn.STDEV.S(IF((OutputTable[GroupByKey]=OutputTable[[#This Row],[GroupByKey]]),(OutputTable[GroupByKey]=OutputTable[[#This Row],[GroupByKey]])*OutputTable[RecordedValue])),0)</f>
        <v>12.403929670244338</v>
      </c>
      <c r="M218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218" cm="1">
        <f t="array" ref="O218">MIN(IF((OutputTable[GroupByKey]=OutputTable[[#This Row],[GroupByKey]]),(OutputTable[GroupByKey]=OutputTable[[#This Row],[GroupByKey]])*OutputTable[RecordedValue]))</f>
        <v>205</v>
      </c>
      <c r="P218" cm="1">
        <f t="array" ref="P218">MAX(IF((OutputTable[GroupByKey]=OutputTable[[#This Row],[GroupByKey]]),(OutputTable[GroupByKey]=OutputTable[[#This Row],[GroupByKey]])*OutputTable[RecordedValue]))</f>
        <v>253</v>
      </c>
    </row>
    <row r="219" spans="1:16" x14ac:dyDescent="0.2">
      <c r="A219" t="s">
        <v>67</v>
      </c>
      <c r="B219" t="s">
        <v>70</v>
      </c>
      <c r="C219">
        <v>17</v>
      </c>
      <c r="D219" t="s">
        <v>117</v>
      </c>
      <c r="E219" t="s">
        <v>107</v>
      </c>
      <c r="F219" t="s">
        <v>95</v>
      </c>
      <c r="G219">
        <v>4.9342105263157901E-3</v>
      </c>
      <c r="H219">
        <v>0</v>
      </c>
      <c r="I219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219" cm="1">
        <f t="array" ref="J219">MAX(IF((ProjectInfoTable[ProjectName]=OutputTable[[#This Row],[ProjectName]]),(ProjectInfoTable[ProjectName]=OutputTable[[#This Row],[ProjectName]])*ProjectInfoTable[NumberOfReplications]))</f>
        <v>30</v>
      </c>
      <c r="K219" cm="1">
        <f t="array" ref="K219">IFERROR(AVERAGE(IF((OutputTable[GroupByKey]=OutputTable[[#This Row],[GroupByKey]]),(OutputTable[GroupByKey]=OutputTable[[#This Row],[GroupByKey]])*OutputTable[RecordedValue])),0)</f>
        <v>4.9565971649701106E-3</v>
      </c>
      <c r="L219" cm="1">
        <f t="array" ref="L219">IFERROR(_xlfn.STDEV.S(IF((OutputTable[GroupByKey]=OutputTable[[#This Row],[GroupByKey]]),(OutputTable[GroupByKey]=OutputTable[[#This Row],[GroupByKey]])*OutputTable[RecordedValue])),0)</f>
        <v>2.7167433725199517E-4</v>
      </c>
      <c r="M219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219" cm="1">
        <f t="array" ref="O219">MIN(IF((OutputTable[GroupByKey]=OutputTable[[#This Row],[GroupByKey]]),(OutputTable[GroupByKey]=OutputTable[[#This Row],[GroupByKey]])*OutputTable[RecordedValue]))</f>
        <v>4.4956140350877203E-3</v>
      </c>
      <c r="P219" cm="1">
        <f t="array" ref="P219">MAX(IF((OutputTable[GroupByKey]=OutputTable[[#This Row],[GroupByKey]]),(OutputTable[GroupByKey]=OutputTable[[#This Row],[GroupByKey]])*OutputTable[RecordedValue]))</f>
        <v>5.5482456140350904E-3</v>
      </c>
    </row>
    <row r="220" spans="1:16" x14ac:dyDescent="0.2">
      <c r="A220" t="s">
        <v>67</v>
      </c>
      <c r="B220" t="s">
        <v>70</v>
      </c>
      <c r="C220">
        <v>17</v>
      </c>
      <c r="D220" t="s">
        <v>118</v>
      </c>
      <c r="E220" t="s">
        <v>113</v>
      </c>
      <c r="F220" t="s">
        <v>119</v>
      </c>
      <c r="G220">
        <v>280</v>
      </c>
      <c r="H220">
        <v>0</v>
      </c>
      <c r="I220" t="str">
        <f>OutputTable[[#This Row],[ProjectName]]&amp;OutputTable[[#This Row],[Name]]&amp;OutputTable[[#This Row],[Type]]&amp;OutputTable[[#This Row],[Source]]</f>
        <v>Unnamed ProjectSystem.NumberOutNumber OutSystem</v>
      </c>
      <c r="J220" cm="1">
        <f t="array" ref="J220">MAX(IF((ProjectInfoTable[ProjectName]=OutputTable[[#This Row],[ProjectName]]),(ProjectInfoTable[ProjectName]=OutputTable[[#This Row],[ProjectName]])*ProjectInfoTable[NumberOfReplications]))</f>
        <v>30</v>
      </c>
      <c r="K220" cm="1">
        <f t="array" ref="K220">IFERROR(AVERAGE(IF((OutputTable[GroupByKey]=OutputTable[[#This Row],[GroupByKey]]),(OutputTable[GroupByKey]=OutputTable[[#This Row],[GroupByKey]])*OutputTable[RecordedValue])),0)</f>
        <v>285.3</v>
      </c>
      <c r="L220" cm="1">
        <f t="array" ref="L220">IFERROR(_xlfn.STDEV.S(IF((OutputTable[GroupByKey]=OutputTable[[#This Row],[GroupByKey]]),(OutputTable[GroupByKey]=OutputTable[[#This Row],[GroupByKey]])*OutputTable[RecordedValue])),0)</f>
        <v>12.739160368585981</v>
      </c>
      <c r="M220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220" cm="1">
        <f t="array" ref="O220">MIN(IF((OutputTable[GroupByKey]=OutputTable[[#This Row],[GroupByKey]]),(OutputTable[GroupByKey]=OutputTable[[#This Row],[GroupByKey]])*OutputTable[RecordedValue]))</f>
        <v>266</v>
      </c>
      <c r="P220" cm="1">
        <f t="array" ref="P220">MAX(IF((OutputTable[GroupByKey]=OutputTable[[#This Row],[GroupByKey]]),(OutputTable[GroupByKey]=OutputTable[[#This Row],[GroupByKey]])*OutputTable[RecordedValue]))</f>
        <v>318</v>
      </c>
    </row>
    <row r="221" spans="1:16" x14ac:dyDescent="0.2">
      <c r="A221" t="s">
        <v>67</v>
      </c>
      <c r="B221" t="s">
        <v>70</v>
      </c>
      <c r="C221">
        <v>17</v>
      </c>
      <c r="D221" t="s">
        <v>120</v>
      </c>
      <c r="E221" t="s">
        <v>105</v>
      </c>
      <c r="F221" t="s">
        <v>95</v>
      </c>
      <c r="G221">
        <v>141</v>
      </c>
      <c r="H221">
        <v>0</v>
      </c>
      <c r="I221" t="str">
        <f>OutputTable[[#This Row],[ProjectName]]&amp;OutputTable[[#This Row],[Name]]&amp;OutputTable[[#This Row],[Type]]&amp;OutputTable[[#This Row],[Source]]</f>
        <v>Unnamed ProjectWaiter.NumberSeizedTotal Number SeizedResource</v>
      </c>
      <c r="J221" cm="1">
        <f t="array" ref="J221">MAX(IF((ProjectInfoTable[ProjectName]=OutputTable[[#This Row],[ProjectName]]),(ProjectInfoTable[ProjectName]=OutputTable[[#This Row],[ProjectName]])*ProjectInfoTable[NumberOfReplications]))</f>
        <v>30</v>
      </c>
      <c r="K221" cm="1">
        <f t="array" ref="K221">IFERROR(AVERAGE(IF((OutputTable[GroupByKey]=OutputTable[[#This Row],[GroupByKey]]),(OutputTable[GroupByKey]=OutputTable[[#This Row],[GroupByKey]])*OutputTable[RecordedValue])),0)</f>
        <v>142.66666666666666</v>
      </c>
      <c r="L221" cm="1">
        <f t="array" ref="L221">IFERROR(_xlfn.STDEV.S(IF((OutputTable[GroupByKey]=OutputTable[[#This Row],[GroupByKey]]),(OutputTable[GroupByKey]=OutputTable[[#This Row],[GroupByKey]])*OutputTable[RecordedValue])),0)</f>
        <v>6.4505190025531167</v>
      </c>
      <c r="M221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221" cm="1">
        <f t="array" ref="O221">MIN(IF((OutputTable[GroupByKey]=OutputTable[[#This Row],[GroupByKey]]),(OutputTable[GroupByKey]=OutputTable[[#This Row],[GroupByKey]])*OutputTable[RecordedValue]))</f>
        <v>132</v>
      </c>
      <c r="P221" cm="1">
        <f t="array" ref="P221">MAX(IF((OutputTable[GroupByKey]=OutputTable[[#This Row],[GroupByKey]]),(OutputTable[GroupByKey]=OutputTable[[#This Row],[GroupByKey]])*OutputTable[RecordedValue]))</f>
        <v>160</v>
      </c>
    </row>
    <row r="222" spans="1:16" x14ac:dyDescent="0.2">
      <c r="A222" t="s">
        <v>67</v>
      </c>
      <c r="B222" t="s">
        <v>70</v>
      </c>
      <c r="C222">
        <v>17</v>
      </c>
      <c r="D222" t="s">
        <v>121</v>
      </c>
      <c r="E222" t="s">
        <v>107</v>
      </c>
      <c r="F222" t="s">
        <v>95</v>
      </c>
      <c r="G222">
        <v>8.3676530020434306E-2</v>
      </c>
      <c r="H222">
        <v>0</v>
      </c>
      <c r="I222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222" cm="1">
        <f t="array" ref="J222">MAX(IF((ProjectInfoTable[ProjectName]=OutputTable[[#This Row],[ProjectName]]),(ProjectInfoTable[ProjectName]=OutputTable[[#This Row],[ProjectName]])*ProjectInfoTable[NumberOfReplications]))</f>
        <v>30</v>
      </c>
      <c r="K222" cm="1">
        <f t="array" ref="K222">IFERROR(AVERAGE(IF((OutputTable[GroupByKey]=OutputTable[[#This Row],[GroupByKey]]),(OutputTable[GroupByKey]=OutputTable[[#This Row],[GroupByKey]])*OutputTable[RecordedValue])),0)</f>
        <v>8.3509459606410805E-2</v>
      </c>
      <c r="L222" cm="1">
        <f t="array" ref="L222">IFERROR(_xlfn.STDEV.S(IF((OutputTable[GroupByKey]=OutputTable[[#This Row],[GroupByKey]]),(OutputTable[GroupByKey]=OutputTable[[#This Row],[GroupByKey]])*OutputTable[RecordedValue])),0)</f>
        <v>3.5452891325333867E-3</v>
      </c>
      <c r="M222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222" cm="1">
        <f t="array" ref="O222">MIN(IF((OutputTable[GroupByKey]=OutputTable[[#This Row],[GroupByKey]]),(OutputTable[GroupByKey]=OutputTable[[#This Row],[GroupByKey]])*OutputTable[RecordedValue]))</f>
        <v>7.7176470357847096E-2</v>
      </c>
      <c r="P222" cm="1">
        <f t="array" ref="P222">MAX(IF((OutputTable[GroupByKey]=OutputTable[[#This Row],[GroupByKey]]),(OutputTable[GroupByKey]=OutputTable[[#This Row],[GroupByKey]])*OutputTable[RecordedValue]))</f>
        <v>9.2534326714405798E-2</v>
      </c>
    </row>
    <row r="223" spans="1:16" x14ac:dyDescent="0.2">
      <c r="A223" t="s">
        <v>67</v>
      </c>
      <c r="B223" t="s">
        <v>70</v>
      </c>
      <c r="C223">
        <v>18</v>
      </c>
      <c r="D223" t="s">
        <v>104</v>
      </c>
      <c r="E223" t="s">
        <v>105</v>
      </c>
      <c r="F223" t="s">
        <v>95</v>
      </c>
      <c r="G223">
        <v>286</v>
      </c>
      <c r="H223">
        <v>0</v>
      </c>
      <c r="I223" t="str">
        <f>OutputTable[[#This Row],[ProjectName]]&amp;OutputTable[[#This Row],[Name]]&amp;OutputTable[[#This Row],[Type]]&amp;OutputTable[[#This Row],[Source]]</f>
        <v>Unnamed ProjectCleaner.NumberSeizedTotal Number SeizedResource</v>
      </c>
      <c r="J223" cm="1">
        <f t="array" ref="J223">MAX(IF((ProjectInfoTable[ProjectName]=OutputTable[[#This Row],[ProjectName]]),(ProjectInfoTable[ProjectName]=OutputTable[[#This Row],[ProjectName]])*ProjectInfoTable[NumberOfReplications]))</f>
        <v>30</v>
      </c>
      <c r="K223" cm="1">
        <f t="array" ref="K223">IFERROR(AVERAGE(IF((OutputTable[GroupByKey]=OutputTable[[#This Row],[GroupByKey]]),(OutputTable[GroupByKey]=OutputTable[[#This Row],[GroupByKey]])*OutputTable[RecordedValue])),0)</f>
        <v>285.39999999999998</v>
      </c>
      <c r="L223" cm="1">
        <f t="array" ref="L223">IFERROR(_xlfn.STDEV.S(IF((OutputTable[GroupByKey]=OutputTable[[#This Row],[GroupByKey]]),(OutputTable[GroupByKey]=OutputTable[[#This Row],[GroupByKey]])*OutputTable[RecordedValue])),0)</f>
        <v>12.88302812979555</v>
      </c>
      <c r="M223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223" cm="1">
        <f t="array" ref="O223">MIN(IF((OutputTable[GroupByKey]=OutputTable[[#This Row],[GroupByKey]]),(OutputTable[GroupByKey]=OutputTable[[#This Row],[GroupByKey]])*OutputTable[RecordedValue]))</f>
        <v>266</v>
      </c>
      <c r="P223" cm="1">
        <f t="array" ref="P223">MAX(IF((OutputTable[GroupByKey]=OutputTable[[#This Row],[GroupByKey]]),(OutputTable[GroupByKey]=OutputTable[[#This Row],[GroupByKey]])*OutputTable[RecordedValue]))</f>
        <v>318</v>
      </c>
    </row>
    <row r="224" spans="1:16" x14ac:dyDescent="0.2">
      <c r="A224" t="s">
        <v>67</v>
      </c>
      <c r="B224" t="s">
        <v>70</v>
      </c>
      <c r="C224">
        <v>18</v>
      </c>
      <c r="D224" t="s">
        <v>106</v>
      </c>
      <c r="E224" t="s">
        <v>107</v>
      </c>
      <c r="F224" t="s">
        <v>95</v>
      </c>
      <c r="G224">
        <v>0.25087719298245598</v>
      </c>
      <c r="H224">
        <v>0</v>
      </c>
      <c r="I224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224" cm="1">
        <f t="array" ref="J224">MAX(IF((ProjectInfoTable[ProjectName]=OutputTable[[#This Row],[ProjectName]]),(ProjectInfoTable[ProjectName]=OutputTable[[#This Row],[ProjectName]])*ProjectInfoTable[NumberOfReplications]))</f>
        <v>30</v>
      </c>
      <c r="K224" cm="1">
        <f t="array" ref="K224">IFERROR(AVERAGE(IF((OutputTable[GroupByKey]=OutputTable[[#This Row],[GroupByKey]]),(OutputTable[GroupByKey]=OutputTable[[#This Row],[GroupByKey]])*OutputTable[RecordedValue])),0)</f>
        <v>0.25031804088290305</v>
      </c>
      <c r="L224" cm="1">
        <f t="array" ref="L224">IFERROR(_xlfn.STDEV.S(IF((OutputTable[GroupByKey]=OutputTable[[#This Row],[GroupByKey]]),(OutputTable[GroupByKey]=OutputTable[[#This Row],[GroupByKey]])*OutputTable[RecordedValue])),0)</f>
        <v>1.1255778929137084E-2</v>
      </c>
      <c r="M224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224" cm="1">
        <f t="array" ref="O224">MIN(IF((OutputTable[GroupByKey]=OutputTable[[#This Row],[GroupByKey]]),(OutputTable[GroupByKey]=OutputTable[[#This Row],[GroupByKey]])*OutputTable[RecordedValue]))</f>
        <v>0.233333333333333</v>
      </c>
      <c r="P224" cm="1">
        <f t="array" ref="P224">MAX(IF((OutputTable[GroupByKey]=OutputTable[[#This Row],[GroupByKey]]),(OutputTable[GroupByKey]=OutputTable[[#This Row],[GroupByKey]])*OutputTable[RecordedValue]))</f>
        <v>0.27905535859326402</v>
      </c>
    </row>
    <row r="225" spans="1:16" x14ac:dyDescent="0.2">
      <c r="A225" t="s">
        <v>67</v>
      </c>
      <c r="B225" t="s">
        <v>70</v>
      </c>
      <c r="C225">
        <v>18</v>
      </c>
      <c r="D225" t="s">
        <v>108</v>
      </c>
      <c r="E225" t="s">
        <v>105</v>
      </c>
      <c r="F225" t="s">
        <v>95</v>
      </c>
      <c r="G225">
        <v>288</v>
      </c>
      <c r="H225">
        <v>0</v>
      </c>
      <c r="I225" t="str">
        <f>OutputTable[[#This Row],[ProjectName]]&amp;OutputTable[[#This Row],[Name]]&amp;OutputTable[[#This Row],[Type]]&amp;OutputTable[[#This Row],[Source]]</f>
        <v>Unnamed ProjectCooker.NumberSeizedTotal Number SeizedResource</v>
      </c>
      <c r="J225" cm="1">
        <f t="array" ref="J225">MAX(IF((ProjectInfoTable[ProjectName]=OutputTable[[#This Row],[ProjectName]]),(ProjectInfoTable[ProjectName]=OutputTable[[#This Row],[ProjectName]])*ProjectInfoTable[NumberOfReplications]))</f>
        <v>30</v>
      </c>
      <c r="K225" cm="1">
        <f t="array" ref="K225">IFERROR(AVERAGE(IF((OutputTable[GroupByKey]=OutputTable[[#This Row],[GroupByKey]]),(OutputTable[GroupByKey]=OutputTable[[#This Row],[GroupByKey]])*OutputTable[RecordedValue])),0)</f>
        <v>285.66666666666669</v>
      </c>
      <c r="L225" cm="1">
        <f t="array" ref="L225">IFERROR(_xlfn.STDEV.S(IF((OutputTable[GroupByKey]=OutputTable[[#This Row],[GroupByKey]]),(OutputTable[GroupByKey]=OutputTable[[#This Row],[GroupByKey]])*OutputTable[RecordedValue])),0)</f>
        <v>12.949060233064802</v>
      </c>
      <c r="M22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225" cm="1">
        <f t="array" ref="O225">MIN(IF((OutputTable[GroupByKey]=OutputTable[[#This Row],[GroupByKey]]),(OutputTable[GroupByKey]=OutputTable[[#This Row],[GroupByKey]])*OutputTable[RecordedValue]))</f>
        <v>264</v>
      </c>
      <c r="P225" cm="1">
        <f t="array" ref="P225">MAX(IF((OutputTable[GroupByKey]=OutputTable[[#This Row],[GroupByKey]]),(OutputTable[GroupByKey]=OutputTable[[#This Row],[GroupByKey]])*OutputTable[RecordedValue]))</f>
        <v>320</v>
      </c>
    </row>
    <row r="226" spans="1:16" x14ac:dyDescent="0.2">
      <c r="A226" t="s">
        <v>67</v>
      </c>
      <c r="B226" t="s">
        <v>70</v>
      </c>
      <c r="C226">
        <v>18</v>
      </c>
      <c r="D226" t="s">
        <v>109</v>
      </c>
      <c r="E226" t="s">
        <v>107</v>
      </c>
      <c r="F226" t="s">
        <v>95</v>
      </c>
      <c r="G226">
        <v>0.63207337880649594</v>
      </c>
      <c r="H226">
        <v>0</v>
      </c>
      <c r="I226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226" cm="1">
        <f t="array" ref="J226">MAX(IF((ProjectInfoTable[ProjectName]=OutputTable[[#This Row],[ProjectName]]),(ProjectInfoTable[ProjectName]=OutputTable[[#This Row],[ProjectName]])*ProjectInfoTable[NumberOfReplications]))</f>
        <v>30</v>
      </c>
      <c r="K226" cm="1">
        <f t="array" ref="K226">IFERROR(AVERAGE(IF((OutputTable[GroupByKey]=OutputTable[[#This Row],[GroupByKey]]),(OutputTable[GroupByKey]=OutputTable[[#This Row],[GroupByKey]])*OutputTable[RecordedValue])),0)</f>
        <v>0.62721981794251769</v>
      </c>
      <c r="L226" cm="1">
        <f t="array" ref="L226">IFERROR(_xlfn.STDEV.S(IF((OutputTable[GroupByKey]=OutputTable[[#This Row],[GroupByKey]]),(OutputTable[GroupByKey]=OutputTable[[#This Row],[GroupByKey]])*OutputTable[RecordedValue])),0)</f>
        <v>2.6376107220918699E-2</v>
      </c>
      <c r="M226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226" cm="1">
        <f t="array" ref="O226">MIN(IF((OutputTable[GroupByKey]=OutputTable[[#This Row],[GroupByKey]]),(OutputTable[GroupByKey]=OutputTable[[#This Row],[GroupByKey]])*OutputTable[RecordedValue]))</f>
        <v>0.58256422876290004</v>
      </c>
      <c r="P226" cm="1">
        <f t="array" ref="P226">MAX(IF((OutputTable[GroupByKey]=OutputTable[[#This Row],[GroupByKey]]),(OutputTable[GroupByKey]=OutputTable[[#This Row],[GroupByKey]])*OutputTable[RecordedValue]))</f>
        <v>0.68643238055161704</v>
      </c>
    </row>
    <row r="227" spans="1:16" x14ac:dyDescent="0.2">
      <c r="A227" t="s">
        <v>67</v>
      </c>
      <c r="B227" t="s">
        <v>70</v>
      </c>
      <c r="C227">
        <v>18</v>
      </c>
      <c r="D227" t="s">
        <v>110</v>
      </c>
      <c r="E227" t="s">
        <v>111</v>
      </c>
      <c r="F227" t="s">
        <v>76</v>
      </c>
      <c r="G227">
        <v>865</v>
      </c>
      <c r="H227">
        <v>0</v>
      </c>
      <c r="I227" t="str">
        <f>OutputTable[[#This Row],[ProjectName]]&amp;OutputTable[[#This Row],[Name]]&amp;OutputTable[[#This Row],[Type]]&amp;OutputTable[[#This Row],[Source]]</f>
        <v>Unnamed ProjectCustomer.NumberInNumber InEntity</v>
      </c>
      <c r="J227" cm="1">
        <f t="array" ref="J227">MAX(IF((ProjectInfoTable[ProjectName]=OutputTable[[#This Row],[ProjectName]]),(ProjectInfoTable[ProjectName]=OutputTable[[#This Row],[ProjectName]])*ProjectInfoTable[NumberOfReplications]))</f>
        <v>30</v>
      </c>
      <c r="K227" cm="1">
        <f t="array" ref="K227">IFERROR(AVERAGE(IF((OutputTable[GroupByKey]=OutputTable[[#This Row],[GroupByKey]]),(OutputTable[GroupByKey]=OutputTable[[#This Row],[GroupByKey]])*OutputTable[RecordedValue])),0)</f>
        <v>855.93333333333328</v>
      </c>
      <c r="L227" cm="1">
        <f t="array" ref="L227">IFERROR(_xlfn.STDEV.S(IF((OutputTable[GroupByKey]=OutputTable[[#This Row],[GroupByKey]]),(OutputTable[GroupByKey]=OutputTable[[#This Row],[GroupByKey]])*OutputTable[RecordedValue])),0)</f>
        <v>38.659373073509371</v>
      </c>
      <c r="M227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227" cm="1">
        <f t="array" ref="O227">MIN(IF((OutputTable[GroupByKey]=OutputTable[[#This Row],[GroupByKey]]),(OutputTable[GroupByKey]=OutputTable[[#This Row],[GroupByKey]])*OutputTable[RecordedValue]))</f>
        <v>792</v>
      </c>
      <c r="P227" cm="1">
        <f t="array" ref="P227">MAX(IF((OutputTable[GroupByKey]=OutputTable[[#This Row],[GroupByKey]]),(OutputTable[GroupByKey]=OutputTable[[#This Row],[GroupByKey]])*OutputTable[RecordedValue]))</f>
        <v>958</v>
      </c>
    </row>
    <row r="228" spans="1:16" x14ac:dyDescent="0.2">
      <c r="A228" t="s">
        <v>67</v>
      </c>
      <c r="B228" t="s">
        <v>70</v>
      </c>
      <c r="C228">
        <v>18</v>
      </c>
      <c r="D228" t="s">
        <v>112</v>
      </c>
      <c r="E228" t="s">
        <v>113</v>
      </c>
      <c r="F228" t="s">
        <v>76</v>
      </c>
      <c r="G228">
        <v>854</v>
      </c>
      <c r="H228">
        <v>0</v>
      </c>
      <c r="I228" t="str">
        <f>OutputTable[[#This Row],[ProjectName]]&amp;OutputTable[[#This Row],[Name]]&amp;OutputTable[[#This Row],[Type]]&amp;OutputTable[[#This Row],[Source]]</f>
        <v>Unnamed ProjectCustomer.NumberOutNumber OutEntity</v>
      </c>
      <c r="J228" cm="1">
        <f t="array" ref="J228">MAX(IF((ProjectInfoTable[ProjectName]=OutputTable[[#This Row],[ProjectName]]),(ProjectInfoTable[ProjectName]=OutputTable[[#This Row],[ProjectName]])*ProjectInfoTable[NumberOfReplications]))</f>
        <v>30</v>
      </c>
      <c r="K228" cm="1">
        <f t="array" ref="K228">IFERROR(AVERAGE(IF((OutputTable[GroupByKey]=OutputTable[[#This Row],[GroupByKey]]),(OutputTable[GroupByKey]=OutputTable[[#This Row],[GroupByKey]])*OutputTable[RecordedValue])),0)</f>
        <v>855.3</v>
      </c>
      <c r="L228" cm="1">
        <f t="array" ref="L228">IFERROR(_xlfn.STDEV.S(IF((OutputTable[GroupByKey]=OutputTable[[#This Row],[GroupByKey]]),(OutputTable[GroupByKey]=OutputTable[[#This Row],[GroupByKey]])*OutputTable[RecordedValue])),0)</f>
        <v>38.322722169527033</v>
      </c>
      <c r="M228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228" cm="1">
        <f t="array" ref="O228">MIN(IF((OutputTable[GroupByKey]=OutputTable[[#This Row],[GroupByKey]]),(OutputTable[GroupByKey]=OutputTable[[#This Row],[GroupByKey]])*OutputTable[RecordedValue]))</f>
        <v>798</v>
      </c>
      <c r="P228" cm="1">
        <f t="array" ref="P228">MAX(IF((OutputTable[GroupByKey]=OutputTable[[#This Row],[GroupByKey]]),(OutputTable[GroupByKey]=OutputTable[[#This Row],[GroupByKey]])*OutputTable[RecordedValue]))</f>
        <v>954</v>
      </c>
    </row>
    <row r="229" spans="1:16" x14ac:dyDescent="0.2">
      <c r="A229" t="s">
        <v>67</v>
      </c>
      <c r="B229" t="s">
        <v>70</v>
      </c>
      <c r="C229">
        <v>18</v>
      </c>
      <c r="D229" t="s">
        <v>114</v>
      </c>
      <c r="E229" t="s">
        <v>105</v>
      </c>
      <c r="F229" t="s">
        <v>95</v>
      </c>
      <c r="G229">
        <v>340</v>
      </c>
      <c r="H229">
        <v>0</v>
      </c>
      <c r="I229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229" cm="1">
        <f t="array" ref="J229">MAX(IF((ProjectInfoTable[ProjectName]=OutputTable[[#This Row],[ProjectName]]),(ProjectInfoTable[ProjectName]=OutputTable[[#This Row],[ProjectName]])*ProjectInfoTable[NumberOfReplications]))</f>
        <v>30</v>
      </c>
      <c r="K229" cm="1">
        <f t="array" ref="K229">IFERROR(AVERAGE(IF((OutputTable[GroupByKey]=OutputTable[[#This Row],[GroupByKey]]),(OutputTable[GroupByKey]=OutputTable[[#This Row],[GroupByKey]])*OutputTable[RecordedValue])),0)</f>
        <v>344.6</v>
      </c>
      <c r="L229" cm="1">
        <f t="array" ref="L229">IFERROR(_xlfn.STDEV.S(IF((OutputTable[GroupByKey]=OutputTable[[#This Row],[GroupByKey]]),(OutputTable[GroupByKey]=OutputTable[[#This Row],[GroupByKey]])*OutputTable[RecordedValue])),0)</f>
        <v>21.890952311479008</v>
      </c>
      <c r="M229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229" cm="1">
        <f t="array" ref="O229">MIN(IF((OutputTable[GroupByKey]=OutputTable[[#This Row],[GroupByKey]]),(OutputTable[GroupByKey]=OutputTable[[#This Row],[GroupByKey]])*OutputTable[RecordedValue]))</f>
        <v>311</v>
      </c>
      <c r="P229" cm="1">
        <f t="array" ref="P229">MAX(IF((OutputTable[GroupByKey]=OutputTable[[#This Row],[GroupByKey]]),(OutputTable[GroupByKey]=OutputTable[[#This Row],[GroupByKey]])*OutputTable[RecordedValue]))</f>
        <v>396</v>
      </c>
    </row>
    <row r="230" spans="1:16" x14ac:dyDescent="0.2">
      <c r="A230" t="s">
        <v>67</v>
      </c>
      <c r="B230" t="s">
        <v>70</v>
      </c>
      <c r="C230">
        <v>18</v>
      </c>
      <c r="D230" t="s">
        <v>115</v>
      </c>
      <c r="E230" t="s">
        <v>107</v>
      </c>
      <c r="F230" t="s">
        <v>95</v>
      </c>
      <c r="G230">
        <v>1.8640350877192999E-3</v>
      </c>
      <c r="H230">
        <v>0</v>
      </c>
      <c r="I230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230" cm="1">
        <f t="array" ref="J230">MAX(IF((ProjectInfoTable[ProjectName]=OutputTable[[#This Row],[ProjectName]]),(ProjectInfoTable[ProjectName]=OutputTable[[#This Row],[ProjectName]])*ProjectInfoTable[NumberOfReplications]))</f>
        <v>30</v>
      </c>
      <c r="K230" cm="1">
        <f t="array" ref="K230">IFERROR(AVERAGE(IF((OutputTable[GroupByKey]=OutputTable[[#This Row],[GroupByKey]]),(OutputTable[GroupByKey]=OutputTable[[#This Row],[GroupByKey]])*OutputTable[RecordedValue])),0)</f>
        <v>1.889307012236451E-3</v>
      </c>
      <c r="L230" cm="1">
        <f t="array" ref="L230">IFERROR(_xlfn.STDEV.S(IF((OutputTable[GroupByKey]=OutputTable[[#This Row],[GroupByKey]]),(OutputTable[GroupByKey]=OutputTable[[#This Row],[GroupByKey]])*OutputTable[RecordedValue])),0)</f>
        <v>1.2015303758165521E-4</v>
      </c>
      <c r="M230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230" cm="1">
        <f t="array" ref="O230">MIN(IF((OutputTable[GroupByKey]=OutputTable[[#This Row],[GroupByKey]]),(OutputTable[GroupByKey]=OutputTable[[#This Row],[GroupByKey]])*OutputTable[RecordedValue]))</f>
        <v>1.70504385964912E-3</v>
      </c>
      <c r="P230" cm="1">
        <f t="array" ref="P230">MAX(IF((OutputTable[GroupByKey]=OutputTable[[#This Row],[GroupByKey]]),(OutputTable[GroupByKey]=OutputTable[[#This Row],[GroupByKey]])*OutputTable[RecordedValue]))</f>
        <v>2.17031677925951E-3</v>
      </c>
    </row>
    <row r="231" spans="1:16" x14ac:dyDescent="0.2">
      <c r="A231" t="s">
        <v>67</v>
      </c>
      <c r="B231" t="s">
        <v>70</v>
      </c>
      <c r="C231">
        <v>18</v>
      </c>
      <c r="D231" t="s">
        <v>116</v>
      </c>
      <c r="E231" t="s">
        <v>105</v>
      </c>
      <c r="F231" t="s">
        <v>95</v>
      </c>
      <c r="G231">
        <v>237</v>
      </c>
      <c r="H231">
        <v>0</v>
      </c>
      <c r="I231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231" cm="1">
        <f t="array" ref="J231">MAX(IF((ProjectInfoTable[ProjectName]=OutputTable[[#This Row],[ProjectName]]),(ProjectInfoTable[ProjectName]=OutputTable[[#This Row],[ProjectName]])*ProjectInfoTable[NumberOfReplications]))</f>
        <v>30</v>
      </c>
      <c r="K231" cm="1">
        <f t="array" ref="K231">IFERROR(AVERAGE(IF((OutputTable[GroupByKey]=OutputTable[[#This Row],[GroupByKey]]),(OutputTable[GroupByKey]=OutputTable[[#This Row],[GroupByKey]])*OutputTable[RecordedValue])),0)</f>
        <v>225.93333333333334</v>
      </c>
      <c r="L231" cm="1">
        <f t="array" ref="L231">IFERROR(_xlfn.STDEV.S(IF((OutputTable[GroupByKey]=OutputTable[[#This Row],[GroupByKey]]),(OutputTable[GroupByKey]=OutputTable[[#This Row],[GroupByKey]])*OutputTable[RecordedValue])),0)</f>
        <v>12.403929670244338</v>
      </c>
      <c r="M231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231" cm="1">
        <f t="array" ref="O231">MIN(IF((OutputTable[GroupByKey]=OutputTable[[#This Row],[GroupByKey]]),(OutputTable[GroupByKey]=OutputTable[[#This Row],[GroupByKey]])*OutputTable[RecordedValue]))</f>
        <v>205</v>
      </c>
      <c r="P231" cm="1">
        <f t="array" ref="P231">MAX(IF((OutputTable[GroupByKey]=OutputTable[[#This Row],[GroupByKey]]),(OutputTable[GroupByKey]=OutputTable[[#This Row],[GroupByKey]])*OutputTable[RecordedValue]))</f>
        <v>253</v>
      </c>
    </row>
    <row r="232" spans="1:16" x14ac:dyDescent="0.2">
      <c r="A232" t="s">
        <v>67</v>
      </c>
      <c r="B232" t="s">
        <v>70</v>
      </c>
      <c r="C232">
        <v>18</v>
      </c>
      <c r="D232" t="s">
        <v>117</v>
      </c>
      <c r="E232" t="s">
        <v>107</v>
      </c>
      <c r="F232" t="s">
        <v>95</v>
      </c>
      <c r="G232">
        <v>5.1973684210526302E-3</v>
      </c>
      <c r="H232">
        <v>0</v>
      </c>
      <c r="I232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232" cm="1">
        <f t="array" ref="J232">MAX(IF((ProjectInfoTable[ProjectName]=OutputTable[[#This Row],[ProjectName]]),(ProjectInfoTable[ProjectName]=OutputTable[[#This Row],[ProjectName]])*ProjectInfoTable[NumberOfReplications]))</f>
        <v>30</v>
      </c>
      <c r="K232" cm="1">
        <f t="array" ref="K232">IFERROR(AVERAGE(IF((OutputTable[GroupByKey]=OutputTable[[#This Row],[GroupByKey]]),(OutputTable[GroupByKey]=OutputTable[[#This Row],[GroupByKey]])*OutputTable[RecordedValue])),0)</f>
        <v>4.9565971649701106E-3</v>
      </c>
      <c r="L232" cm="1">
        <f t="array" ref="L232">IFERROR(_xlfn.STDEV.S(IF((OutputTable[GroupByKey]=OutputTable[[#This Row],[GroupByKey]]),(OutputTable[GroupByKey]=OutputTable[[#This Row],[GroupByKey]])*OutputTable[RecordedValue])),0)</f>
        <v>2.7167433725199517E-4</v>
      </c>
      <c r="M232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232" cm="1">
        <f t="array" ref="O232">MIN(IF((OutputTable[GroupByKey]=OutputTable[[#This Row],[GroupByKey]]),(OutputTable[GroupByKey]=OutputTable[[#This Row],[GroupByKey]])*OutputTable[RecordedValue]))</f>
        <v>4.4956140350877203E-3</v>
      </c>
      <c r="P232" cm="1">
        <f t="array" ref="P232">MAX(IF((OutputTable[GroupByKey]=OutputTable[[#This Row],[GroupByKey]]),(OutputTable[GroupByKey]=OutputTable[[#This Row],[GroupByKey]])*OutputTable[RecordedValue]))</f>
        <v>5.5482456140350904E-3</v>
      </c>
    </row>
    <row r="233" spans="1:16" x14ac:dyDescent="0.2">
      <c r="A233" t="s">
        <v>67</v>
      </c>
      <c r="B233" t="s">
        <v>70</v>
      </c>
      <c r="C233">
        <v>18</v>
      </c>
      <c r="D233" t="s">
        <v>118</v>
      </c>
      <c r="E233" t="s">
        <v>113</v>
      </c>
      <c r="F233" t="s">
        <v>119</v>
      </c>
      <c r="G233">
        <v>286</v>
      </c>
      <c r="H233">
        <v>0</v>
      </c>
      <c r="I233" t="str">
        <f>OutputTable[[#This Row],[ProjectName]]&amp;OutputTable[[#This Row],[Name]]&amp;OutputTable[[#This Row],[Type]]&amp;OutputTable[[#This Row],[Source]]</f>
        <v>Unnamed ProjectSystem.NumberOutNumber OutSystem</v>
      </c>
      <c r="J233" cm="1">
        <f t="array" ref="J233">MAX(IF((ProjectInfoTable[ProjectName]=OutputTable[[#This Row],[ProjectName]]),(ProjectInfoTable[ProjectName]=OutputTable[[#This Row],[ProjectName]])*ProjectInfoTable[NumberOfReplications]))</f>
        <v>30</v>
      </c>
      <c r="K233" cm="1">
        <f t="array" ref="K233">IFERROR(AVERAGE(IF((OutputTable[GroupByKey]=OutputTable[[#This Row],[GroupByKey]]),(OutputTable[GroupByKey]=OutputTable[[#This Row],[GroupByKey]])*OutputTable[RecordedValue])),0)</f>
        <v>285.3</v>
      </c>
      <c r="L233" cm="1">
        <f t="array" ref="L233">IFERROR(_xlfn.STDEV.S(IF((OutputTable[GroupByKey]=OutputTable[[#This Row],[GroupByKey]]),(OutputTable[GroupByKey]=OutputTable[[#This Row],[GroupByKey]])*OutputTable[RecordedValue])),0)</f>
        <v>12.739160368585981</v>
      </c>
      <c r="M233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233" cm="1">
        <f t="array" ref="O233">MIN(IF((OutputTable[GroupByKey]=OutputTable[[#This Row],[GroupByKey]]),(OutputTable[GroupByKey]=OutputTable[[#This Row],[GroupByKey]])*OutputTable[RecordedValue]))</f>
        <v>266</v>
      </c>
      <c r="P233" cm="1">
        <f t="array" ref="P233">MAX(IF((OutputTable[GroupByKey]=OutputTable[[#This Row],[GroupByKey]]),(OutputTable[GroupByKey]=OutputTable[[#This Row],[GroupByKey]])*OutputTable[RecordedValue]))</f>
        <v>318</v>
      </c>
    </row>
    <row r="234" spans="1:16" x14ac:dyDescent="0.2">
      <c r="A234" t="s">
        <v>67</v>
      </c>
      <c r="B234" t="s">
        <v>70</v>
      </c>
      <c r="C234">
        <v>18</v>
      </c>
      <c r="D234" t="s">
        <v>120</v>
      </c>
      <c r="E234" t="s">
        <v>105</v>
      </c>
      <c r="F234" t="s">
        <v>95</v>
      </c>
      <c r="G234">
        <v>144</v>
      </c>
      <c r="H234">
        <v>0</v>
      </c>
      <c r="I234" t="str">
        <f>OutputTable[[#This Row],[ProjectName]]&amp;OutputTable[[#This Row],[Name]]&amp;OutputTable[[#This Row],[Type]]&amp;OutputTable[[#This Row],[Source]]</f>
        <v>Unnamed ProjectWaiter.NumberSeizedTotal Number SeizedResource</v>
      </c>
      <c r="J234" cm="1">
        <f t="array" ref="J234">MAX(IF((ProjectInfoTable[ProjectName]=OutputTable[[#This Row],[ProjectName]]),(ProjectInfoTable[ProjectName]=OutputTable[[#This Row],[ProjectName]])*ProjectInfoTable[NumberOfReplications]))</f>
        <v>30</v>
      </c>
      <c r="K234" cm="1">
        <f t="array" ref="K234">IFERROR(AVERAGE(IF((OutputTable[GroupByKey]=OutputTable[[#This Row],[GroupByKey]]),(OutputTable[GroupByKey]=OutputTable[[#This Row],[GroupByKey]])*OutputTable[RecordedValue])),0)</f>
        <v>142.66666666666666</v>
      </c>
      <c r="L234" cm="1">
        <f t="array" ref="L234">IFERROR(_xlfn.STDEV.S(IF((OutputTable[GroupByKey]=OutputTable[[#This Row],[GroupByKey]]),(OutputTable[GroupByKey]=OutputTable[[#This Row],[GroupByKey]])*OutputTable[RecordedValue])),0)</f>
        <v>6.4505190025531167</v>
      </c>
      <c r="M234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234" cm="1">
        <f t="array" ref="O234">MIN(IF((OutputTable[GroupByKey]=OutputTable[[#This Row],[GroupByKey]]),(OutputTable[GroupByKey]=OutputTable[[#This Row],[GroupByKey]])*OutputTable[RecordedValue]))</f>
        <v>132</v>
      </c>
      <c r="P234" cm="1">
        <f t="array" ref="P234">MAX(IF((OutputTable[GroupByKey]=OutputTable[[#This Row],[GroupByKey]]),(OutputTable[GroupByKey]=OutputTable[[#This Row],[GroupByKey]])*OutputTable[RecordedValue]))</f>
        <v>160</v>
      </c>
    </row>
    <row r="235" spans="1:16" x14ac:dyDescent="0.2">
      <c r="A235" t="s">
        <v>67</v>
      </c>
      <c r="B235" t="s">
        <v>70</v>
      </c>
      <c r="C235">
        <v>18</v>
      </c>
      <c r="D235" t="s">
        <v>121</v>
      </c>
      <c r="E235" t="s">
        <v>107</v>
      </c>
      <c r="F235" t="s">
        <v>95</v>
      </c>
      <c r="G235">
        <v>8.4742067700140797E-2</v>
      </c>
      <c r="H235">
        <v>0</v>
      </c>
      <c r="I235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235" cm="1">
        <f t="array" ref="J235">MAX(IF((ProjectInfoTable[ProjectName]=OutputTable[[#This Row],[ProjectName]]),(ProjectInfoTable[ProjectName]=OutputTable[[#This Row],[ProjectName]])*ProjectInfoTable[NumberOfReplications]))</f>
        <v>30</v>
      </c>
      <c r="K235" cm="1">
        <f t="array" ref="K235">IFERROR(AVERAGE(IF((OutputTable[GroupByKey]=OutputTable[[#This Row],[GroupByKey]]),(OutputTable[GroupByKey]=OutputTable[[#This Row],[GroupByKey]])*OutputTable[RecordedValue])),0)</f>
        <v>8.3509459606410805E-2</v>
      </c>
      <c r="L235" cm="1">
        <f t="array" ref="L235">IFERROR(_xlfn.STDEV.S(IF((OutputTable[GroupByKey]=OutputTable[[#This Row],[GroupByKey]]),(OutputTable[GroupByKey]=OutputTable[[#This Row],[GroupByKey]])*OutputTable[RecordedValue])),0)</f>
        <v>3.5452891325333867E-3</v>
      </c>
      <c r="M23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235" cm="1">
        <f t="array" ref="O235">MIN(IF((OutputTable[GroupByKey]=OutputTable[[#This Row],[GroupByKey]]),(OutputTable[GroupByKey]=OutputTable[[#This Row],[GroupByKey]])*OutputTable[RecordedValue]))</f>
        <v>7.7176470357847096E-2</v>
      </c>
      <c r="P235" cm="1">
        <f t="array" ref="P235">MAX(IF((OutputTable[GroupByKey]=OutputTable[[#This Row],[GroupByKey]]),(OutputTable[GroupByKey]=OutputTable[[#This Row],[GroupByKey]])*OutputTable[RecordedValue]))</f>
        <v>9.2534326714405798E-2</v>
      </c>
    </row>
    <row r="236" spans="1:16" x14ac:dyDescent="0.2">
      <c r="A236" t="s">
        <v>67</v>
      </c>
      <c r="B236" t="s">
        <v>70</v>
      </c>
      <c r="C236">
        <v>19</v>
      </c>
      <c r="D236" t="s">
        <v>104</v>
      </c>
      <c r="E236" t="s">
        <v>105</v>
      </c>
      <c r="F236" t="s">
        <v>95</v>
      </c>
      <c r="G236">
        <v>290</v>
      </c>
      <c r="H236">
        <v>0</v>
      </c>
      <c r="I236" t="str">
        <f>OutputTable[[#This Row],[ProjectName]]&amp;OutputTable[[#This Row],[Name]]&amp;OutputTable[[#This Row],[Type]]&amp;OutputTable[[#This Row],[Source]]</f>
        <v>Unnamed ProjectCleaner.NumberSeizedTotal Number SeizedResource</v>
      </c>
      <c r="J236" cm="1">
        <f t="array" ref="J236">MAX(IF((ProjectInfoTable[ProjectName]=OutputTable[[#This Row],[ProjectName]]),(ProjectInfoTable[ProjectName]=OutputTable[[#This Row],[ProjectName]])*ProjectInfoTable[NumberOfReplications]))</f>
        <v>30</v>
      </c>
      <c r="K236" cm="1">
        <f t="array" ref="K236">IFERROR(AVERAGE(IF((OutputTable[GroupByKey]=OutputTable[[#This Row],[GroupByKey]]),(OutputTable[GroupByKey]=OutputTable[[#This Row],[GroupByKey]])*OutputTable[RecordedValue])),0)</f>
        <v>285.39999999999998</v>
      </c>
      <c r="L236" cm="1">
        <f t="array" ref="L236">IFERROR(_xlfn.STDEV.S(IF((OutputTable[GroupByKey]=OutputTable[[#This Row],[GroupByKey]]),(OutputTable[GroupByKey]=OutputTable[[#This Row],[GroupByKey]])*OutputTable[RecordedValue])),0)</f>
        <v>12.88302812979555</v>
      </c>
      <c r="M236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236" cm="1">
        <f t="array" ref="O236">MIN(IF((OutputTable[GroupByKey]=OutputTable[[#This Row],[GroupByKey]]),(OutputTable[GroupByKey]=OutputTable[[#This Row],[GroupByKey]])*OutputTable[RecordedValue]))</f>
        <v>266</v>
      </c>
      <c r="P236" cm="1">
        <f t="array" ref="P236">MAX(IF((OutputTable[GroupByKey]=OutputTable[[#This Row],[GroupByKey]]),(OutputTable[GroupByKey]=OutputTable[[#This Row],[GroupByKey]])*OutputTable[RecordedValue]))</f>
        <v>318</v>
      </c>
    </row>
    <row r="237" spans="1:16" x14ac:dyDescent="0.2">
      <c r="A237" t="s">
        <v>67</v>
      </c>
      <c r="B237" t="s">
        <v>70</v>
      </c>
      <c r="C237">
        <v>19</v>
      </c>
      <c r="D237" t="s">
        <v>106</v>
      </c>
      <c r="E237" t="s">
        <v>107</v>
      </c>
      <c r="F237" t="s">
        <v>95</v>
      </c>
      <c r="G237">
        <v>0.25402141444504001</v>
      </c>
      <c r="H237">
        <v>0</v>
      </c>
      <c r="I237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237" cm="1">
        <f t="array" ref="J237">MAX(IF((ProjectInfoTable[ProjectName]=OutputTable[[#This Row],[ProjectName]]),(ProjectInfoTable[ProjectName]=OutputTable[[#This Row],[ProjectName]])*ProjectInfoTable[NumberOfReplications]))</f>
        <v>30</v>
      </c>
      <c r="K237" cm="1">
        <f t="array" ref="K237">IFERROR(AVERAGE(IF((OutputTable[GroupByKey]=OutputTable[[#This Row],[GroupByKey]]),(OutputTable[GroupByKey]=OutputTable[[#This Row],[GroupByKey]])*OutputTable[RecordedValue])),0)</f>
        <v>0.25031804088290305</v>
      </c>
      <c r="L237" cm="1">
        <f t="array" ref="L237">IFERROR(_xlfn.STDEV.S(IF((OutputTable[GroupByKey]=OutputTable[[#This Row],[GroupByKey]]),(OutputTable[GroupByKey]=OutputTable[[#This Row],[GroupByKey]])*OutputTable[RecordedValue])),0)</f>
        <v>1.1255778929137084E-2</v>
      </c>
      <c r="M237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237" cm="1">
        <f t="array" ref="O237">MIN(IF((OutputTable[GroupByKey]=OutputTable[[#This Row],[GroupByKey]]),(OutputTable[GroupByKey]=OutputTable[[#This Row],[GroupByKey]])*OutputTable[RecordedValue]))</f>
        <v>0.233333333333333</v>
      </c>
      <c r="P237" cm="1">
        <f t="array" ref="P237">MAX(IF((OutputTable[GroupByKey]=OutputTable[[#This Row],[GroupByKey]]),(OutputTable[GroupByKey]=OutputTable[[#This Row],[GroupByKey]])*OutputTable[RecordedValue]))</f>
        <v>0.27905535859326402</v>
      </c>
    </row>
    <row r="238" spans="1:16" x14ac:dyDescent="0.2">
      <c r="A238" t="s">
        <v>67</v>
      </c>
      <c r="B238" t="s">
        <v>70</v>
      </c>
      <c r="C238">
        <v>19</v>
      </c>
      <c r="D238" t="s">
        <v>108</v>
      </c>
      <c r="E238" t="s">
        <v>105</v>
      </c>
      <c r="F238" t="s">
        <v>95</v>
      </c>
      <c r="G238">
        <v>292</v>
      </c>
      <c r="H238">
        <v>0</v>
      </c>
      <c r="I238" t="str">
        <f>OutputTable[[#This Row],[ProjectName]]&amp;OutputTable[[#This Row],[Name]]&amp;OutputTable[[#This Row],[Type]]&amp;OutputTable[[#This Row],[Source]]</f>
        <v>Unnamed ProjectCooker.NumberSeizedTotal Number SeizedResource</v>
      </c>
      <c r="J238" cm="1">
        <f t="array" ref="J238">MAX(IF((ProjectInfoTable[ProjectName]=OutputTable[[#This Row],[ProjectName]]),(ProjectInfoTable[ProjectName]=OutputTable[[#This Row],[ProjectName]])*ProjectInfoTable[NumberOfReplications]))</f>
        <v>30</v>
      </c>
      <c r="K238" cm="1">
        <f t="array" ref="K238">IFERROR(AVERAGE(IF((OutputTable[GroupByKey]=OutputTable[[#This Row],[GroupByKey]]),(OutputTable[GroupByKey]=OutputTable[[#This Row],[GroupByKey]])*OutputTable[RecordedValue])),0)</f>
        <v>285.66666666666669</v>
      </c>
      <c r="L238" cm="1">
        <f t="array" ref="L238">IFERROR(_xlfn.STDEV.S(IF((OutputTable[GroupByKey]=OutputTable[[#This Row],[GroupByKey]]),(OutputTable[GroupByKey]=OutputTable[[#This Row],[GroupByKey]])*OutputTable[RecordedValue])),0)</f>
        <v>12.949060233064802</v>
      </c>
      <c r="M238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238" cm="1">
        <f t="array" ref="O238">MIN(IF((OutputTable[GroupByKey]=OutputTable[[#This Row],[GroupByKey]]),(OutputTable[GroupByKey]=OutputTable[[#This Row],[GroupByKey]])*OutputTable[RecordedValue]))</f>
        <v>264</v>
      </c>
      <c r="P238" cm="1">
        <f t="array" ref="P238">MAX(IF((OutputTable[GroupByKey]=OutputTable[[#This Row],[GroupByKey]]),(OutputTable[GroupByKey]=OutputTable[[#This Row],[GroupByKey]])*OutputTable[RecordedValue]))</f>
        <v>320</v>
      </c>
    </row>
    <row r="239" spans="1:16" x14ac:dyDescent="0.2">
      <c r="A239" t="s">
        <v>67</v>
      </c>
      <c r="B239" t="s">
        <v>70</v>
      </c>
      <c r="C239">
        <v>19</v>
      </c>
      <c r="D239" t="s">
        <v>109</v>
      </c>
      <c r="E239" t="s">
        <v>107</v>
      </c>
      <c r="F239" t="s">
        <v>95</v>
      </c>
      <c r="G239">
        <v>0.645018420018168</v>
      </c>
      <c r="H239">
        <v>0</v>
      </c>
      <c r="I239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239" cm="1">
        <f t="array" ref="J239">MAX(IF((ProjectInfoTable[ProjectName]=OutputTable[[#This Row],[ProjectName]]),(ProjectInfoTable[ProjectName]=OutputTable[[#This Row],[ProjectName]])*ProjectInfoTable[NumberOfReplications]))</f>
        <v>30</v>
      </c>
      <c r="K239" cm="1">
        <f t="array" ref="K239">IFERROR(AVERAGE(IF((OutputTable[GroupByKey]=OutputTable[[#This Row],[GroupByKey]]),(OutputTable[GroupByKey]=OutputTable[[#This Row],[GroupByKey]])*OutputTable[RecordedValue])),0)</f>
        <v>0.62721981794251769</v>
      </c>
      <c r="L239" cm="1">
        <f t="array" ref="L239">IFERROR(_xlfn.STDEV.S(IF((OutputTable[GroupByKey]=OutputTable[[#This Row],[GroupByKey]]),(OutputTable[GroupByKey]=OutputTable[[#This Row],[GroupByKey]])*OutputTable[RecordedValue])),0)</f>
        <v>2.6376107220918699E-2</v>
      </c>
      <c r="M239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239" cm="1">
        <f t="array" ref="O239">MIN(IF((OutputTable[GroupByKey]=OutputTable[[#This Row],[GroupByKey]]),(OutputTable[GroupByKey]=OutputTable[[#This Row],[GroupByKey]])*OutputTable[RecordedValue]))</f>
        <v>0.58256422876290004</v>
      </c>
      <c r="P239" cm="1">
        <f t="array" ref="P239">MAX(IF((OutputTable[GroupByKey]=OutputTable[[#This Row],[GroupByKey]]),(OutputTable[GroupByKey]=OutputTable[[#This Row],[GroupByKey]])*OutputTable[RecordedValue]))</f>
        <v>0.68643238055161704</v>
      </c>
    </row>
    <row r="240" spans="1:16" x14ac:dyDescent="0.2">
      <c r="A240" t="s">
        <v>67</v>
      </c>
      <c r="B240" t="s">
        <v>70</v>
      </c>
      <c r="C240">
        <v>19</v>
      </c>
      <c r="D240" t="s">
        <v>110</v>
      </c>
      <c r="E240" t="s">
        <v>111</v>
      </c>
      <c r="F240" t="s">
        <v>76</v>
      </c>
      <c r="G240">
        <v>874</v>
      </c>
      <c r="H240">
        <v>0</v>
      </c>
      <c r="I240" t="str">
        <f>OutputTable[[#This Row],[ProjectName]]&amp;OutputTable[[#This Row],[Name]]&amp;OutputTable[[#This Row],[Type]]&amp;OutputTable[[#This Row],[Source]]</f>
        <v>Unnamed ProjectCustomer.NumberInNumber InEntity</v>
      </c>
      <c r="J240" cm="1">
        <f t="array" ref="J240">MAX(IF((ProjectInfoTable[ProjectName]=OutputTable[[#This Row],[ProjectName]]),(ProjectInfoTable[ProjectName]=OutputTable[[#This Row],[ProjectName]])*ProjectInfoTable[NumberOfReplications]))</f>
        <v>30</v>
      </c>
      <c r="K240" cm="1">
        <f t="array" ref="K240">IFERROR(AVERAGE(IF((OutputTable[GroupByKey]=OutputTable[[#This Row],[GroupByKey]]),(OutputTable[GroupByKey]=OutputTable[[#This Row],[GroupByKey]])*OutputTable[RecordedValue])),0)</f>
        <v>855.93333333333328</v>
      </c>
      <c r="L240" cm="1">
        <f t="array" ref="L240">IFERROR(_xlfn.STDEV.S(IF((OutputTable[GroupByKey]=OutputTable[[#This Row],[GroupByKey]]),(OutputTable[GroupByKey]=OutputTable[[#This Row],[GroupByKey]])*OutputTable[RecordedValue])),0)</f>
        <v>38.659373073509371</v>
      </c>
      <c r="M240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240" cm="1">
        <f t="array" ref="O240">MIN(IF((OutputTable[GroupByKey]=OutputTable[[#This Row],[GroupByKey]]),(OutputTable[GroupByKey]=OutputTable[[#This Row],[GroupByKey]])*OutputTable[RecordedValue]))</f>
        <v>792</v>
      </c>
      <c r="P240" cm="1">
        <f t="array" ref="P240">MAX(IF((OutputTable[GroupByKey]=OutputTable[[#This Row],[GroupByKey]]),(OutputTable[GroupByKey]=OutputTable[[#This Row],[GroupByKey]])*OutputTable[RecordedValue]))</f>
        <v>958</v>
      </c>
    </row>
    <row r="241" spans="1:16" x14ac:dyDescent="0.2">
      <c r="A241" t="s">
        <v>67</v>
      </c>
      <c r="B241" t="s">
        <v>70</v>
      </c>
      <c r="C241">
        <v>19</v>
      </c>
      <c r="D241" t="s">
        <v>112</v>
      </c>
      <c r="E241" t="s">
        <v>113</v>
      </c>
      <c r="F241" t="s">
        <v>76</v>
      </c>
      <c r="G241">
        <v>861</v>
      </c>
      <c r="H241">
        <v>0</v>
      </c>
      <c r="I241" t="str">
        <f>OutputTable[[#This Row],[ProjectName]]&amp;OutputTable[[#This Row],[Name]]&amp;OutputTable[[#This Row],[Type]]&amp;OutputTable[[#This Row],[Source]]</f>
        <v>Unnamed ProjectCustomer.NumberOutNumber OutEntity</v>
      </c>
      <c r="J241" cm="1">
        <f t="array" ref="J241">MAX(IF((ProjectInfoTable[ProjectName]=OutputTable[[#This Row],[ProjectName]]),(ProjectInfoTable[ProjectName]=OutputTable[[#This Row],[ProjectName]])*ProjectInfoTable[NumberOfReplications]))</f>
        <v>30</v>
      </c>
      <c r="K241" cm="1">
        <f t="array" ref="K241">IFERROR(AVERAGE(IF((OutputTable[GroupByKey]=OutputTable[[#This Row],[GroupByKey]]),(OutputTable[GroupByKey]=OutputTable[[#This Row],[GroupByKey]])*OutputTable[RecordedValue])),0)</f>
        <v>855.3</v>
      </c>
      <c r="L241" cm="1">
        <f t="array" ref="L241">IFERROR(_xlfn.STDEV.S(IF((OutputTable[GroupByKey]=OutputTable[[#This Row],[GroupByKey]]),(OutputTable[GroupByKey]=OutputTable[[#This Row],[GroupByKey]])*OutputTable[RecordedValue])),0)</f>
        <v>38.322722169527033</v>
      </c>
      <c r="M241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241" cm="1">
        <f t="array" ref="O241">MIN(IF((OutputTable[GroupByKey]=OutputTable[[#This Row],[GroupByKey]]),(OutputTable[GroupByKey]=OutputTable[[#This Row],[GroupByKey]])*OutputTable[RecordedValue]))</f>
        <v>798</v>
      </c>
      <c r="P241" cm="1">
        <f t="array" ref="P241">MAX(IF((OutputTable[GroupByKey]=OutputTable[[#This Row],[GroupByKey]]),(OutputTable[GroupByKey]=OutputTable[[#This Row],[GroupByKey]])*OutputTable[RecordedValue]))</f>
        <v>954</v>
      </c>
    </row>
    <row r="242" spans="1:16" x14ac:dyDescent="0.2">
      <c r="A242" t="s">
        <v>67</v>
      </c>
      <c r="B242" t="s">
        <v>70</v>
      </c>
      <c r="C242">
        <v>19</v>
      </c>
      <c r="D242" t="s">
        <v>114</v>
      </c>
      <c r="E242" t="s">
        <v>105</v>
      </c>
      <c r="F242" t="s">
        <v>95</v>
      </c>
      <c r="G242">
        <v>367</v>
      </c>
      <c r="H242">
        <v>0</v>
      </c>
      <c r="I242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242" cm="1">
        <f t="array" ref="J242">MAX(IF((ProjectInfoTable[ProjectName]=OutputTable[[#This Row],[ProjectName]]),(ProjectInfoTable[ProjectName]=OutputTable[[#This Row],[ProjectName]])*ProjectInfoTable[NumberOfReplications]))</f>
        <v>30</v>
      </c>
      <c r="K242" cm="1">
        <f t="array" ref="K242">IFERROR(AVERAGE(IF((OutputTable[GroupByKey]=OutputTable[[#This Row],[GroupByKey]]),(OutputTable[GroupByKey]=OutputTable[[#This Row],[GroupByKey]])*OutputTable[RecordedValue])),0)</f>
        <v>344.6</v>
      </c>
      <c r="L242" cm="1">
        <f t="array" ref="L242">IFERROR(_xlfn.STDEV.S(IF((OutputTable[GroupByKey]=OutputTable[[#This Row],[GroupByKey]]),(OutputTable[GroupByKey]=OutputTable[[#This Row],[GroupByKey]])*OutputTable[RecordedValue])),0)</f>
        <v>21.890952311479008</v>
      </c>
      <c r="M242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242" cm="1">
        <f t="array" ref="O242">MIN(IF((OutputTable[GroupByKey]=OutputTable[[#This Row],[GroupByKey]]),(OutputTable[GroupByKey]=OutputTable[[#This Row],[GroupByKey]])*OutputTable[RecordedValue]))</f>
        <v>311</v>
      </c>
      <c r="P242" cm="1">
        <f t="array" ref="P242">MAX(IF((OutputTable[GroupByKey]=OutputTable[[#This Row],[GroupByKey]]),(OutputTable[GroupByKey]=OutputTable[[#This Row],[GroupByKey]])*OutputTable[RecordedValue]))</f>
        <v>396</v>
      </c>
    </row>
    <row r="243" spans="1:16" x14ac:dyDescent="0.2">
      <c r="A243" t="s">
        <v>67</v>
      </c>
      <c r="B243" t="s">
        <v>70</v>
      </c>
      <c r="C243">
        <v>19</v>
      </c>
      <c r="D243" t="s">
        <v>115</v>
      </c>
      <c r="E243" t="s">
        <v>107</v>
      </c>
      <c r="F243" t="s">
        <v>95</v>
      </c>
      <c r="G243">
        <v>2.0120614035087701E-3</v>
      </c>
      <c r="H243">
        <v>0</v>
      </c>
      <c r="I243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243" cm="1">
        <f t="array" ref="J243">MAX(IF((ProjectInfoTable[ProjectName]=OutputTable[[#This Row],[ProjectName]]),(ProjectInfoTable[ProjectName]=OutputTable[[#This Row],[ProjectName]])*ProjectInfoTable[NumberOfReplications]))</f>
        <v>30</v>
      </c>
      <c r="K243" cm="1">
        <f t="array" ref="K243">IFERROR(AVERAGE(IF((OutputTable[GroupByKey]=OutputTable[[#This Row],[GroupByKey]]),(OutputTable[GroupByKey]=OutputTable[[#This Row],[GroupByKey]])*OutputTable[RecordedValue])),0)</f>
        <v>1.889307012236451E-3</v>
      </c>
      <c r="L243" cm="1">
        <f t="array" ref="L243">IFERROR(_xlfn.STDEV.S(IF((OutputTable[GroupByKey]=OutputTable[[#This Row],[GroupByKey]]),(OutputTable[GroupByKey]=OutputTable[[#This Row],[GroupByKey]])*OutputTable[RecordedValue])),0)</f>
        <v>1.2015303758165521E-4</v>
      </c>
      <c r="M243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243" cm="1">
        <f t="array" ref="O243">MIN(IF((OutputTable[GroupByKey]=OutputTable[[#This Row],[GroupByKey]]),(OutputTable[GroupByKey]=OutputTable[[#This Row],[GroupByKey]])*OutputTable[RecordedValue]))</f>
        <v>1.70504385964912E-3</v>
      </c>
      <c r="P243" cm="1">
        <f t="array" ref="P243">MAX(IF((OutputTable[GroupByKey]=OutputTable[[#This Row],[GroupByKey]]),(OutputTable[GroupByKey]=OutputTable[[#This Row],[GroupByKey]])*OutputTable[RecordedValue]))</f>
        <v>2.17031677925951E-3</v>
      </c>
    </row>
    <row r="244" spans="1:16" x14ac:dyDescent="0.2">
      <c r="A244" t="s">
        <v>67</v>
      </c>
      <c r="B244" t="s">
        <v>70</v>
      </c>
      <c r="C244">
        <v>19</v>
      </c>
      <c r="D244" t="s">
        <v>116</v>
      </c>
      <c r="E244" t="s">
        <v>105</v>
      </c>
      <c r="F244" t="s">
        <v>95</v>
      </c>
      <c r="G244">
        <v>215</v>
      </c>
      <c r="H244">
        <v>0</v>
      </c>
      <c r="I244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244" cm="1">
        <f t="array" ref="J244">MAX(IF((ProjectInfoTable[ProjectName]=OutputTable[[#This Row],[ProjectName]]),(ProjectInfoTable[ProjectName]=OutputTable[[#This Row],[ProjectName]])*ProjectInfoTable[NumberOfReplications]))</f>
        <v>30</v>
      </c>
      <c r="K244" cm="1">
        <f t="array" ref="K244">IFERROR(AVERAGE(IF((OutputTable[GroupByKey]=OutputTable[[#This Row],[GroupByKey]]),(OutputTable[GroupByKey]=OutputTable[[#This Row],[GroupByKey]])*OutputTable[RecordedValue])),0)</f>
        <v>225.93333333333334</v>
      </c>
      <c r="L244" cm="1">
        <f t="array" ref="L244">IFERROR(_xlfn.STDEV.S(IF((OutputTable[GroupByKey]=OutputTable[[#This Row],[GroupByKey]]),(OutputTable[GroupByKey]=OutputTable[[#This Row],[GroupByKey]])*OutputTable[RecordedValue])),0)</f>
        <v>12.403929670244338</v>
      </c>
      <c r="M244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244" cm="1">
        <f t="array" ref="O244">MIN(IF((OutputTable[GroupByKey]=OutputTable[[#This Row],[GroupByKey]]),(OutputTable[GroupByKey]=OutputTable[[#This Row],[GroupByKey]])*OutputTable[RecordedValue]))</f>
        <v>205</v>
      </c>
      <c r="P244" cm="1">
        <f t="array" ref="P244">MAX(IF((OutputTable[GroupByKey]=OutputTable[[#This Row],[GroupByKey]]),(OutputTable[GroupByKey]=OutputTable[[#This Row],[GroupByKey]])*OutputTable[RecordedValue]))</f>
        <v>253</v>
      </c>
    </row>
    <row r="245" spans="1:16" x14ac:dyDescent="0.2">
      <c r="A245" t="s">
        <v>67</v>
      </c>
      <c r="B245" t="s">
        <v>70</v>
      </c>
      <c r="C245">
        <v>19</v>
      </c>
      <c r="D245" t="s">
        <v>117</v>
      </c>
      <c r="E245" t="s">
        <v>107</v>
      </c>
      <c r="F245" t="s">
        <v>95</v>
      </c>
      <c r="G245">
        <v>4.7183340482242504E-3</v>
      </c>
      <c r="H245">
        <v>0</v>
      </c>
      <c r="I245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245" cm="1">
        <f t="array" ref="J245">MAX(IF((ProjectInfoTable[ProjectName]=OutputTable[[#This Row],[ProjectName]]),(ProjectInfoTable[ProjectName]=OutputTable[[#This Row],[ProjectName]])*ProjectInfoTable[NumberOfReplications]))</f>
        <v>30</v>
      </c>
      <c r="K245" cm="1">
        <f t="array" ref="K245">IFERROR(AVERAGE(IF((OutputTable[GroupByKey]=OutputTable[[#This Row],[GroupByKey]]),(OutputTable[GroupByKey]=OutputTable[[#This Row],[GroupByKey]])*OutputTable[RecordedValue])),0)</f>
        <v>4.9565971649701106E-3</v>
      </c>
      <c r="L245" cm="1">
        <f t="array" ref="L245">IFERROR(_xlfn.STDEV.S(IF((OutputTable[GroupByKey]=OutputTable[[#This Row],[GroupByKey]]),(OutputTable[GroupByKey]=OutputTable[[#This Row],[GroupByKey]])*OutputTable[RecordedValue])),0)</f>
        <v>2.7167433725199517E-4</v>
      </c>
      <c r="M24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245" cm="1">
        <f t="array" ref="O245">MIN(IF((OutputTable[GroupByKey]=OutputTable[[#This Row],[GroupByKey]]),(OutputTable[GroupByKey]=OutputTable[[#This Row],[GroupByKey]])*OutputTable[RecordedValue]))</f>
        <v>4.4956140350877203E-3</v>
      </c>
      <c r="P245" cm="1">
        <f t="array" ref="P245">MAX(IF((OutputTable[GroupByKey]=OutputTable[[#This Row],[GroupByKey]]),(OutputTable[GroupByKey]=OutputTable[[#This Row],[GroupByKey]])*OutputTable[RecordedValue]))</f>
        <v>5.5482456140350904E-3</v>
      </c>
    </row>
    <row r="246" spans="1:16" x14ac:dyDescent="0.2">
      <c r="A246" t="s">
        <v>67</v>
      </c>
      <c r="B246" t="s">
        <v>70</v>
      </c>
      <c r="C246">
        <v>19</v>
      </c>
      <c r="D246" t="s">
        <v>118</v>
      </c>
      <c r="E246" t="s">
        <v>113</v>
      </c>
      <c r="F246" t="s">
        <v>119</v>
      </c>
      <c r="G246">
        <v>289</v>
      </c>
      <c r="H246">
        <v>0</v>
      </c>
      <c r="I246" t="str">
        <f>OutputTable[[#This Row],[ProjectName]]&amp;OutputTable[[#This Row],[Name]]&amp;OutputTable[[#This Row],[Type]]&amp;OutputTable[[#This Row],[Source]]</f>
        <v>Unnamed ProjectSystem.NumberOutNumber OutSystem</v>
      </c>
      <c r="J246" cm="1">
        <f t="array" ref="J246">MAX(IF((ProjectInfoTable[ProjectName]=OutputTable[[#This Row],[ProjectName]]),(ProjectInfoTable[ProjectName]=OutputTable[[#This Row],[ProjectName]])*ProjectInfoTable[NumberOfReplications]))</f>
        <v>30</v>
      </c>
      <c r="K246" cm="1">
        <f t="array" ref="K246">IFERROR(AVERAGE(IF((OutputTable[GroupByKey]=OutputTable[[#This Row],[GroupByKey]]),(OutputTable[GroupByKey]=OutputTable[[#This Row],[GroupByKey]])*OutputTable[RecordedValue])),0)</f>
        <v>285.3</v>
      </c>
      <c r="L246" cm="1">
        <f t="array" ref="L246">IFERROR(_xlfn.STDEV.S(IF((OutputTable[GroupByKey]=OutputTable[[#This Row],[GroupByKey]]),(OutputTable[GroupByKey]=OutputTable[[#This Row],[GroupByKey]])*OutputTable[RecordedValue])),0)</f>
        <v>12.739160368585981</v>
      </c>
      <c r="M246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246" cm="1">
        <f t="array" ref="O246">MIN(IF((OutputTable[GroupByKey]=OutputTable[[#This Row],[GroupByKey]]),(OutputTable[GroupByKey]=OutputTable[[#This Row],[GroupByKey]])*OutputTable[RecordedValue]))</f>
        <v>266</v>
      </c>
      <c r="P246" cm="1">
        <f t="array" ref="P246">MAX(IF((OutputTable[GroupByKey]=OutputTable[[#This Row],[GroupByKey]]),(OutputTable[GroupByKey]=OutputTable[[#This Row],[GroupByKey]])*OutputTable[RecordedValue]))</f>
        <v>318</v>
      </c>
    </row>
    <row r="247" spans="1:16" x14ac:dyDescent="0.2">
      <c r="A247" t="s">
        <v>67</v>
      </c>
      <c r="B247" t="s">
        <v>70</v>
      </c>
      <c r="C247">
        <v>19</v>
      </c>
      <c r="D247" t="s">
        <v>120</v>
      </c>
      <c r="E247" t="s">
        <v>105</v>
      </c>
      <c r="F247" t="s">
        <v>95</v>
      </c>
      <c r="G247">
        <v>146</v>
      </c>
      <c r="H247">
        <v>0</v>
      </c>
      <c r="I247" t="str">
        <f>OutputTable[[#This Row],[ProjectName]]&amp;OutputTable[[#This Row],[Name]]&amp;OutputTable[[#This Row],[Type]]&amp;OutputTable[[#This Row],[Source]]</f>
        <v>Unnamed ProjectWaiter.NumberSeizedTotal Number SeizedResource</v>
      </c>
      <c r="J247" cm="1">
        <f t="array" ref="J247">MAX(IF((ProjectInfoTable[ProjectName]=OutputTable[[#This Row],[ProjectName]]),(ProjectInfoTable[ProjectName]=OutputTable[[#This Row],[ProjectName]])*ProjectInfoTable[NumberOfReplications]))</f>
        <v>30</v>
      </c>
      <c r="K247" cm="1">
        <f t="array" ref="K247">IFERROR(AVERAGE(IF((OutputTable[GroupByKey]=OutputTable[[#This Row],[GroupByKey]]),(OutputTable[GroupByKey]=OutputTable[[#This Row],[GroupByKey]])*OutputTable[RecordedValue])),0)</f>
        <v>142.66666666666666</v>
      </c>
      <c r="L247" cm="1">
        <f t="array" ref="L247">IFERROR(_xlfn.STDEV.S(IF((OutputTable[GroupByKey]=OutputTable[[#This Row],[GroupByKey]]),(OutputTable[GroupByKey]=OutputTable[[#This Row],[GroupByKey]])*OutputTable[RecordedValue])),0)</f>
        <v>6.4505190025531167</v>
      </c>
      <c r="M247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247" cm="1">
        <f t="array" ref="O247">MIN(IF((OutputTable[GroupByKey]=OutputTable[[#This Row],[GroupByKey]]),(OutputTable[GroupByKey]=OutputTable[[#This Row],[GroupByKey]])*OutputTable[RecordedValue]))</f>
        <v>132</v>
      </c>
      <c r="P247" cm="1">
        <f t="array" ref="P247">MAX(IF((OutputTable[GroupByKey]=OutputTable[[#This Row],[GroupByKey]]),(OutputTable[GroupByKey]=OutputTable[[#This Row],[GroupByKey]])*OutputTable[RecordedValue]))</f>
        <v>160</v>
      </c>
    </row>
    <row r="248" spans="1:16" x14ac:dyDescent="0.2">
      <c r="A248" t="s">
        <v>67</v>
      </c>
      <c r="B248" t="s">
        <v>70</v>
      </c>
      <c r="C248">
        <v>19</v>
      </c>
      <c r="D248" t="s">
        <v>121</v>
      </c>
      <c r="E248" t="s">
        <v>107</v>
      </c>
      <c r="F248" t="s">
        <v>95</v>
      </c>
      <c r="G248">
        <v>8.6210835187452498E-2</v>
      </c>
      <c r="H248">
        <v>0</v>
      </c>
      <c r="I248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248" cm="1">
        <f t="array" ref="J248">MAX(IF((ProjectInfoTable[ProjectName]=OutputTable[[#This Row],[ProjectName]]),(ProjectInfoTable[ProjectName]=OutputTable[[#This Row],[ProjectName]])*ProjectInfoTable[NumberOfReplications]))</f>
        <v>30</v>
      </c>
      <c r="K248" cm="1">
        <f t="array" ref="K248">IFERROR(AVERAGE(IF((OutputTable[GroupByKey]=OutputTable[[#This Row],[GroupByKey]]),(OutputTable[GroupByKey]=OutputTable[[#This Row],[GroupByKey]])*OutputTable[RecordedValue])),0)</f>
        <v>8.3509459606410805E-2</v>
      </c>
      <c r="L248" cm="1">
        <f t="array" ref="L248">IFERROR(_xlfn.STDEV.S(IF((OutputTable[GroupByKey]=OutputTable[[#This Row],[GroupByKey]]),(OutputTable[GroupByKey]=OutputTable[[#This Row],[GroupByKey]])*OutputTable[RecordedValue])),0)</f>
        <v>3.5452891325333867E-3</v>
      </c>
      <c r="M248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248" cm="1">
        <f t="array" ref="O248">MIN(IF((OutputTable[GroupByKey]=OutputTable[[#This Row],[GroupByKey]]),(OutputTable[GroupByKey]=OutputTable[[#This Row],[GroupByKey]])*OutputTable[RecordedValue]))</f>
        <v>7.7176470357847096E-2</v>
      </c>
      <c r="P248" cm="1">
        <f t="array" ref="P248">MAX(IF((OutputTable[GroupByKey]=OutputTable[[#This Row],[GroupByKey]]),(OutputTable[GroupByKey]=OutputTable[[#This Row],[GroupByKey]])*OutputTable[RecordedValue]))</f>
        <v>9.2534326714405798E-2</v>
      </c>
    </row>
    <row r="249" spans="1:16" x14ac:dyDescent="0.2">
      <c r="A249" t="s">
        <v>67</v>
      </c>
      <c r="B249" t="s">
        <v>70</v>
      </c>
      <c r="C249">
        <v>20</v>
      </c>
      <c r="D249" t="s">
        <v>104</v>
      </c>
      <c r="E249" t="s">
        <v>105</v>
      </c>
      <c r="F249" t="s">
        <v>95</v>
      </c>
      <c r="G249">
        <v>273</v>
      </c>
      <c r="H249">
        <v>0</v>
      </c>
      <c r="I249" t="str">
        <f>OutputTable[[#This Row],[ProjectName]]&amp;OutputTable[[#This Row],[Name]]&amp;OutputTable[[#This Row],[Type]]&amp;OutputTable[[#This Row],[Source]]</f>
        <v>Unnamed ProjectCleaner.NumberSeizedTotal Number SeizedResource</v>
      </c>
      <c r="J249" cm="1">
        <f t="array" ref="J249">MAX(IF((ProjectInfoTable[ProjectName]=OutputTable[[#This Row],[ProjectName]]),(ProjectInfoTable[ProjectName]=OutputTable[[#This Row],[ProjectName]])*ProjectInfoTable[NumberOfReplications]))</f>
        <v>30</v>
      </c>
      <c r="K249" cm="1">
        <f t="array" ref="K249">IFERROR(AVERAGE(IF((OutputTable[GroupByKey]=OutputTable[[#This Row],[GroupByKey]]),(OutputTable[GroupByKey]=OutputTable[[#This Row],[GroupByKey]])*OutputTable[RecordedValue])),0)</f>
        <v>285.39999999999998</v>
      </c>
      <c r="L249" cm="1">
        <f t="array" ref="L249">IFERROR(_xlfn.STDEV.S(IF((OutputTable[GroupByKey]=OutputTable[[#This Row],[GroupByKey]]),(OutputTable[GroupByKey]=OutputTable[[#This Row],[GroupByKey]])*OutputTable[RecordedValue])),0)</f>
        <v>12.88302812979555</v>
      </c>
      <c r="M249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249" cm="1">
        <f t="array" ref="O249">MIN(IF((OutputTable[GroupByKey]=OutputTable[[#This Row],[GroupByKey]]),(OutputTable[GroupByKey]=OutputTable[[#This Row],[GroupByKey]])*OutputTable[RecordedValue]))</f>
        <v>266</v>
      </c>
      <c r="P249" cm="1">
        <f t="array" ref="P249">MAX(IF((OutputTable[GroupByKey]=OutputTable[[#This Row],[GroupByKey]]),(OutputTable[GroupByKey]=OutputTable[[#This Row],[GroupByKey]])*OutputTable[RecordedValue]))</f>
        <v>318</v>
      </c>
    </row>
    <row r="250" spans="1:16" x14ac:dyDescent="0.2">
      <c r="A250" t="s">
        <v>67</v>
      </c>
      <c r="B250" t="s">
        <v>70</v>
      </c>
      <c r="C250">
        <v>20</v>
      </c>
      <c r="D250" t="s">
        <v>106</v>
      </c>
      <c r="E250" t="s">
        <v>107</v>
      </c>
      <c r="F250" t="s">
        <v>95</v>
      </c>
      <c r="G250">
        <v>0.23947368421052601</v>
      </c>
      <c r="H250">
        <v>0</v>
      </c>
      <c r="I250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250" cm="1">
        <f t="array" ref="J250">MAX(IF((ProjectInfoTable[ProjectName]=OutputTable[[#This Row],[ProjectName]]),(ProjectInfoTable[ProjectName]=OutputTable[[#This Row],[ProjectName]])*ProjectInfoTable[NumberOfReplications]))</f>
        <v>30</v>
      </c>
      <c r="K250" cm="1">
        <f t="array" ref="K250">IFERROR(AVERAGE(IF((OutputTable[GroupByKey]=OutputTable[[#This Row],[GroupByKey]]),(OutputTable[GroupByKey]=OutputTable[[#This Row],[GroupByKey]])*OutputTable[RecordedValue])),0)</f>
        <v>0.25031804088290305</v>
      </c>
      <c r="L250" cm="1">
        <f t="array" ref="L250">IFERROR(_xlfn.STDEV.S(IF((OutputTable[GroupByKey]=OutputTable[[#This Row],[GroupByKey]]),(OutputTable[GroupByKey]=OutputTable[[#This Row],[GroupByKey]])*OutputTable[RecordedValue])),0)</f>
        <v>1.1255778929137084E-2</v>
      </c>
      <c r="M250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250" cm="1">
        <f t="array" ref="O250">MIN(IF((OutputTable[GroupByKey]=OutputTable[[#This Row],[GroupByKey]]),(OutputTable[GroupByKey]=OutputTable[[#This Row],[GroupByKey]])*OutputTable[RecordedValue]))</f>
        <v>0.233333333333333</v>
      </c>
      <c r="P250" cm="1">
        <f t="array" ref="P250">MAX(IF((OutputTable[GroupByKey]=OutputTable[[#This Row],[GroupByKey]]),(OutputTable[GroupByKey]=OutputTable[[#This Row],[GroupByKey]])*OutputTable[RecordedValue]))</f>
        <v>0.27905535859326402</v>
      </c>
    </row>
    <row r="251" spans="1:16" x14ac:dyDescent="0.2">
      <c r="A251" t="s">
        <v>67</v>
      </c>
      <c r="B251" t="s">
        <v>70</v>
      </c>
      <c r="C251">
        <v>20</v>
      </c>
      <c r="D251" t="s">
        <v>108</v>
      </c>
      <c r="E251" t="s">
        <v>105</v>
      </c>
      <c r="F251" t="s">
        <v>95</v>
      </c>
      <c r="G251">
        <v>272</v>
      </c>
      <c r="H251">
        <v>0</v>
      </c>
      <c r="I251" t="str">
        <f>OutputTable[[#This Row],[ProjectName]]&amp;OutputTable[[#This Row],[Name]]&amp;OutputTable[[#This Row],[Type]]&amp;OutputTable[[#This Row],[Source]]</f>
        <v>Unnamed ProjectCooker.NumberSeizedTotal Number SeizedResource</v>
      </c>
      <c r="J251" cm="1">
        <f t="array" ref="J251">MAX(IF((ProjectInfoTable[ProjectName]=OutputTable[[#This Row],[ProjectName]]),(ProjectInfoTable[ProjectName]=OutputTable[[#This Row],[ProjectName]])*ProjectInfoTable[NumberOfReplications]))</f>
        <v>30</v>
      </c>
      <c r="K251" cm="1">
        <f t="array" ref="K251">IFERROR(AVERAGE(IF((OutputTable[GroupByKey]=OutputTable[[#This Row],[GroupByKey]]),(OutputTable[GroupByKey]=OutputTable[[#This Row],[GroupByKey]])*OutputTable[RecordedValue])),0)</f>
        <v>285.66666666666669</v>
      </c>
      <c r="L251" cm="1">
        <f t="array" ref="L251">IFERROR(_xlfn.STDEV.S(IF((OutputTable[GroupByKey]=OutputTable[[#This Row],[GroupByKey]]),(OutputTable[GroupByKey]=OutputTable[[#This Row],[GroupByKey]])*OutputTable[RecordedValue])),0)</f>
        <v>12.949060233064802</v>
      </c>
      <c r="M251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251" cm="1">
        <f t="array" ref="O251">MIN(IF((OutputTable[GroupByKey]=OutputTable[[#This Row],[GroupByKey]]),(OutputTable[GroupByKey]=OutputTable[[#This Row],[GroupByKey]])*OutputTable[RecordedValue]))</f>
        <v>264</v>
      </c>
      <c r="P251" cm="1">
        <f t="array" ref="P251">MAX(IF((OutputTable[GroupByKey]=OutputTable[[#This Row],[GroupByKey]]),(OutputTable[GroupByKey]=OutputTable[[#This Row],[GroupByKey]])*OutputTable[RecordedValue]))</f>
        <v>320</v>
      </c>
    </row>
    <row r="252" spans="1:16" x14ac:dyDescent="0.2">
      <c r="A252" t="s">
        <v>67</v>
      </c>
      <c r="B252" t="s">
        <v>70</v>
      </c>
      <c r="C252">
        <v>20</v>
      </c>
      <c r="D252" t="s">
        <v>109</v>
      </c>
      <c r="E252" t="s">
        <v>107</v>
      </c>
      <c r="F252" t="s">
        <v>95</v>
      </c>
      <c r="G252">
        <v>0.599562468862744</v>
      </c>
      <c r="H252">
        <v>0</v>
      </c>
      <c r="I252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252" cm="1">
        <f t="array" ref="J252">MAX(IF((ProjectInfoTable[ProjectName]=OutputTable[[#This Row],[ProjectName]]),(ProjectInfoTable[ProjectName]=OutputTable[[#This Row],[ProjectName]])*ProjectInfoTable[NumberOfReplications]))</f>
        <v>30</v>
      </c>
      <c r="K252" cm="1">
        <f t="array" ref="K252">IFERROR(AVERAGE(IF((OutputTable[GroupByKey]=OutputTable[[#This Row],[GroupByKey]]),(OutputTable[GroupByKey]=OutputTable[[#This Row],[GroupByKey]])*OutputTable[RecordedValue])),0)</f>
        <v>0.62721981794251769</v>
      </c>
      <c r="L252" cm="1">
        <f t="array" ref="L252">IFERROR(_xlfn.STDEV.S(IF((OutputTable[GroupByKey]=OutputTable[[#This Row],[GroupByKey]]),(OutputTable[GroupByKey]=OutputTable[[#This Row],[GroupByKey]])*OutputTable[RecordedValue])),0)</f>
        <v>2.6376107220918699E-2</v>
      </c>
      <c r="M252" cm="1">
        <f t="array" ref="M252">MAX(IF((ProjectInfoTable[ProjectName]=OutputTable[[#This Row],[ProjectName]]),(ProjectInfoTable[ProjectName]=OutputTable[[#This Row],[ProjectName]])*ProjectInfoTable[ConfidenceInterval]))</f>
        <v>0.95</v>
      </c>
      <c r="N2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252" cm="1">
        <f t="array" ref="O252">MIN(IF((OutputTable[GroupByKey]=OutputTable[[#This Row],[GroupByKey]]),(OutputTable[GroupByKey]=OutputTable[[#This Row],[GroupByKey]])*OutputTable[RecordedValue]))</f>
        <v>0.58256422876290004</v>
      </c>
      <c r="P252" cm="1">
        <f t="array" ref="P252">MAX(IF((OutputTable[GroupByKey]=OutputTable[[#This Row],[GroupByKey]]),(OutputTable[GroupByKey]=OutputTable[[#This Row],[GroupByKey]])*OutputTable[RecordedValue]))</f>
        <v>0.68643238055161704</v>
      </c>
    </row>
    <row r="253" spans="1:16" x14ac:dyDescent="0.2">
      <c r="A253" t="s">
        <v>67</v>
      </c>
      <c r="B253" t="s">
        <v>70</v>
      </c>
      <c r="C253">
        <v>20</v>
      </c>
      <c r="D253" t="s">
        <v>110</v>
      </c>
      <c r="E253" t="s">
        <v>111</v>
      </c>
      <c r="F253" t="s">
        <v>76</v>
      </c>
      <c r="G253">
        <v>819</v>
      </c>
      <c r="H253">
        <v>0</v>
      </c>
      <c r="I253" t="str">
        <f>OutputTable[[#This Row],[ProjectName]]&amp;OutputTable[[#This Row],[Name]]&amp;OutputTable[[#This Row],[Type]]&amp;OutputTable[[#This Row],[Source]]</f>
        <v>Unnamed ProjectCustomer.NumberInNumber InEntity</v>
      </c>
      <c r="J253" cm="1">
        <f t="array" ref="J253">MAX(IF((ProjectInfoTable[ProjectName]=OutputTable[[#This Row],[ProjectName]]),(ProjectInfoTable[ProjectName]=OutputTable[[#This Row],[ProjectName]])*ProjectInfoTable[NumberOfReplications]))</f>
        <v>30</v>
      </c>
      <c r="K253" cm="1">
        <f t="array" ref="K253">IFERROR(AVERAGE(IF((OutputTable[GroupByKey]=OutputTable[[#This Row],[GroupByKey]]),(OutputTable[GroupByKey]=OutputTable[[#This Row],[GroupByKey]])*OutputTable[RecordedValue])),0)</f>
        <v>855.93333333333328</v>
      </c>
      <c r="L253" cm="1">
        <f t="array" ref="L253">IFERROR(_xlfn.STDEV.S(IF((OutputTable[GroupByKey]=OutputTable[[#This Row],[GroupByKey]]),(OutputTable[GroupByKey]=OutputTable[[#This Row],[GroupByKey]])*OutputTable[RecordedValue])),0)</f>
        <v>38.659373073509371</v>
      </c>
      <c r="M253" cm="1">
        <f t="array" ref="M253">MAX(IF((ProjectInfoTable[ProjectName]=OutputTable[[#This Row],[ProjectName]]),(ProjectInfoTable[ProjectName]=OutputTable[[#This Row],[ProjectName]])*ProjectInfoTable[ConfidenceInterval]))</f>
        <v>0.95</v>
      </c>
      <c r="N2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253" cm="1">
        <f t="array" ref="O253">MIN(IF((OutputTable[GroupByKey]=OutputTable[[#This Row],[GroupByKey]]),(OutputTable[GroupByKey]=OutputTable[[#This Row],[GroupByKey]])*OutputTable[RecordedValue]))</f>
        <v>792</v>
      </c>
      <c r="P253" cm="1">
        <f t="array" ref="P253">MAX(IF((OutputTable[GroupByKey]=OutputTable[[#This Row],[GroupByKey]]),(OutputTable[GroupByKey]=OutputTable[[#This Row],[GroupByKey]])*OutputTable[RecordedValue]))</f>
        <v>958</v>
      </c>
    </row>
    <row r="254" spans="1:16" x14ac:dyDescent="0.2">
      <c r="A254" t="s">
        <v>67</v>
      </c>
      <c r="B254" t="s">
        <v>70</v>
      </c>
      <c r="C254">
        <v>20</v>
      </c>
      <c r="D254" t="s">
        <v>112</v>
      </c>
      <c r="E254" t="s">
        <v>113</v>
      </c>
      <c r="F254" t="s">
        <v>76</v>
      </c>
      <c r="G254">
        <v>821</v>
      </c>
      <c r="H254">
        <v>0</v>
      </c>
      <c r="I254" t="str">
        <f>OutputTable[[#This Row],[ProjectName]]&amp;OutputTable[[#This Row],[Name]]&amp;OutputTable[[#This Row],[Type]]&amp;OutputTable[[#This Row],[Source]]</f>
        <v>Unnamed ProjectCustomer.NumberOutNumber OutEntity</v>
      </c>
      <c r="J254" cm="1">
        <f t="array" ref="J254">MAX(IF((ProjectInfoTable[ProjectName]=OutputTable[[#This Row],[ProjectName]]),(ProjectInfoTable[ProjectName]=OutputTable[[#This Row],[ProjectName]])*ProjectInfoTable[NumberOfReplications]))</f>
        <v>30</v>
      </c>
      <c r="K254" cm="1">
        <f t="array" ref="K254">IFERROR(AVERAGE(IF((OutputTable[GroupByKey]=OutputTable[[#This Row],[GroupByKey]]),(OutputTable[GroupByKey]=OutputTable[[#This Row],[GroupByKey]])*OutputTable[RecordedValue])),0)</f>
        <v>855.3</v>
      </c>
      <c r="L254" cm="1">
        <f t="array" ref="L254">IFERROR(_xlfn.STDEV.S(IF((OutputTable[GroupByKey]=OutputTable[[#This Row],[GroupByKey]]),(OutputTable[GroupByKey]=OutputTable[[#This Row],[GroupByKey]])*OutputTable[RecordedValue])),0)</f>
        <v>38.322722169527033</v>
      </c>
      <c r="M254" cm="1">
        <f t="array" ref="M254">MAX(IF((ProjectInfoTable[ProjectName]=OutputTable[[#This Row],[ProjectName]]),(ProjectInfoTable[ProjectName]=OutputTable[[#This Row],[ProjectName]])*ProjectInfoTable[ConfidenceInterval]))</f>
        <v>0.95</v>
      </c>
      <c r="N2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254" cm="1">
        <f t="array" ref="O254">MIN(IF((OutputTable[GroupByKey]=OutputTable[[#This Row],[GroupByKey]]),(OutputTable[GroupByKey]=OutputTable[[#This Row],[GroupByKey]])*OutputTable[RecordedValue]))</f>
        <v>798</v>
      </c>
      <c r="P254" cm="1">
        <f t="array" ref="P254">MAX(IF((OutputTable[GroupByKey]=OutputTable[[#This Row],[GroupByKey]]),(OutputTable[GroupByKey]=OutputTable[[#This Row],[GroupByKey]])*OutputTable[RecordedValue]))</f>
        <v>954</v>
      </c>
    </row>
    <row r="255" spans="1:16" x14ac:dyDescent="0.2">
      <c r="A255" t="s">
        <v>67</v>
      </c>
      <c r="B255" t="s">
        <v>70</v>
      </c>
      <c r="C255">
        <v>20</v>
      </c>
      <c r="D255" t="s">
        <v>114</v>
      </c>
      <c r="E255" t="s">
        <v>105</v>
      </c>
      <c r="F255" t="s">
        <v>95</v>
      </c>
      <c r="G255">
        <v>323</v>
      </c>
      <c r="H255">
        <v>0</v>
      </c>
      <c r="I255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255" cm="1">
        <f t="array" ref="J255">MAX(IF((ProjectInfoTable[ProjectName]=OutputTable[[#This Row],[ProjectName]]),(ProjectInfoTable[ProjectName]=OutputTable[[#This Row],[ProjectName]])*ProjectInfoTable[NumberOfReplications]))</f>
        <v>30</v>
      </c>
      <c r="K255" cm="1">
        <f t="array" ref="K255">IFERROR(AVERAGE(IF((OutputTable[GroupByKey]=OutputTable[[#This Row],[GroupByKey]]),(OutputTable[GroupByKey]=OutputTable[[#This Row],[GroupByKey]])*OutputTable[RecordedValue])),0)</f>
        <v>344.6</v>
      </c>
      <c r="L255" cm="1">
        <f t="array" ref="L255">IFERROR(_xlfn.STDEV.S(IF((OutputTable[GroupByKey]=OutputTable[[#This Row],[GroupByKey]]),(OutputTable[GroupByKey]=OutputTable[[#This Row],[GroupByKey]])*OutputTable[RecordedValue])),0)</f>
        <v>21.890952311479008</v>
      </c>
      <c r="M255" cm="1">
        <f t="array" ref="M255">MAX(IF((ProjectInfoTable[ProjectName]=OutputTable[[#This Row],[ProjectName]]),(ProjectInfoTable[ProjectName]=OutputTable[[#This Row],[ProjectName]])*ProjectInfoTable[ConfidenceInterval]))</f>
        <v>0.95</v>
      </c>
      <c r="N2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255" cm="1">
        <f t="array" ref="O255">MIN(IF((OutputTable[GroupByKey]=OutputTable[[#This Row],[GroupByKey]]),(OutputTable[GroupByKey]=OutputTable[[#This Row],[GroupByKey]])*OutputTable[RecordedValue]))</f>
        <v>311</v>
      </c>
      <c r="P255" cm="1">
        <f t="array" ref="P255">MAX(IF((OutputTable[GroupByKey]=OutputTable[[#This Row],[GroupByKey]]),(OutputTable[GroupByKey]=OutputTable[[#This Row],[GroupByKey]])*OutputTable[RecordedValue]))</f>
        <v>396</v>
      </c>
    </row>
    <row r="256" spans="1:16" x14ac:dyDescent="0.2">
      <c r="A256" t="s">
        <v>67</v>
      </c>
      <c r="B256" t="s">
        <v>70</v>
      </c>
      <c r="C256">
        <v>20</v>
      </c>
      <c r="D256" t="s">
        <v>115</v>
      </c>
      <c r="E256" t="s">
        <v>107</v>
      </c>
      <c r="F256" t="s">
        <v>95</v>
      </c>
      <c r="G256">
        <v>1.77083333333333E-3</v>
      </c>
      <c r="H256">
        <v>0</v>
      </c>
      <c r="I256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256" cm="1">
        <f t="array" ref="J256">MAX(IF((ProjectInfoTable[ProjectName]=OutputTable[[#This Row],[ProjectName]]),(ProjectInfoTable[ProjectName]=OutputTable[[#This Row],[ProjectName]])*ProjectInfoTable[NumberOfReplications]))</f>
        <v>30</v>
      </c>
      <c r="K256" cm="1">
        <f t="array" ref="K256">IFERROR(AVERAGE(IF((OutputTable[GroupByKey]=OutputTable[[#This Row],[GroupByKey]]),(OutputTable[GroupByKey]=OutputTable[[#This Row],[GroupByKey]])*OutputTable[RecordedValue])),0)</f>
        <v>1.889307012236451E-3</v>
      </c>
      <c r="L256" cm="1">
        <f t="array" ref="L256">IFERROR(_xlfn.STDEV.S(IF((OutputTable[GroupByKey]=OutputTable[[#This Row],[GroupByKey]]),(OutputTable[GroupByKey]=OutputTable[[#This Row],[GroupByKey]])*OutputTable[RecordedValue])),0)</f>
        <v>1.2015303758165521E-4</v>
      </c>
      <c r="M256" cm="1">
        <f t="array" ref="M256">MAX(IF((ProjectInfoTable[ProjectName]=OutputTable[[#This Row],[ProjectName]]),(ProjectInfoTable[ProjectName]=OutputTable[[#This Row],[ProjectName]])*ProjectInfoTable[ConfidenceInterval]))</f>
        <v>0.95</v>
      </c>
      <c r="N2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256" cm="1">
        <f t="array" ref="O256">MIN(IF((OutputTable[GroupByKey]=OutputTable[[#This Row],[GroupByKey]]),(OutputTable[GroupByKey]=OutputTable[[#This Row],[GroupByKey]])*OutputTable[RecordedValue]))</f>
        <v>1.70504385964912E-3</v>
      </c>
      <c r="P256" cm="1">
        <f t="array" ref="P256">MAX(IF((OutputTable[GroupByKey]=OutputTable[[#This Row],[GroupByKey]]),(OutputTable[GroupByKey]=OutputTable[[#This Row],[GroupByKey]])*OutputTable[RecordedValue]))</f>
        <v>2.17031677925951E-3</v>
      </c>
    </row>
    <row r="257" spans="1:16" x14ac:dyDescent="0.2">
      <c r="A257" t="s">
        <v>67</v>
      </c>
      <c r="B257" t="s">
        <v>70</v>
      </c>
      <c r="C257">
        <v>20</v>
      </c>
      <c r="D257" t="s">
        <v>116</v>
      </c>
      <c r="E257" t="s">
        <v>105</v>
      </c>
      <c r="F257" t="s">
        <v>95</v>
      </c>
      <c r="G257">
        <v>224</v>
      </c>
      <c r="H257">
        <v>0</v>
      </c>
      <c r="I257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257" cm="1">
        <f t="array" ref="J257">MAX(IF((ProjectInfoTable[ProjectName]=OutputTable[[#This Row],[ProjectName]]),(ProjectInfoTable[ProjectName]=OutputTable[[#This Row],[ProjectName]])*ProjectInfoTable[NumberOfReplications]))</f>
        <v>30</v>
      </c>
      <c r="K257" cm="1">
        <f t="array" ref="K257">IFERROR(AVERAGE(IF((OutputTable[GroupByKey]=OutputTable[[#This Row],[GroupByKey]]),(OutputTable[GroupByKey]=OutputTable[[#This Row],[GroupByKey]])*OutputTable[RecordedValue])),0)</f>
        <v>225.93333333333334</v>
      </c>
      <c r="L257" cm="1">
        <f t="array" ref="L257">IFERROR(_xlfn.STDEV.S(IF((OutputTable[GroupByKey]=OutputTable[[#This Row],[GroupByKey]]),(OutputTable[GroupByKey]=OutputTable[[#This Row],[GroupByKey]])*OutputTable[RecordedValue])),0)</f>
        <v>12.403929670244338</v>
      </c>
      <c r="M257" cm="1">
        <f t="array" ref="M257">MAX(IF((ProjectInfoTable[ProjectName]=OutputTable[[#This Row],[ProjectName]]),(ProjectInfoTable[ProjectName]=OutputTable[[#This Row],[ProjectName]])*ProjectInfoTable[ConfidenceInterval]))</f>
        <v>0.95</v>
      </c>
      <c r="N2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257" cm="1">
        <f t="array" ref="O257">MIN(IF((OutputTable[GroupByKey]=OutputTable[[#This Row],[GroupByKey]]),(OutputTable[GroupByKey]=OutputTable[[#This Row],[GroupByKey]])*OutputTable[RecordedValue]))</f>
        <v>205</v>
      </c>
      <c r="P257" cm="1">
        <f t="array" ref="P257">MAX(IF((OutputTable[GroupByKey]=OutputTable[[#This Row],[GroupByKey]]),(OutputTable[GroupByKey]=OutputTable[[#This Row],[GroupByKey]])*OutputTable[RecordedValue]))</f>
        <v>253</v>
      </c>
    </row>
    <row r="258" spans="1:16" x14ac:dyDescent="0.2">
      <c r="A258" t="s">
        <v>67</v>
      </c>
      <c r="B258" t="s">
        <v>70</v>
      </c>
      <c r="C258">
        <v>20</v>
      </c>
      <c r="D258" t="s">
        <v>117</v>
      </c>
      <c r="E258" t="s">
        <v>107</v>
      </c>
      <c r="F258" t="s">
        <v>95</v>
      </c>
      <c r="G258">
        <v>4.9122807017543801E-3</v>
      </c>
      <c r="H258">
        <v>0</v>
      </c>
      <c r="I258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258" cm="1">
        <f t="array" ref="J258">MAX(IF((ProjectInfoTable[ProjectName]=OutputTable[[#This Row],[ProjectName]]),(ProjectInfoTable[ProjectName]=OutputTable[[#This Row],[ProjectName]])*ProjectInfoTable[NumberOfReplications]))</f>
        <v>30</v>
      </c>
      <c r="K258" cm="1">
        <f t="array" ref="K258">IFERROR(AVERAGE(IF((OutputTable[GroupByKey]=OutputTable[[#This Row],[GroupByKey]]),(OutputTable[GroupByKey]=OutputTable[[#This Row],[GroupByKey]])*OutputTable[RecordedValue])),0)</f>
        <v>4.9565971649701106E-3</v>
      </c>
      <c r="L258" cm="1">
        <f t="array" ref="L258">IFERROR(_xlfn.STDEV.S(IF((OutputTable[GroupByKey]=OutputTable[[#This Row],[GroupByKey]]),(OutputTable[GroupByKey]=OutputTable[[#This Row],[GroupByKey]])*OutputTable[RecordedValue])),0)</f>
        <v>2.7167433725199517E-4</v>
      </c>
      <c r="M258" cm="1">
        <f t="array" ref="M258">MAX(IF((ProjectInfoTable[ProjectName]=OutputTable[[#This Row],[ProjectName]]),(ProjectInfoTable[ProjectName]=OutputTable[[#This Row],[ProjectName]])*ProjectInfoTable[ConfidenceInterval]))</f>
        <v>0.95</v>
      </c>
      <c r="N2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258" cm="1">
        <f t="array" ref="O258">MIN(IF((OutputTable[GroupByKey]=OutputTable[[#This Row],[GroupByKey]]),(OutputTable[GroupByKey]=OutputTable[[#This Row],[GroupByKey]])*OutputTable[RecordedValue]))</f>
        <v>4.4956140350877203E-3</v>
      </c>
      <c r="P258" cm="1">
        <f t="array" ref="P258">MAX(IF((OutputTable[GroupByKey]=OutputTable[[#This Row],[GroupByKey]]),(OutputTable[GroupByKey]=OutputTable[[#This Row],[GroupByKey]])*OutputTable[RecordedValue]))</f>
        <v>5.5482456140350904E-3</v>
      </c>
    </row>
    <row r="259" spans="1:16" x14ac:dyDescent="0.2">
      <c r="A259" t="s">
        <v>67</v>
      </c>
      <c r="B259" t="s">
        <v>70</v>
      </c>
      <c r="C259">
        <v>20</v>
      </c>
      <c r="D259" t="s">
        <v>118</v>
      </c>
      <c r="E259" t="s">
        <v>113</v>
      </c>
      <c r="F259" t="s">
        <v>119</v>
      </c>
      <c r="G259">
        <v>273</v>
      </c>
      <c r="H259">
        <v>0</v>
      </c>
      <c r="I259" t="str">
        <f>OutputTable[[#This Row],[ProjectName]]&amp;OutputTable[[#This Row],[Name]]&amp;OutputTable[[#This Row],[Type]]&amp;OutputTable[[#This Row],[Source]]</f>
        <v>Unnamed ProjectSystem.NumberOutNumber OutSystem</v>
      </c>
      <c r="J259" cm="1">
        <f t="array" ref="J259">MAX(IF((ProjectInfoTable[ProjectName]=OutputTable[[#This Row],[ProjectName]]),(ProjectInfoTable[ProjectName]=OutputTable[[#This Row],[ProjectName]])*ProjectInfoTable[NumberOfReplications]))</f>
        <v>30</v>
      </c>
      <c r="K259" cm="1">
        <f t="array" ref="K259">IFERROR(AVERAGE(IF((OutputTable[GroupByKey]=OutputTable[[#This Row],[GroupByKey]]),(OutputTable[GroupByKey]=OutputTable[[#This Row],[GroupByKey]])*OutputTable[RecordedValue])),0)</f>
        <v>285.3</v>
      </c>
      <c r="L259" cm="1">
        <f t="array" ref="L259">IFERROR(_xlfn.STDEV.S(IF((OutputTable[GroupByKey]=OutputTable[[#This Row],[GroupByKey]]),(OutputTable[GroupByKey]=OutputTable[[#This Row],[GroupByKey]])*OutputTable[RecordedValue])),0)</f>
        <v>12.739160368585981</v>
      </c>
      <c r="M259" cm="1">
        <f t="array" ref="M259">MAX(IF((ProjectInfoTable[ProjectName]=OutputTable[[#This Row],[ProjectName]]),(ProjectInfoTable[ProjectName]=OutputTable[[#This Row],[ProjectName]])*ProjectInfoTable[ConfidenceInterval]))</f>
        <v>0.95</v>
      </c>
      <c r="N2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259" cm="1">
        <f t="array" ref="O259">MIN(IF((OutputTable[GroupByKey]=OutputTable[[#This Row],[GroupByKey]]),(OutputTable[GroupByKey]=OutputTable[[#This Row],[GroupByKey]])*OutputTable[RecordedValue]))</f>
        <v>266</v>
      </c>
      <c r="P259" cm="1">
        <f t="array" ref="P259">MAX(IF((OutputTable[GroupByKey]=OutputTable[[#This Row],[GroupByKey]]),(OutputTable[GroupByKey]=OutputTable[[#This Row],[GroupByKey]])*OutputTable[RecordedValue]))</f>
        <v>318</v>
      </c>
    </row>
    <row r="260" spans="1:16" x14ac:dyDescent="0.2">
      <c r="A260" t="s">
        <v>67</v>
      </c>
      <c r="B260" t="s">
        <v>70</v>
      </c>
      <c r="C260">
        <v>20</v>
      </c>
      <c r="D260" t="s">
        <v>120</v>
      </c>
      <c r="E260" t="s">
        <v>105</v>
      </c>
      <c r="F260" t="s">
        <v>95</v>
      </c>
      <c r="G260">
        <v>136</v>
      </c>
      <c r="H260">
        <v>0</v>
      </c>
      <c r="I260" t="str">
        <f>OutputTable[[#This Row],[ProjectName]]&amp;OutputTable[[#This Row],[Name]]&amp;OutputTable[[#This Row],[Type]]&amp;OutputTable[[#This Row],[Source]]</f>
        <v>Unnamed ProjectWaiter.NumberSeizedTotal Number SeizedResource</v>
      </c>
      <c r="J260" cm="1">
        <f t="array" ref="J260">MAX(IF((ProjectInfoTable[ProjectName]=OutputTable[[#This Row],[ProjectName]]),(ProjectInfoTable[ProjectName]=OutputTable[[#This Row],[ProjectName]])*ProjectInfoTable[NumberOfReplications]))</f>
        <v>30</v>
      </c>
      <c r="K260" cm="1">
        <f t="array" ref="K260">IFERROR(AVERAGE(IF((OutputTable[GroupByKey]=OutputTable[[#This Row],[GroupByKey]]),(OutputTable[GroupByKey]=OutputTable[[#This Row],[GroupByKey]])*OutputTable[RecordedValue])),0)</f>
        <v>142.66666666666666</v>
      </c>
      <c r="L260" cm="1">
        <f t="array" ref="L260">IFERROR(_xlfn.STDEV.S(IF((OutputTable[GroupByKey]=OutputTable[[#This Row],[GroupByKey]]),(OutputTable[GroupByKey]=OutputTable[[#This Row],[GroupByKey]])*OutputTable[RecordedValue])),0)</f>
        <v>6.4505190025531167</v>
      </c>
      <c r="M260" cm="1">
        <f t="array" ref="M260">MAX(IF((ProjectInfoTable[ProjectName]=OutputTable[[#This Row],[ProjectName]]),(ProjectInfoTable[ProjectName]=OutputTable[[#This Row],[ProjectName]])*ProjectInfoTable[ConfidenceInterval]))</f>
        <v>0.95</v>
      </c>
      <c r="N2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260" cm="1">
        <f t="array" ref="O260">MIN(IF((OutputTable[GroupByKey]=OutputTable[[#This Row],[GroupByKey]]),(OutputTable[GroupByKey]=OutputTable[[#This Row],[GroupByKey]])*OutputTable[RecordedValue]))</f>
        <v>132</v>
      </c>
      <c r="P260" cm="1">
        <f t="array" ref="P260">MAX(IF((OutputTable[GroupByKey]=OutputTable[[#This Row],[GroupByKey]]),(OutputTable[GroupByKey]=OutputTable[[#This Row],[GroupByKey]])*OutputTable[RecordedValue]))</f>
        <v>160</v>
      </c>
    </row>
    <row r="261" spans="1:16" x14ac:dyDescent="0.2">
      <c r="A261" t="s">
        <v>67</v>
      </c>
      <c r="B261" t="s">
        <v>70</v>
      </c>
      <c r="C261">
        <v>20</v>
      </c>
      <c r="D261" t="s">
        <v>121</v>
      </c>
      <c r="E261" t="s">
        <v>107</v>
      </c>
      <c r="F261" t="s">
        <v>95</v>
      </c>
      <c r="G261">
        <v>7.9670120799933797E-2</v>
      </c>
      <c r="H261">
        <v>0</v>
      </c>
      <c r="I261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261" cm="1">
        <f t="array" ref="J261">MAX(IF((ProjectInfoTable[ProjectName]=OutputTable[[#This Row],[ProjectName]]),(ProjectInfoTable[ProjectName]=OutputTable[[#This Row],[ProjectName]])*ProjectInfoTable[NumberOfReplications]))</f>
        <v>30</v>
      </c>
      <c r="K261" cm="1">
        <f t="array" ref="K261">IFERROR(AVERAGE(IF((OutputTable[GroupByKey]=OutputTable[[#This Row],[GroupByKey]]),(OutputTable[GroupByKey]=OutputTable[[#This Row],[GroupByKey]])*OutputTable[RecordedValue])),0)</f>
        <v>8.3509459606410805E-2</v>
      </c>
      <c r="L261" cm="1">
        <f t="array" ref="L261">IFERROR(_xlfn.STDEV.S(IF((OutputTable[GroupByKey]=OutputTable[[#This Row],[GroupByKey]]),(OutputTable[GroupByKey]=OutputTable[[#This Row],[GroupByKey]])*OutputTable[RecordedValue])),0)</f>
        <v>3.5452891325333867E-3</v>
      </c>
      <c r="M261" cm="1">
        <f t="array" ref="M261">MAX(IF((ProjectInfoTable[ProjectName]=OutputTable[[#This Row],[ProjectName]]),(ProjectInfoTable[ProjectName]=OutputTable[[#This Row],[ProjectName]])*ProjectInfoTable[ConfidenceInterval]))</f>
        <v>0.95</v>
      </c>
      <c r="N2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261" cm="1">
        <f t="array" ref="O261">MIN(IF((OutputTable[GroupByKey]=OutputTable[[#This Row],[GroupByKey]]),(OutputTable[GroupByKey]=OutputTable[[#This Row],[GroupByKey]])*OutputTable[RecordedValue]))</f>
        <v>7.7176470357847096E-2</v>
      </c>
      <c r="P261" cm="1">
        <f t="array" ref="P261">MAX(IF((OutputTable[GroupByKey]=OutputTable[[#This Row],[GroupByKey]]),(OutputTable[GroupByKey]=OutputTable[[#This Row],[GroupByKey]])*OutputTable[RecordedValue]))</f>
        <v>9.2534326714405798E-2</v>
      </c>
    </row>
    <row r="262" spans="1:16" x14ac:dyDescent="0.2">
      <c r="A262" t="s">
        <v>67</v>
      </c>
      <c r="B262" t="s">
        <v>70</v>
      </c>
      <c r="C262">
        <v>21</v>
      </c>
      <c r="D262" t="s">
        <v>104</v>
      </c>
      <c r="E262" t="s">
        <v>105</v>
      </c>
      <c r="F262" t="s">
        <v>95</v>
      </c>
      <c r="G262">
        <v>284</v>
      </c>
      <c r="H262">
        <v>0</v>
      </c>
      <c r="I262" t="str">
        <f>OutputTable[[#This Row],[ProjectName]]&amp;OutputTable[[#This Row],[Name]]&amp;OutputTable[[#This Row],[Type]]&amp;OutputTable[[#This Row],[Source]]</f>
        <v>Unnamed ProjectCleaner.NumberSeizedTotal Number SeizedResource</v>
      </c>
      <c r="J262" cm="1">
        <f t="array" ref="J262">MAX(IF((ProjectInfoTable[ProjectName]=OutputTable[[#This Row],[ProjectName]]),(ProjectInfoTable[ProjectName]=OutputTable[[#This Row],[ProjectName]])*ProjectInfoTable[NumberOfReplications]))</f>
        <v>30</v>
      </c>
      <c r="K262" cm="1">
        <f t="array" ref="K262">IFERROR(AVERAGE(IF((OutputTable[GroupByKey]=OutputTable[[#This Row],[GroupByKey]]),(OutputTable[GroupByKey]=OutputTable[[#This Row],[GroupByKey]])*OutputTable[RecordedValue])),0)</f>
        <v>285.39999999999998</v>
      </c>
      <c r="L262" cm="1">
        <f t="array" ref="L262">IFERROR(_xlfn.STDEV.S(IF((OutputTable[GroupByKey]=OutputTable[[#This Row],[GroupByKey]]),(OutputTable[GroupByKey]=OutputTable[[#This Row],[GroupByKey]])*OutputTable[RecordedValue])),0)</f>
        <v>12.88302812979555</v>
      </c>
      <c r="M262" cm="1">
        <f t="array" ref="M262">MAX(IF((ProjectInfoTable[ProjectName]=OutputTable[[#This Row],[ProjectName]]),(ProjectInfoTable[ProjectName]=OutputTable[[#This Row],[ProjectName]])*ProjectInfoTable[ConfidenceInterval]))</f>
        <v>0.95</v>
      </c>
      <c r="N2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262" cm="1">
        <f t="array" ref="O262">MIN(IF((OutputTable[GroupByKey]=OutputTable[[#This Row],[GroupByKey]]),(OutputTable[GroupByKey]=OutputTable[[#This Row],[GroupByKey]])*OutputTable[RecordedValue]))</f>
        <v>266</v>
      </c>
      <c r="P262" cm="1">
        <f t="array" ref="P262">MAX(IF((OutputTable[GroupByKey]=OutputTable[[#This Row],[GroupByKey]]),(OutputTable[GroupByKey]=OutputTable[[#This Row],[GroupByKey]])*OutputTable[RecordedValue]))</f>
        <v>318</v>
      </c>
    </row>
    <row r="263" spans="1:16" x14ac:dyDescent="0.2">
      <c r="A263" t="s">
        <v>67</v>
      </c>
      <c r="B263" t="s">
        <v>70</v>
      </c>
      <c r="C263">
        <v>21</v>
      </c>
      <c r="D263" t="s">
        <v>106</v>
      </c>
      <c r="E263" t="s">
        <v>107</v>
      </c>
      <c r="F263" t="s">
        <v>95</v>
      </c>
      <c r="G263">
        <v>0.249122807017544</v>
      </c>
      <c r="H263">
        <v>0</v>
      </c>
      <c r="I263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263" cm="1">
        <f t="array" ref="J263">MAX(IF((ProjectInfoTable[ProjectName]=OutputTable[[#This Row],[ProjectName]]),(ProjectInfoTable[ProjectName]=OutputTable[[#This Row],[ProjectName]])*ProjectInfoTable[NumberOfReplications]))</f>
        <v>30</v>
      </c>
      <c r="K263" cm="1">
        <f t="array" ref="K263">IFERROR(AVERAGE(IF((OutputTable[GroupByKey]=OutputTable[[#This Row],[GroupByKey]]),(OutputTable[GroupByKey]=OutputTable[[#This Row],[GroupByKey]])*OutputTable[RecordedValue])),0)</f>
        <v>0.25031804088290305</v>
      </c>
      <c r="L263" cm="1">
        <f t="array" ref="L263">IFERROR(_xlfn.STDEV.S(IF((OutputTable[GroupByKey]=OutputTable[[#This Row],[GroupByKey]]),(OutputTable[GroupByKey]=OutputTable[[#This Row],[GroupByKey]])*OutputTable[RecordedValue])),0)</f>
        <v>1.1255778929137084E-2</v>
      </c>
      <c r="M263" cm="1">
        <f t="array" ref="M263">MAX(IF((ProjectInfoTable[ProjectName]=OutputTable[[#This Row],[ProjectName]]),(ProjectInfoTable[ProjectName]=OutputTable[[#This Row],[ProjectName]])*ProjectInfoTable[ConfidenceInterval]))</f>
        <v>0.95</v>
      </c>
      <c r="N2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263" cm="1">
        <f t="array" ref="O263">MIN(IF((OutputTable[GroupByKey]=OutputTable[[#This Row],[GroupByKey]]),(OutputTable[GroupByKey]=OutputTable[[#This Row],[GroupByKey]])*OutputTable[RecordedValue]))</f>
        <v>0.233333333333333</v>
      </c>
      <c r="P263" cm="1">
        <f t="array" ref="P263">MAX(IF((OutputTable[GroupByKey]=OutputTable[[#This Row],[GroupByKey]]),(OutputTable[GroupByKey]=OutputTable[[#This Row],[GroupByKey]])*OutputTable[RecordedValue]))</f>
        <v>0.27905535859326402</v>
      </c>
    </row>
    <row r="264" spans="1:16" x14ac:dyDescent="0.2">
      <c r="A264" t="s">
        <v>67</v>
      </c>
      <c r="B264" t="s">
        <v>70</v>
      </c>
      <c r="C264">
        <v>21</v>
      </c>
      <c r="D264" t="s">
        <v>108</v>
      </c>
      <c r="E264" t="s">
        <v>105</v>
      </c>
      <c r="F264" t="s">
        <v>95</v>
      </c>
      <c r="G264">
        <v>284</v>
      </c>
      <c r="H264">
        <v>0</v>
      </c>
      <c r="I264" t="str">
        <f>OutputTable[[#This Row],[ProjectName]]&amp;OutputTable[[#This Row],[Name]]&amp;OutputTable[[#This Row],[Type]]&amp;OutputTable[[#This Row],[Source]]</f>
        <v>Unnamed ProjectCooker.NumberSeizedTotal Number SeizedResource</v>
      </c>
      <c r="J264" cm="1">
        <f t="array" ref="J264">MAX(IF((ProjectInfoTable[ProjectName]=OutputTable[[#This Row],[ProjectName]]),(ProjectInfoTable[ProjectName]=OutputTable[[#This Row],[ProjectName]])*ProjectInfoTable[NumberOfReplications]))</f>
        <v>30</v>
      </c>
      <c r="K264" cm="1">
        <f t="array" ref="K264">IFERROR(AVERAGE(IF((OutputTable[GroupByKey]=OutputTable[[#This Row],[GroupByKey]]),(OutputTable[GroupByKey]=OutputTable[[#This Row],[GroupByKey]])*OutputTable[RecordedValue])),0)</f>
        <v>285.66666666666669</v>
      </c>
      <c r="L264" cm="1">
        <f t="array" ref="L264">IFERROR(_xlfn.STDEV.S(IF((OutputTable[GroupByKey]=OutputTable[[#This Row],[GroupByKey]]),(OutputTable[GroupByKey]=OutputTable[[#This Row],[GroupByKey]])*OutputTable[RecordedValue])),0)</f>
        <v>12.949060233064802</v>
      </c>
      <c r="M264" cm="1">
        <f t="array" ref="M264">MAX(IF((ProjectInfoTable[ProjectName]=OutputTable[[#This Row],[ProjectName]]),(ProjectInfoTable[ProjectName]=OutputTable[[#This Row],[ProjectName]])*ProjectInfoTable[ConfidenceInterval]))</f>
        <v>0.95</v>
      </c>
      <c r="N2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264" cm="1">
        <f t="array" ref="O264">MIN(IF((OutputTable[GroupByKey]=OutputTable[[#This Row],[GroupByKey]]),(OutputTable[GroupByKey]=OutputTable[[#This Row],[GroupByKey]])*OutputTable[RecordedValue]))</f>
        <v>264</v>
      </c>
      <c r="P264" cm="1">
        <f t="array" ref="P264">MAX(IF((OutputTable[GroupByKey]=OutputTable[[#This Row],[GroupByKey]]),(OutputTable[GroupByKey]=OutputTable[[#This Row],[GroupByKey]])*OutputTable[RecordedValue]))</f>
        <v>320</v>
      </c>
    </row>
    <row r="265" spans="1:16" x14ac:dyDescent="0.2">
      <c r="A265" t="s">
        <v>67</v>
      </c>
      <c r="B265" t="s">
        <v>70</v>
      </c>
      <c r="C265">
        <v>21</v>
      </c>
      <c r="D265" t="s">
        <v>109</v>
      </c>
      <c r="E265" t="s">
        <v>107</v>
      </c>
      <c r="F265" t="s">
        <v>95</v>
      </c>
      <c r="G265">
        <v>0.62292363405547502</v>
      </c>
      <c r="H265">
        <v>0</v>
      </c>
      <c r="I265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265" cm="1">
        <f t="array" ref="J265">MAX(IF((ProjectInfoTable[ProjectName]=OutputTable[[#This Row],[ProjectName]]),(ProjectInfoTable[ProjectName]=OutputTable[[#This Row],[ProjectName]])*ProjectInfoTable[NumberOfReplications]))</f>
        <v>30</v>
      </c>
      <c r="K265" cm="1">
        <f t="array" ref="K265">IFERROR(AVERAGE(IF((OutputTable[GroupByKey]=OutputTable[[#This Row],[GroupByKey]]),(OutputTable[GroupByKey]=OutputTable[[#This Row],[GroupByKey]])*OutputTable[RecordedValue])),0)</f>
        <v>0.62721981794251769</v>
      </c>
      <c r="L265" cm="1">
        <f t="array" ref="L265">IFERROR(_xlfn.STDEV.S(IF((OutputTable[GroupByKey]=OutputTable[[#This Row],[GroupByKey]]),(OutputTable[GroupByKey]=OutputTable[[#This Row],[GroupByKey]])*OutputTable[RecordedValue])),0)</f>
        <v>2.6376107220918699E-2</v>
      </c>
      <c r="M265" cm="1">
        <f t="array" ref="M265">MAX(IF((ProjectInfoTable[ProjectName]=OutputTable[[#This Row],[ProjectName]]),(ProjectInfoTable[ProjectName]=OutputTable[[#This Row],[ProjectName]])*ProjectInfoTable[ConfidenceInterval]))</f>
        <v>0.95</v>
      </c>
      <c r="N2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265" cm="1">
        <f t="array" ref="O265">MIN(IF((OutputTable[GroupByKey]=OutputTable[[#This Row],[GroupByKey]]),(OutputTable[GroupByKey]=OutputTable[[#This Row],[GroupByKey]])*OutputTable[RecordedValue]))</f>
        <v>0.58256422876290004</v>
      </c>
      <c r="P265" cm="1">
        <f t="array" ref="P265">MAX(IF((OutputTable[GroupByKey]=OutputTable[[#This Row],[GroupByKey]]),(OutputTable[GroupByKey]=OutputTable[[#This Row],[GroupByKey]])*OutputTable[RecordedValue]))</f>
        <v>0.68643238055161704</v>
      </c>
    </row>
    <row r="266" spans="1:16" x14ac:dyDescent="0.2">
      <c r="A266" t="s">
        <v>67</v>
      </c>
      <c r="B266" t="s">
        <v>70</v>
      </c>
      <c r="C266">
        <v>21</v>
      </c>
      <c r="D266" t="s">
        <v>110</v>
      </c>
      <c r="E266" t="s">
        <v>111</v>
      </c>
      <c r="F266" t="s">
        <v>76</v>
      </c>
      <c r="G266">
        <v>846</v>
      </c>
      <c r="H266">
        <v>0</v>
      </c>
      <c r="I266" t="str">
        <f>OutputTable[[#This Row],[ProjectName]]&amp;OutputTable[[#This Row],[Name]]&amp;OutputTable[[#This Row],[Type]]&amp;OutputTable[[#This Row],[Source]]</f>
        <v>Unnamed ProjectCustomer.NumberInNumber InEntity</v>
      </c>
      <c r="J266" cm="1">
        <f t="array" ref="J266">MAX(IF((ProjectInfoTable[ProjectName]=OutputTable[[#This Row],[ProjectName]]),(ProjectInfoTable[ProjectName]=OutputTable[[#This Row],[ProjectName]])*ProjectInfoTable[NumberOfReplications]))</f>
        <v>30</v>
      </c>
      <c r="K266" cm="1">
        <f t="array" ref="K266">IFERROR(AVERAGE(IF((OutputTable[GroupByKey]=OutputTable[[#This Row],[GroupByKey]]),(OutputTable[GroupByKey]=OutputTable[[#This Row],[GroupByKey]])*OutputTable[RecordedValue])),0)</f>
        <v>855.93333333333328</v>
      </c>
      <c r="L266" cm="1">
        <f t="array" ref="L266">IFERROR(_xlfn.STDEV.S(IF((OutputTable[GroupByKey]=OutputTable[[#This Row],[GroupByKey]]),(OutputTable[GroupByKey]=OutputTable[[#This Row],[GroupByKey]])*OutputTable[RecordedValue])),0)</f>
        <v>38.659373073509371</v>
      </c>
      <c r="M266" cm="1">
        <f t="array" ref="M266">MAX(IF((ProjectInfoTable[ProjectName]=OutputTable[[#This Row],[ProjectName]]),(ProjectInfoTable[ProjectName]=OutputTable[[#This Row],[ProjectName]])*ProjectInfoTable[ConfidenceInterval]))</f>
        <v>0.95</v>
      </c>
      <c r="N2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266" cm="1">
        <f t="array" ref="O266">MIN(IF((OutputTable[GroupByKey]=OutputTable[[#This Row],[GroupByKey]]),(OutputTable[GroupByKey]=OutputTable[[#This Row],[GroupByKey]])*OutputTable[RecordedValue]))</f>
        <v>792</v>
      </c>
      <c r="P266" cm="1">
        <f t="array" ref="P266">MAX(IF((OutputTable[GroupByKey]=OutputTable[[#This Row],[GroupByKey]]),(OutputTable[GroupByKey]=OutputTable[[#This Row],[GroupByKey]])*OutputTable[RecordedValue]))</f>
        <v>958</v>
      </c>
    </row>
    <row r="267" spans="1:16" x14ac:dyDescent="0.2">
      <c r="A267" t="s">
        <v>67</v>
      </c>
      <c r="B267" t="s">
        <v>70</v>
      </c>
      <c r="C267">
        <v>21</v>
      </c>
      <c r="D267" t="s">
        <v>112</v>
      </c>
      <c r="E267" t="s">
        <v>113</v>
      </c>
      <c r="F267" t="s">
        <v>76</v>
      </c>
      <c r="G267">
        <v>852</v>
      </c>
      <c r="H267">
        <v>0</v>
      </c>
      <c r="I267" t="str">
        <f>OutputTable[[#This Row],[ProjectName]]&amp;OutputTable[[#This Row],[Name]]&amp;OutputTable[[#This Row],[Type]]&amp;OutputTable[[#This Row],[Source]]</f>
        <v>Unnamed ProjectCustomer.NumberOutNumber OutEntity</v>
      </c>
      <c r="J267" cm="1">
        <f t="array" ref="J267">MAX(IF((ProjectInfoTable[ProjectName]=OutputTable[[#This Row],[ProjectName]]),(ProjectInfoTable[ProjectName]=OutputTable[[#This Row],[ProjectName]])*ProjectInfoTable[NumberOfReplications]))</f>
        <v>30</v>
      </c>
      <c r="K267" cm="1">
        <f t="array" ref="K267">IFERROR(AVERAGE(IF((OutputTable[GroupByKey]=OutputTable[[#This Row],[GroupByKey]]),(OutputTable[GroupByKey]=OutputTable[[#This Row],[GroupByKey]])*OutputTable[RecordedValue])),0)</f>
        <v>855.3</v>
      </c>
      <c r="L267" cm="1">
        <f t="array" ref="L267">IFERROR(_xlfn.STDEV.S(IF((OutputTable[GroupByKey]=OutputTable[[#This Row],[GroupByKey]]),(OutputTable[GroupByKey]=OutputTable[[#This Row],[GroupByKey]])*OutputTable[RecordedValue])),0)</f>
        <v>38.322722169527033</v>
      </c>
      <c r="M267" cm="1">
        <f t="array" ref="M267">MAX(IF((ProjectInfoTable[ProjectName]=OutputTable[[#This Row],[ProjectName]]),(ProjectInfoTable[ProjectName]=OutputTable[[#This Row],[ProjectName]])*ProjectInfoTable[ConfidenceInterval]))</f>
        <v>0.95</v>
      </c>
      <c r="N2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267" cm="1">
        <f t="array" ref="O267">MIN(IF((OutputTable[GroupByKey]=OutputTable[[#This Row],[GroupByKey]]),(OutputTable[GroupByKey]=OutputTable[[#This Row],[GroupByKey]])*OutputTable[RecordedValue]))</f>
        <v>798</v>
      </c>
      <c r="P267" cm="1">
        <f t="array" ref="P267">MAX(IF((OutputTable[GroupByKey]=OutputTable[[#This Row],[GroupByKey]]),(OutputTable[GroupByKey]=OutputTable[[#This Row],[GroupByKey]])*OutputTable[RecordedValue]))</f>
        <v>954</v>
      </c>
    </row>
    <row r="268" spans="1:16" x14ac:dyDescent="0.2">
      <c r="A268" t="s">
        <v>67</v>
      </c>
      <c r="B268" t="s">
        <v>70</v>
      </c>
      <c r="C268">
        <v>21</v>
      </c>
      <c r="D268" t="s">
        <v>114</v>
      </c>
      <c r="E268" t="s">
        <v>105</v>
      </c>
      <c r="F268" t="s">
        <v>95</v>
      </c>
      <c r="G268">
        <v>338</v>
      </c>
      <c r="H268">
        <v>0</v>
      </c>
      <c r="I268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268" cm="1">
        <f t="array" ref="J268">MAX(IF((ProjectInfoTable[ProjectName]=OutputTable[[#This Row],[ProjectName]]),(ProjectInfoTable[ProjectName]=OutputTable[[#This Row],[ProjectName]])*ProjectInfoTable[NumberOfReplications]))</f>
        <v>30</v>
      </c>
      <c r="K268" cm="1">
        <f t="array" ref="K268">IFERROR(AVERAGE(IF((OutputTable[GroupByKey]=OutputTable[[#This Row],[GroupByKey]]),(OutputTable[GroupByKey]=OutputTable[[#This Row],[GroupByKey]])*OutputTable[RecordedValue])),0)</f>
        <v>344.6</v>
      </c>
      <c r="L268" cm="1">
        <f t="array" ref="L268">IFERROR(_xlfn.STDEV.S(IF((OutputTable[GroupByKey]=OutputTable[[#This Row],[GroupByKey]]),(OutputTable[GroupByKey]=OutputTable[[#This Row],[GroupByKey]])*OutputTable[RecordedValue])),0)</f>
        <v>21.890952311479008</v>
      </c>
      <c r="M268" cm="1">
        <f t="array" ref="M268">MAX(IF((ProjectInfoTable[ProjectName]=OutputTable[[#This Row],[ProjectName]]),(ProjectInfoTable[ProjectName]=OutputTable[[#This Row],[ProjectName]])*ProjectInfoTable[ConfidenceInterval]))</f>
        <v>0.95</v>
      </c>
      <c r="N2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268" cm="1">
        <f t="array" ref="O268">MIN(IF((OutputTable[GroupByKey]=OutputTable[[#This Row],[GroupByKey]]),(OutputTable[GroupByKey]=OutputTable[[#This Row],[GroupByKey]])*OutputTable[RecordedValue]))</f>
        <v>311</v>
      </c>
      <c r="P268" cm="1">
        <f t="array" ref="P268">MAX(IF((OutputTable[GroupByKey]=OutputTable[[#This Row],[GroupByKey]]),(OutputTable[GroupByKey]=OutputTable[[#This Row],[GroupByKey]])*OutputTable[RecordedValue]))</f>
        <v>396</v>
      </c>
    </row>
    <row r="269" spans="1:16" x14ac:dyDescent="0.2">
      <c r="A269" t="s">
        <v>67</v>
      </c>
      <c r="B269" t="s">
        <v>70</v>
      </c>
      <c r="C269">
        <v>21</v>
      </c>
      <c r="D269" t="s">
        <v>115</v>
      </c>
      <c r="E269" t="s">
        <v>107</v>
      </c>
      <c r="F269" t="s">
        <v>95</v>
      </c>
      <c r="G269">
        <v>1.8530701754385999E-3</v>
      </c>
      <c r="H269">
        <v>0</v>
      </c>
      <c r="I269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269" cm="1">
        <f t="array" ref="J269">MAX(IF((ProjectInfoTable[ProjectName]=OutputTable[[#This Row],[ProjectName]]),(ProjectInfoTable[ProjectName]=OutputTable[[#This Row],[ProjectName]])*ProjectInfoTable[NumberOfReplications]))</f>
        <v>30</v>
      </c>
      <c r="K269" cm="1">
        <f t="array" ref="K269">IFERROR(AVERAGE(IF((OutputTable[GroupByKey]=OutputTable[[#This Row],[GroupByKey]]),(OutputTable[GroupByKey]=OutputTable[[#This Row],[GroupByKey]])*OutputTable[RecordedValue])),0)</f>
        <v>1.889307012236451E-3</v>
      </c>
      <c r="L269" cm="1">
        <f t="array" ref="L269">IFERROR(_xlfn.STDEV.S(IF((OutputTable[GroupByKey]=OutputTable[[#This Row],[GroupByKey]]),(OutputTable[GroupByKey]=OutputTable[[#This Row],[GroupByKey]])*OutputTable[RecordedValue])),0)</f>
        <v>1.2015303758165521E-4</v>
      </c>
      <c r="M269" cm="1">
        <f t="array" ref="M269">MAX(IF((ProjectInfoTable[ProjectName]=OutputTable[[#This Row],[ProjectName]]),(ProjectInfoTable[ProjectName]=OutputTable[[#This Row],[ProjectName]])*ProjectInfoTable[ConfidenceInterval]))</f>
        <v>0.95</v>
      </c>
      <c r="N2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269" cm="1">
        <f t="array" ref="O269">MIN(IF((OutputTable[GroupByKey]=OutputTable[[#This Row],[GroupByKey]]),(OutputTable[GroupByKey]=OutputTable[[#This Row],[GroupByKey]])*OutputTable[RecordedValue]))</f>
        <v>1.70504385964912E-3</v>
      </c>
      <c r="P269" cm="1">
        <f t="array" ref="P269">MAX(IF((OutputTable[GroupByKey]=OutputTable[[#This Row],[GroupByKey]]),(OutputTable[GroupByKey]=OutputTable[[#This Row],[GroupByKey]])*OutputTable[RecordedValue]))</f>
        <v>2.17031677925951E-3</v>
      </c>
    </row>
    <row r="270" spans="1:16" x14ac:dyDescent="0.2">
      <c r="A270" t="s">
        <v>67</v>
      </c>
      <c r="B270" t="s">
        <v>70</v>
      </c>
      <c r="C270">
        <v>21</v>
      </c>
      <c r="D270" t="s">
        <v>116</v>
      </c>
      <c r="E270" t="s">
        <v>105</v>
      </c>
      <c r="F270" t="s">
        <v>95</v>
      </c>
      <c r="G270">
        <v>226</v>
      </c>
      <c r="H270">
        <v>0</v>
      </c>
      <c r="I270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270" cm="1">
        <f t="array" ref="J270">MAX(IF((ProjectInfoTable[ProjectName]=OutputTable[[#This Row],[ProjectName]]),(ProjectInfoTable[ProjectName]=OutputTable[[#This Row],[ProjectName]])*ProjectInfoTable[NumberOfReplications]))</f>
        <v>30</v>
      </c>
      <c r="K270" cm="1">
        <f t="array" ref="K270">IFERROR(AVERAGE(IF((OutputTable[GroupByKey]=OutputTable[[#This Row],[GroupByKey]]),(OutputTable[GroupByKey]=OutputTable[[#This Row],[GroupByKey]])*OutputTable[RecordedValue])),0)</f>
        <v>225.93333333333334</v>
      </c>
      <c r="L270" cm="1">
        <f t="array" ref="L270">IFERROR(_xlfn.STDEV.S(IF((OutputTable[GroupByKey]=OutputTable[[#This Row],[GroupByKey]]),(OutputTable[GroupByKey]=OutputTable[[#This Row],[GroupByKey]])*OutputTable[RecordedValue])),0)</f>
        <v>12.403929670244338</v>
      </c>
      <c r="M270" cm="1">
        <f t="array" ref="M270">MAX(IF((ProjectInfoTable[ProjectName]=OutputTable[[#This Row],[ProjectName]]),(ProjectInfoTable[ProjectName]=OutputTable[[#This Row],[ProjectName]])*ProjectInfoTable[ConfidenceInterval]))</f>
        <v>0.95</v>
      </c>
      <c r="N2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270" cm="1">
        <f t="array" ref="O270">MIN(IF((OutputTable[GroupByKey]=OutputTable[[#This Row],[GroupByKey]]),(OutputTable[GroupByKey]=OutputTable[[#This Row],[GroupByKey]])*OutputTable[RecordedValue]))</f>
        <v>205</v>
      </c>
      <c r="P270" cm="1">
        <f t="array" ref="P270">MAX(IF((OutputTable[GroupByKey]=OutputTable[[#This Row],[GroupByKey]]),(OutputTable[GroupByKey]=OutputTable[[#This Row],[GroupByKey]])*OutputTable[RecordedValue]))</f>
        <v>253</v>
      </c>
    </row>
    <row r="271" spans="1:16" x14ac:dyDescent="0.2">
      <c r="A271" t="s">
        <v>67</v>
      </c>
      <c r="B271" t="s">
        <v>70</v>
      </c>
      <c r="C271">
        <v>21</v>
      </c>
      <c r="D271" t="s">
        <v>117</v>
      </c>
      <c r="E271" t="s">
        <v>107</v>
      </c>
      <c r="F271" t="s">
        <v>95</v>
      </c>
      <c r="G271">
        <v>4.9561403508772001E-3</v>
      </c>
      <c r="H271">
        <v>0</v>
      </c>
      <c r="I271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271" cm="1">
        <f t="array" ref="J271">MAX(IF((ProjectInfoTable[ProjectName]=OutputTable[[#This Row],[ProjectName]]),(ProjectInfoTable[ProjectName]=OutputTable[[#This Row],[ProjectName]])*ProjectInfoTable[NumberOfReplications]))</f>
        <v>30</v>
      </c>
      <c r="K271" cm="1">
        <f t="array" ref="K271">IFERROR(AVERAGE(IF((OutputTable[GroupByKey]=OutputTable[[#This Row],[GroupByKey]]),(OutputTable[GroupByKey]=OutputTable[[#This Row],[GroupByKey]])*OutputTable[RecordedValue])),0)</f>
        <v>4.9565971649701106E-3</v>
      </c>
      <c r="L271" cm="1">
        <f t="array" ref="L271">IFERROR(_xlfn.STDEV.S(IF((OutputTable[GroupByKey]=OutputTable[[#This Row],[GroupByKey]]),(OutputTable[GroupByKey]=OutputTable[[#This Row],[GroupByKey]])*OutputTable[RecordedValue])),0)</f>
        <v>2.7167433725199517E-4</v>
      </c>
      <c r="M271" cm="1">
        <f t="array" ref="M271">MAX(IF((ProjectInfoTable[ProjectName]=OutputTable[[#This Row],[ProjectName]]),(ProjectInfoTable[ProjectName]=OutputTable[[#This Row],[ProjectName]])*ProjectInfoTable[ConfidenceInterval]))</f>
        <v>0.95</v>
      </c>
      <c r="N2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271" cm="1">
        <f t="array" ref="O271">MIN(IF((OutputTable[GroupByKey]=OutputTable[[#This Row],[GroupByKey]]),(OutputTable[GroupByKey]=OutputTable[[#This Row],[GroupByKey]])*OutputTable[RecordedValue]))</f>
        <v>4.4956140350877203E-3</v>
      </c>
      <c r="P271" cm="1">
        <f t="array" ref="P271">MAX(IF((OutputTable[GroupByKey]=OutputTable[[#This Row],[GroupByKey]]),(OutputTable[GroupByKey]=OutputTable[[#This Row],[GroupByKey]])*OutputTable[RecordedValue]))</f>
        <v>5.5482456140350904E-3</v>
      </c>
    </row>
    <row r="272" spans="1:16" x14ac:dyDescent="0.2">
      <c r="A272" t="s">
        <v>67</v>
      </c>
      <c r="B272" t="s">
        <v>70</v>
      </c>
      <c r="C272">
        <v>21</v>
      </c>
      <c r="D272" t="s">
        <v>118</v>
      </c>
      <c r="E272" t="s">
        <v>113</v>
      </c>
      <c r="F272" t="s">
        <v>119</v>
      </c>
      <c r="G272">
        <v>284</v>
      </c>
      <c r="H272">
        <v>0</v>
      </c>
      <c r="I272" t="str">
        <f>OutputTable[[#This Row],[ProjectName]]&amp;OutputTable[[#This Row],[Name]]&amp;OutputTable[[#This Row],[Type]]&amp;OutputTable[[#This Row],[Source]]</f>
        <v>Unnamed ProjectSystem.NumberOutNumber OutSystem</v>
      </c>
      <c r="J272" cm="1">
        <f t="array" ref="J272">MAX(IF((ProjectInfoTable[ProjectName]=OutputTable[[#This Row],[ProjectName]]),(ProjectInfoTable[ProjectName]=OutputTable[[#This Row],[ProjectName]])*ProjectInfoTable[NumberOfReplications]))</f>
        <v>30</v>
      </c>
      <c r="K272" cm="1">
        <f t="array" ref="K272">IFERROR(AVERAGE(IF((OutputTable[GroupByKey]=OutputTable[[#This Row],[GroupByKey]]),(OutputTable[GroupByKey]=OutputTable[[#This Row],[GroupByKey]])*OutputTable[RecordedValue])),0)</f>
        <v>285.3</v>
      </c>
      <c r="L272" cm="1">
        <f t="array" ref="L272">IFERROR(_xlfn.STDEV.S(IF((OutputTable[GroupByKey]=OutputTable[[#This Row],[GroupByKey]]),(OutputTable[GroupByKey]=OutputTable[[#This Row],[GroupByKey]])*OutputTable[RecordedValue])),0)</f>
        <v>12.739160368585981</v>
      </c>
      <c r="M272" cm="1">
        <f t="array" ref="M272">MAX(IF((ProjectInfoTable[ProjectName]=OutputTable[[#This Row],[ProjectName]]),(ProjectInfoTable[ProjectName]=OutputTable[[#This Row],[ProjectName]])*ProjectInfoTable[ConfidenceInterval]))</f>
        <v>0.95</v>
      </c>
      <c r="N2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272" cm="1">
        <f t="array" ref="O272">MIN(IF((OutputTable[GroupByKey]=OutputTable[[#This Row],[GroupByKey]]),(OutputTable[GroupByKey]=OutputTable[[#This Row],[GroupByKey]])*OutputTable[RecordedValue]))</f>
        <v>266</v>
      </c>
      <c r="P272" cm="1">
        <f t="array" ref="P272">MAX(IF((OutputTable[GroupByKey]=OutputTable[[#This Row],[GroupByKey]]),(OutputTable[GroupByKey]=OutputTable[[#This Row],[GroupByKey]])*OutputTable[RecordedValue]))</f>
        <v>318</v>
      </c>
    </row>
    <row r="273" spans="1:16" x14ac:dyDescent="0.2">
      <c r="A273" t="s">
        <v>67</v>
      </c>
      <c r="B273" t="s">
        <v>70</v>
      </c>
      <c r="C273">
        <v>21</v>
      </c>
      <c r="D273" t="s">
        <v>120</v>
      </c>
      <c r="E273" t="s">
        <v>105</v>
      </c>
      <c r="F273" t="s">
        <v>95</v>
      </c>
      <c r="G273">
        <v>141</v>
      </c>
      <c r="H273">
        <v>0</v>
      </c>
      <c r="I273" t="str">
        <f>OutputTable[[#This Row],[ProjectName]]&amp;OutputTable[[#This Row],[Name]]&amp;OutputTable[[#This Row],[Type]]&amp;OutputTable[[#This Row],[Source]]</f>
        <v>Unnamed ProjectWaiter.NumberSeizedTotal Number SeizedResource</v>
      </c>
      <c r="J273" cm="1">
        <f t="array" ref="J273">MAX(IF((ProjectInfoTable[ProjectName]=OutputTable[[#This Row],[ProjectName]]),(ProjectInfoTable[ProjectName]=OutputTable[[#This Row],[ProjectName]])*ProjectInfoTable[NumberOfReplications]))</f>
        <v>30</v>
      </c>
      <c r="K273" cm="1">
        <f t="array" ref="K273">IFERROR(AVERAGE(IF((OutputTable[GroupByKey]=OutputTable[[#This Row],[GroupByKey]]),(OutputTable[GroupByKey]=OutputTable[[#This Row],[GroupByKey]])*OutputTable[RecordedValue])),0)</f>
        <v>142.66666666666666</v>
      </c>
      <c r="L273" cm="1">
        <f t="array" ref="L273">IFERROR(_xlfn.STDEV.S(IF((OutputTable[GroupByKey]=OutputTable[[#This Row],[GroupByKey]]),(OutputTable[GroupByKey]=OutputTable[[#This Row],[GroupByKey]])*OutputTable[RecordedValue])),0)</f>
        <v>6.4505190025531167</v>
      </c>
      <c r="M273" cm="1">
        <f t="array" ref="M273">MAX(IF((ProjectInfoTable[ProjectName]=OutputTable[[#This Row],[ProjectName]]),(ProjectInfoTable[ProjectName]=OutputTable[[#This Row],[ProjectName]])*ProjectInfoTable[ConfidenceInterval]))</f>
        <v>0.95</v>
      </c>
      <c r="N2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273" cm="1">
        <f t="array" ref="O273">MIN(IF((OutputTable[GroupByKey]=OutputTable[[#This Row],[GroupByKey]]),(OutputTable[GroupByKey]=OutputTable[[#This Row],[GroupByKey]])*OutputTable[RecordedValue]))</f>
        <v>132</v>
      </c>
      <c r="P273" cm="1">
        <f t="array" ref="P273">MAX(IF((OutputTable[GroupByKey]=OutputTable[[#This Row],[GroupByKey]]),(OutputTable[GroupByKey]=OutputTable[[#This Row],[GroupByKey]])*OutputTable[RecordedValue]))</f>
        <v>160</v>
      </c>
    </row>
    <row r="274" spans="1:16" x14ac:dyDescent="0.2">
      <c r="A274" t="s">
        <v>67</v>
      </c>
      <c r="B274" t="s">
        <v>70</v>
      </c>
      <c r="C274">
        <v>21</v>
      </c>
      <c r="D274" t="s">
        <v>121</v>
      </c>
      <c r="E274" t="s">
        <v>107</v>
      </c>
      <c r="F274" t="s">
        <v>95</v>
      </c>
      <c r="G274">
        <v>8.3367628800741805E-2</v>
      </c>
      <c r="H274">
        <v>0</v>
      </c>
      <c r="I274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274" cm="1">
        <f t="array" ref="J274">MAX(IF((ProjectInfoTable[ProjectName]=OutputTable[[#This Row],[ProjectName]]),(ProjectInfoTable[ProjectName]=OutputTable[[#This Row],[ProjectName]])*ProjectInfoTable[NumberOfReplications]))</f>
        <v>30</v>
      </c>
      <c r="K274" cm="1">
        <f t="array" ref="K274">IFERROR(AVERAGE(IF((OutputTable[GroupByKey]=OutputTable[[#This Row],[GroupByKey]]),(OutputTable[GroupByKey]=OutputTable[[#This Row],[GroupByKey]])*OutputTable[RecordedValue])),0)</f>
        <v>8.3509459606410805E-2</v>
      </c>
      <c r="L274" cm="1">
        <f t="array" ref="L274">IFERROR(_xlfn.STDEV.S(IF((OutputTable[GroupByKey]=OutputTable[[#This Row],[GroupByKey]]),(OutputTable[GroupByKey]=OutputTable[[#This Row],[GroupByKey]])*OutputTable[RecordedValue])),0)</f>
        <v>3.5452891325333867E-3</v>
      </c>
      <c r="M274" cm="1">
        <f t="array" ref="M274">MAX(IF((ProjectInfoTable[ProjectName]=OutputTable[[#This Row],[ProjectName]]),(ProjectInfoTable[ProjectName]=OutputTable[[#This Row],[ProjectName]])*ProjectInfoTable[ConfidenceInterval]))</f>
        <v>0.95</v>
      </c>
      <c r="N2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274" cm="1">
        <f t="array" ref="O274">MIN(IF((OutputTable[GroupByKey]=OutputTable[[#This Row],[GroupByKey]]),(OutputTable[GroupByKey]=OutputTable[[#This Row],[GroupByKey]])*OutputTable[RecordedValue]))</f>
        <v>7.7176470357847096E-2</v>
      </c>
      <c r="P274" cm="1">
        <f t="array" ref="P274">MAX(IF((OutputTable[GroupByKey]=OutputTable[[#This Row],[GroupByKey]]),(OutputTable[GroupByKey]=OutputTable[[#This Row],[GroupByKey]])*OutputTable[RecordedValue]))</f>
        <v>9.2534326714405798E-2</v>
      </c>
    </row>
    <row r="275" spans="1:16" x14ac:dyDescent="0.2">
      <c r="A275" t="s">
        <v>67</v>
      </c>
      <c r="B275" t="s">
        <v>70</v>
      </c>
      <c r="C275">
        <v>22</v>
      </c>
      <c r="D275" t="s">
        <v>104</v>
      </c>
      <c r="E275" t="s">
        <v>105</v>
      </c>
      <c r="F275" t="s">
        <v>95</v>
      </c>
      <c r="G275">
        <v>282</v>
      </c>
      <c r="H275">
        <v>0</v>
      </c>
      <c r="I275" t="str">
        <f>OutputTable[[#This Row],[ProjectName]]&amp;OutputTable[[#This Row],[Name]]&amp;OutputTable[[#This Row],[Type]]&amp;OutputTable[[#This Row],[Source]]</f>
        <v>Unnamed ProjectCleaner.NumberSeizedTotal Number SeizedResource</v>
      </c>
      <c r="J275" cm="1">
        <f t="array" ref="J275">MAX(IF((ProjectInfoTable[ProjectName]=OutputTable[[#This Row],[ProjectName]]),(ProjectInfoTable[ProjectName]=OutputTable[[#This Row],[ProjectName]])*ProjectInfoTable[NumberOfReplications]))</f>
        <v>30</v>
      </c>
      <c r="K275" cm="1">
        <f t="array" ref="K275">IFERROR(AVERAGE(IF((OutputTable[GroupByKey]=OutputTable[[#This Row],[GroupByKey]]),(OutputTable[GroupByKey]=OutputTable[[#This Row],[GroupByKey]])*OutputTable[RecordedValue])),0)</f>
        <v>285.39999999999998</v>
      </c>
      <c r="L275" cm="1">
        <f t="array" ref="L275">IFERROR(_xlfn.STDEV.S(IF((OutputTable[GroupByKey]=OutputTable[[#This Row],[GroupByKey]]),(OutputTable[GroupByKey]=OutputTable[[#This Row],[GroupByKey]])*OutputTable[RecordedValue])),0)</f>
        <v>12.88302812979555</v>
      </c>
      <c r="M275" cm="1">
        <f t="array" ref="M275">MAX(IF((ProjectInfoTable[ProjectName]=OutputTable[[#This Row],[ProjectName]]),(ProjectInfoTable[ProjectName]=OutputTable[[#This Row],[ProjectName]])*ProjectInfoTable[ConfidenceInterval]))</f>
        <v>0.95</v>
      </c>
      <c r="N2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275" cm="1">
        <f t="array" ref="O275">MIN(IF((OutputTable[GroupByKey]=OutputTable[[#This Row],[GroupByKey]]),(OutputTable[GroupByKey]=OutputTable[[#This Row],[GroupByKey]])*OutputTable[RecordedValue]))</f>
        <v>266</v>
      </c>
      <c r="P275" cm="1">
        <f t="array" ref="P275">MAX(IF((OutputTable[GroupByKey]=OutputTable[[#This Row],[GroupByKey]]),(OutputTable[GroupByKey]=OutputTable[[#This Row],[GroupByKey]])*OutputTable[RecordedValue]))</f>
        <v>318</v>
      </c>
    </row>
    <row r="276" spans="1:16" x14ac:dyDescent="0.2">
      <c r="A276" t="s">
        <v>67</v>
      </c>
      <c r="B276" t="s">
        <v>70</v>
      </c>
      <c r="C276">
        <v>22</v>
      </c>
      <c r="D276" t="s">
        <v>106</v>
      </c>
      <c r="E276" t="s">
        <v>107</v>
      </c>
      <c r="F276" t="s">
        <v>95</v>
      </c>
      <c r="G276">
        <v>0.24775984932317899</v>
      </c>
      <c r="H276">
        <v>0</v>
      </c>
      <c r="I276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276" cm="1">
        <f t="array" ref="J276">MAX(IF((ProjectInfoTable[ProjectName]=OutputTable[[#This Row],[ProjectName]]),(ProjectInfoTable[ProjectName]=OutputTable[[#This Row],[ProjectName]])*ProjectInfoTable[NumberOfReplications]))</f>
        <v>30</v>
      </c>
      <c r="K276" cm="1">
        <f t="array" ref="K276">IFERROR(AVERAGE(IF((OutputTable[GroupByKey]=OutputTable[[#This Row],[GroupByKey]]),(OutputTable[GroupByKey]=OutputTable[[#This Row],[GroupByKey]])*OutputTable[RecordedValue])),0)</f>
        <v>0.25031804088290305</v>
      </c>
      <c r="L276" cm="1">
        <f t="array" ref="L276">IFERROR(_xlfn.STDEV.S(IF((OutputTable[GroupByKey]=OutputTable[[#This Row],[GroupByKey]]),(OutputTable[GroupByKey]=OutputTable[[#This Row],[GroupByKey]])*OutputTable[RecordedValue])),0)</f>
        <v>1.1255778929137084E-2</v>
      </c>
      <c r="M276" cm="1">
        <f t="array" ref="M276">MAX(IF((ProjectInfoTable[ProjectName]=OutputTable[[#This Row],[ProjectName]]),(ProjectInfoTable[ProjectName]=OutputTable[[#This Row],[ProjectName]])*ProjectInfoTable[ConfidenceInterval]))</f>
        <v>0.95</v>
      </c>
      <c r="N2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276" cm="1">
        <f t="array" ref="O276">MIN(IF((OutputTable[GroupByKey]=OutputTable[[#This Row],[GroupByKey]]),(OutputTable[GroupByKey]=OutputTable[[#This Row],[GroupByKey]])*OutputTable[RecordedValue]))</f>
        <v>0.233333333333333</v>
      </c>
      <c r="P276" cm="1">
        <f t="array" ref="P276">MAX(IF((OutputTable[GroupByKey]=OutputTable[[#This Row],[GroupByKey]]),(OutputTable[GroupByKey]=OutputTable[[#This Row],[GroupByKey]])*OutputTable[RecordedValue]))</f>
        <v>0.27905535859326402</v>
      </c>
    </row>
    <row r="277" spans="1:16" x14ac:dyDescent="0.2">
      <c r="A277" t="s">
        <v>67</v>
      </c>
      <c r="B277" t="s">
        <v>70</v>
      </c>
      <c r="C277">
        <v>22</v>
      </c>
      <c r="D277" t="s">
        <v>108</v>
      </c>
      <c r="E277" t="s">
        <v>105</v>
      </c>
      <c r="F277" t="s">
        <v>95</v>
      </c>
      <c r="G277">
        <v>282</v>
      </c>
      <c r="H277">
        <v>0</v>
      </c>
      <c r="I277" t="str">
        <f>OutputTable[[#This Row],[ProjectName]]&amp;OutputTable[[#This Row],[Name]]&amp;OutputTable[[#This Row],[Type]]&amp;OutputTable[[#This Row],[Source]]</f>
        <v>Unnamed ProjectCooker.NumberSeizedTotal Number SeizedResource</v>
      </c>
      <c r="J277" cm="1">
        <f t="array" ref="J277">MAX(IF((ProjectInfoTable[ProjectName]=OutputTable[[#This Row],[ProjectName]]),(ProjectInfoTable[ProjectName]=OutputTable[[#This Row],[ProjectName]])*ProjectInfoTable[NumberOfReplications]))</f>
        <v>30</v>
      </c>
      <c r="K277" cm="1">
        <f t="array" ref="K277">IFERROR(AVERAGE(IF((OutputTable[GroupByKey]=OutputTable[[#This Row],[GroupByKey]]),(OutputTable[GroupByKey]=OutputTable[[#This Row],[GroupByKey]])*OutputTable[RecordedValue])),0)</f>
        <v>285.66666666666669</v>
      </c>
      <c r="L277" cm="1">
        <f t="array" ref="L277">IFERROR(_xlfn.STDEV.S(IF((OutputTable[GroupByKey]=OutputTable[[#This Row],[GroupByKey]]),(OutputTable[GroupByKey]=OutputTable[[#This Row],[GroupByKey]])*OutputTable[RecordedValue])),0)</f>
        <v>12.949060233064802</v>
      </c>
      <c r="M277" cm="1">
        <f t="array" ref="M277">MAX(IF((ProjectInfoTable[ProjectName]=OutputTable[[#This Row],[ProjectName]]),(ProjectInfoTable[ProjectName]=OutputTable[[#This Row],[ProjectName]])*ProjectInfoTable[ConfidenceInterval]))</f>
        <v>0.95</v>
      </c>
      <c r="N2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277" cm="1">
        <f t="array" ref="O277">MIN(IF((OutputTable[GroupByKey]=OutputTable[[#This Row],[GroupByKey]]),(OutputTable[GroupByKey]=OutputTable[[#This Row],[GroupByKey]])*OutputTable[RecordedValue]))</f>
        <v>264</v>
      </c>
      <c r="P277" cm="1">
        <f t="array" ref="P277">MAX(IF((OutputTable[GroupByKey]=OutputTable[[#This Row],[GroupByKey]]),(OutputTable[GroupByKey]=OutputTable[[#This Row],[GroupByKey]])*OutputTable[RecordedValue]))</f>
        <v>320</v>
      </c>
    </row>
    <row r="278" spans="1:16" x14ac:dyDescent="0.2">
      <c r="A278" t="s">
        <v>67</v>
      </c>
      <c r="B278" t="s">
        <v>70</v>
      </c>
      <c r="C278">
        <v>22</v>
      </c>
      <c r="D278" t="s">
        <v>109</v>
      </c>
      <c r="E278" t="s">
        <v>107</v>
      </c>
      <c r="F278" t="s">
        <v>95</v>
      </c>
      <c r="G278">
        <v>0.63586510528108597</v>
      </c>
      <c r="H278">
        <v>0</v>
      </c>
      <c r="I278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278" cm="1">
        <f t="array" ref="J278">MAX(IF((ProjectInfoTable[ProjectName]=OutputTable[[#This Row],[ProjectName]]),(ProjectInfoTable[ProjectName]=OutputTable[[#This Row],[ProjectName]])*ProjectInfoTable[NumberOfReplications]))</f>
        <v>30</v>
      </c>
      <c r="K278" cm="1">
        <f t="array" ref="K278">IFERROR(AVERAGE(IF((OutputTable[GroupByKey]=OutputTable[[#This Row],[GroupByKey]]),(OutputTable[GroupByKey]=OutputTable[[#This Row],[GroupByKey]])*OutputTable[RecordedValue])),0)</f>
        <v>0.62721981794251769</v>
      </c>
      <c r="L278" cm="1">
        <f t="array" ref="L278">IFERROR(_xlfn.STDEV.S(IF((OutputTable[GroupByKey]=OutputTable[[#This Row],[GroupByKey]]),(OutputTable[GroupByKey]=OutputTable[[#This Row],[GroupByKey]])*OutputTable[RecordedValue])),0)</f>
        <v>2.6376107220918699E-2</v>
      </c>
      <c r="M278" cm="1">
        <f t="array" ref="M278">MAX(IF((ProjectInfoTable[ProjectName]=OutputTable[[#This Row],[ProjectName]]),(ProjectInfoTable[ProjectName]=OutputTable[[#This Row],[ProjectName]])*ProjectInfoTable[ConfidenceInterval]))</f>
        <v>0.95</v>
      </c>
      <c r="N2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278" cm="1">
        <f t="array" ref="O278">MIN(IF((OutputTable[GroupByKey]=OutputTable[[#This Row],[GroupByKey]]),(OutputTable[GroupByKey]=OutputTable[[#This Row],[GroupByKey]])*OutputTable[RecordedValue]))</f>
        <v>0.58256422876290004</v>
      </c>
      <c r="P278" cm="1">
        <f t="array" ref="P278">MAX(IF((OutputTable[GroupByKey]=OutputTable[[#This Row],[GroupByKey]]),(OutputTable[GroupByKey]=OutputTable[[#This Row],[GroupByKey]])*OutputTable[RecordedValue]))</f>
        <v>0.68643238055161704</v>
      </c>
    </row>
    <row r="279" spans="1:16" x14ac:dyDescent="0.2">
      <c r="A279" t="s">
        <v>67</v>
      </c>
      <c r="B279" t="s">
        <v>70</v>
      </c>
      <c r="C279">
        <v>22</v>
      </c>
      <c r="D279" t="s">
        <v>110</v>
      </c>
      <c r="E279" t="s">
        <v>111</v>
      </c>
      <c r="F279" t="s">
        <v>76</v>
      </c>
      <c r="G279">
        <v>848</v>
      </c>
      <c r="H279">
        <v>0</v>
      </c>
      <c r="I279" t="str">
        <f>OutputTable[[#This Row],[ProjectName]]&amp;OutputTable[[#This Row],[Name]]&amp;OutputTable[[#This Row],[Type]]&amp;OutputTable[[#This Row],[Source]]</f>
        <v>Unnamed ProjectCustomer.NumberInNumber InEntity</v>
      </c>
      <c r="J279" cm="1">
        <f t="array" ref="J279">MAX(IF((ProjectInfoTable[ProjectName]=OutputTable[[#This Row],[ProjectName]]),(ProjectInfoTable[ProjectName]=OutputTable[[#This Row],[ProjectName]])*ProjectInfoTable[NumberOfReplications]))</f>
        <v>30</v>
      </c>
      <c r="K279" cm="1">
        <f t="array" ref="K279">IFERROR(AVERAGE(IF((OutputTable[GroupByKey]=OutputTable[[#This Row],[GroupByKey]]),(OutputTable[GroupByKey]=OutputTable[[#This Row],[GroupByKey]])*OutputTable[RecordedValue])),0)</f>
        <v>855.93333333333328</v>
      </c>
      <c r="L279" cm="1">
        <f t="array" ref="L279">IFERROR(_xlfn.STDEV.S(IF((OutputTable[GroupByKey]=OutputTable[[#This Row],[GroupByKey]]),(OutputTable[GroupByKey]=OutputTable[[#This Row],[GroupByKey]])*OutputTable[RecordedValue])),0)</f>
        <v>38.659373073509371</v>
      </c>
      <c r="M279" cm="1">
        <f t="array" ref="M279">MAX(IF((ProjectInfoTable[ProjectName]=OutputTable[[#This Row],[ProjectName]]),(ProjectInfoTable[ProjectName]=OutputTable[[#This Row],[ProjectName]])*ProjectInfoTable[ConfidenceInterval]))</f>
        <v>0.95</v>
      </c>
      <c r="N2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279" cm="1">
        <f t="array" ref="O279">MIN(IF((OutputTable[GroupByKey]=OutputTable[[#This Row],[GroupByKey]]),(OutputTable[GroupByKey]=OutputTable[[#This Row],[GroupByKey]])*OutputTable[RecordedValue]))</f>
        <v>792</v>
      </c>
      <c r="P279" cm="1">
        <f t="array" ref="P279">MAX(IF((OutputTable[GroupByKey]=OutputTable[[#This Row],[GroupByKey]]),(OutputTable[GroupByKey]=OutputTable[[#This Row],[GroupByKey]])*OutputTable[RecordedValue]))</f>
        <v>958</v>
      </c>
    </row>
    <row r="280" spans="1:16" x14ac:dyDescent="0.2">
      <c r="A280" t="s">
        <v>67</v>
      </c>
      <c r="B280" t="s">
        <v>70</v>
      </c>
      <c r="C280">
        <v>22</v>
      </c>
      <c r="D280" t="s">
        <v>112</v>
      </c>
      <c r="E280" t="s">
        <v>113</v>
      </c>
      <c r="F280" t="s">
        <v>76</v>
      </c>
      <c r="G280">
        <v>847</v>
      </c>
      <c r="H280">
        <v>0</v>
      </c>
      <c r="I280" t="str">
        <f>OutputTable[[#This Row],[ProjectName]]&amp;OutputTable[[#This Row],[Name]]&amp;OutputTable[[#This Row],[Type]]&amp;OutputTable[[#This Row],[Source]]</f>
        <v>Unnamed ProjectCustomer.NumberOutNumber OutEntity</v>
      </c>
      <c r="J280" cm="1">
        <f t="array" ref="J280">MAX(IF((ProjectInfoTable[ProjectName]=OutputTable[[#This Row],[ProjectName]]),(ProjectInfoTable[ProjectName]=OutputTable[[#This Row],[ProjectName]])*ProjectInfoTable[NumberOfReplications]))</f>
        <v>30</v>
      </c>
      <c r="K280" cm="1">
        <f t="array" ref="K280">IFERROR(AVERAGE(IF((OutputTable[GroupByKey]=OutputTable[[#This Row],[GroupByKey]]),(OutputTable[GroupByKey]=OutputTable[[#This Row],[GroupByKey]])*OutputTable[RecordedValue])),0)</f>
        <v>855.3</v>
      </c>
      <c r="L280" cm="1">
        <f t="array" ref="L280">IFERROR(_xlfn.STDEV.S(IF((OutputTable[GroupByKey]=OutputTable[[#This Row],[GroupByKey]]),(OutputTable[GroupByKey]=OutputTable[[#This Row],[GroupByKey]])*OutputTable[RecordedValue])),0)</f>
        <v>38.322722169527033</v>
      </c>
      <c r="M280" cm="1">
        <f t="array" ref="M280">MAX(IF((ProjectInfoTable[ProjectName]=OutputTable[[#This Row],[ProjectName]]),(ProjectInfoTable[ProjectName]=OutputTable[[#This Row],[ProjectName]])*ProjectInfoTable[ConfidenceInterval]))</f>
        <v>0.95</v>
      </c>
      <c r="N2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280" cm="1">
        <f t="array" ref="O280">MIN(IF((OutputTable[GroupByKey]=OutputTable[[#This Row],[GroupByKey]]),(OutputTable[GroupByKey]=OutputTable[[#This Row],[GroupByKey]])*OutputTable[RecordedValue]))</f>
        <v>798</v>
      </c>
      <c r="P280" cm="1">
        <f t="array" ref="P280">MAX(IF((OutputTable[GroupByKey]=OutputTable[[#This Row],[GroupByKey]]),(OutputTable[GroupByKey]=OutputTable[[#This Row],[GroupByKey]])*OutputTable[RecordedValue]))</f>
        <v>954</v>
      </c>
    </row>
    <row r="281" spans="1:16" x14ac:dyDescent="0.2">
      <c r="A281" t="s">
        <v>67</v>
      </c>
      <c r="B281" t="s">
        <v>70</v>
      </c>
      <c r="C281">
        <v>22</v>
      </c>
      <c r="D281" t="s">
        <v>114</v>
      </c>
      <c r="E281" t="s">
        <v>105</v>
      </c>
      <c r="F281" t="s">
        <v>95</v>
      </c>
      <c r="G281">
        <v>334</v>
      </c>
      <c r="H281">
        <v>0</v>
      </c>
      <c r="I281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281" cm="1">
        <f t="array" ref="J281">MAX(IF((ProjectInfoTable[ProjectName]=OutputTable[[#This Row],[ProjectName]]),(ProjectInfoTable[ProjectName]=OutputTable[[#This Row],[ProjectName]])*ProjectInfoTable[NumberOfReplications]))</f>
        <v>30</v>
      </c>
      <c r="K281" cm="1">
        <f t="array" ref="K281">IFERROR(AVERAGE(IF((OutputTable[GroupByKey]=OutputTable[[#This Row],[GroupByKey]]),(OutputTable[GroupByKey]=OutputTable[[#This Row],[GroupByKey]])*OutputTable[RecordedValue])),0)</f>
        <v>344.6</v>
      </c>
      <c r="L281" cm="1">
        <f t="array" ref="L281">IFERROR(_xlfn.STDEV.S(IF((OutputTable[GroupByKey]=OutputTable[[#This Row],[GroupByKey]]),(OutputTable[GroupByKey]=OutputTable[[#This Row],[GroupByKey]])*OutputTable[RecordedValue])),0)</f>
        <v>21.890952311479008</v>
      </c>
      <c r="M281" cm="1">
        <f t="array" ref="M281">MAX(IF((ProjectInfoTable[ProjectName]=OutputTable[[#This Row],[ProjectName]]),(ProjectInfoTable[ProjectName]=OutputTable[[#This Row],[ProjectName]])*ProjectInfoTable[ConfidenceInterval]))</f>
        <v>0.95</v>
      </c>
      <c r="N2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281" cm="1">
        <f t="array" ref="O281">MIN(IF((OutputTable[GroupByKey]=OutputTable[[#This Row],[GroupByKey]]),(OutputTable[GroupByKey]=OutputTable[[#This Row],[GroupByKey]])*OutputTable[RecordedValue]))</f>
        <v>311</v>
      </c>
      <c r="P281" cm="1">
        <f t="array" ref="P281">MAX(IF((OutputTable[GroupByKey]=OutputTable[[#This Row],[GroupByKey]]),(OutputTable[GroupByKey]=OutputTable[[#This Row],[GroupByKey]])*OutputTable[RecordedValue]))</f>
        <v>396</v>
      </c>
    </row>
    <row r="282" spans="1:16" x14ac:dyDescent="0.2">
      <c r="A282" t="s">
        <v>67</v>
      </c>
      <c r="B282" t="s">
        <v>70</v>
      </c>
      <c r="C282">
        <v>22</v>
      </c>
      <c r="D282" t="s">
        <v>115</v>
      </c>
      <c r="E282" t="s">
        <v>107</v>
      </c>
      <c r="F282" t="s">
        <v>95</v>
      </c>
      <c r="G282">
        <v>1.8311403508771899E-3</v>
      </c>
      <c r="H282">
        <v>0</v>
      </c>
      <c r="I282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282" cm="1">
        <f t="array" ref="J282">MAX(IF((ProjectInfoTable[ProjectName]=OutputTable[[#This Row],[ProjectName]]),(ProjectInfoTable[ProjectName]=OutputTable[[#This Row],[ProjectName]])*ProjectInfoTable[NumberOfReplications]))</f>
        <v>30</v>
      </c>
      <c r="K282" cm="1">
        <f t="array" ref="K282">IFERROR(AVERAGE(IF((OutputTable[GroupByKey]=OutputTable[[#This Row],[GroupByKey]]),(OutputTable[GroupByKey]=OutputTable[[#This Row],[GroupByKey]])*OutputTable[RecordedValue])),0)</f>
        <v>1.889307012236451E-3</v>
      </c>
      <c r="L282" cm="1">
        <f t="array" ref="L282">IFERROR(_xlfn.STDEV.S(IF((OutputTable[GroupByKey]=OutputTable[[#This Row],[GroupByKey]]),(OutputTable[GroupByKey]=OutputTable[[#This Row],[GroupByKey]])*OutputTable[RecordedValue])),0)</f>
        <v>1.2015303758165521E-4</v>
      </c>
      <c r="M282" cm="1">
        <f t="array" ref="M282">MAX(IF((ProjectInfoTable[ProjectName]=OutputTable[[#This Row],[ProjectName]]),(ProjectInfoTable[ProjectName]=OutputTable[[#This Row],[ProjectName]])*ProjectInfoTable[ConfidenceInterval]))</f>
        <v>0.95</v>
      </c>
      <c r="N2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282" cm="1">
        <f t="array" ref="O282">MIN(IF((OutputTable[GroupByKey]=OutputTable[[#This Row],[GroupByKey]]),(OutputTable[GroupByKey]=OutputTable[[#This Row],[GroupByKey]])*OutputTable[RecordedValue]))</f>
        <v>1.70504385964912E-3</v>
      </c>
      <c r="P282" cm="1">
        <f t="array" ref="P282">MAX(IF((OutputTable[GroupByKey]=OutputTable[[#This Row],[GroupByKey]]),(OutputTable[GroupByKey]=OutputTable[[#This Row],[GroupByKey]])*OutputTable[RecordedValue]))</f>
        <v>2.17031677925951E-3</v>
      </c>
    </row>
    <row r="283" spans="1:16" x14ac:dyDescent="0.2">
      <c r="A283" t="s">
        <v>67</v>
      </c>
      <c r="B283" t="s">
        <v>70</v>
      </c>
      <c r="C283">
        <v>22</v>
      </c>
      <c r="D283" t="s">
        <v>116</v>
      </c>
      <c r="E283" t="s">
        <v>105</v>
      </c>
      <c r="F283" t="s">
        <v>95</v>
      </c>
      <c r="G283">
        <v>231</v>
      </c>
      <c r="H283">
        <v>0</v>
      </c>
      <c r="I283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283" cm="1">
        <f t="array" ref="J283">MAX(IF((ProjectInfoTable[ProjectName]=OutputTable[[#This Row],[ProjectName]]),(ProjectInfoTable[ProjectName]=OutputTable[[#This Row],[ProjectName]])*ProjectInfoTable[NumberOfReplications]))</f>
        <v>30</v>
      </c>
      <c r="K283" cm="1">
        <f t="array" ref="K283">IFERROR(AVERAGE(IF((OutputTable[GroupByKey]=OutputTable[[#This Row],[GroupByKey]]),(OutputTable[GroupByKey]=OutputTable[[#This Row],[GroupByKey]])*OutputTable[RecordedValue])),0)</f>
        <v>225.93333333333334</v>
      </c>
      <c r="L283" cm="1">
        <f t="array" ref="L283">IFERROR(_xlfn.STDEV.S(IF((OutputTable[GroupByKey]=OutputTable[[#This Row],[GroupByKey]]),(OutputTable[GroupByKey]=OutputTable[[#This Row],[GroupByKey]])*OutputTable[RecordedValue])),0)</f>
        <v>12.403929670244338</v>
      </c>
      <c r="M283" cm="1">
        <f t="array" ref="M283">MAX(IF((ProjectInfoTable[ProjectName]=OutputTable[[#This Row],[ProjectName]]),(ProjectInfoTable[ProjectName]=OutputTable[[#This Row],[ProjectName]])*ProjectInfoTable[ConfidenceInterval]))</f>
        <v>0.95</v>
      </c>
      <c r="N2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283" cm="1">
        <f t="array" ref="O283">MIN(IF((OutputTable[GroupByKey]=OutputTable[[#This Row],[GroupByKey]]),(OutputTable[GroupByKey]=OutputTable[[#This Row],[GroupByKey]])*OutputTable[RecordedValue]))</f>
        <v>205</v>
      </c>
      <c r="P283" cm="1">
        <f t="array" ref="P283">MAX(IF((OutputTable[GroupByKey]=OutputTable[[#This Row],[GroupByKey]]),(OutputTable[GroupByKey]=OutputTable[[#This Row],[GroupByKey]])*OutputTable[RecordedValue]))</f>
        <v>253</v>
      </c>
    </row>
    <row r="284" spans="1:16" x14ac:dyDescent="0.2">
      <c r="A284" t="s">
        <v>67</v>
      </c>
      <c r="B284" t="s">
        <v>70</v>
      </c>
      <c r="C284">
        <v>22</v>
      </c>
      <c r="D284" t="s">
        <v>117</v>
      </c>
      <c r="E284" t="s">
        <v>107</v>
      </c>
      <c r="F284" t="s">
        <v>95</v>
      </c>
      <c r="G284">
        <v>5.0841691108724904E-3</v>
      </c>
      <c r="H284">
        <v>0</v>
      </c>
      <c r="I284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284" cm="1">
        <f t="array" ref="J284">MAX(IF((ProjectInfoTable[ProjectName]=OutputTable[[#This Row],[ProjectName]]),(ProjectInfoTable[ProjectName]=OutputTable[[#This Row],[ProjectName]])*ProjectInfoTable[NumberOfReplications]))</f>
        <v>30</v>
      </c>
      <c r="K284" cm="1">
        <f t="array" ref="K284">IFERROR(AVERAGE(IF((OutputTable[GroupByKey]=OutputTable[[#This Row],[GroupByKey]]),(OutputTable[GroupByKey]=OutputTable[[#This Row],[GroupByKey]])*OutputTable[RecordedValue])),0)</f>
        <v>4.9565971649701106E-3</v>
      </c>
      <c r="L284" cm="1">
        <f t="array" ref="L284">IFERROR(_xlfn.STDEV.S(IF((OutputTable[GroupByKey]=OutputTable[[#This Row],[GroupByKey]]),(OutputTable[GroupByKey]=OutputTable[[#This Row],[GroupByKey]])*OutputTable[RecordedValue])),0)</f>
        <v>2.7167433725199517E-4</v>
      </c>
      <c r="M284" cm="1">
        <f t="array" ref="M284">MAX(IF((ProjectInfoTable[ProjectName]=OutputTable[[#This Row],[ProjectName]]),(ProjectInfoTable[ProjectName]=OutputTable[[#This Row],[ProjectName]])*ProjectInfoTable[ConfidenceInterval]))</f>
        <v>0.95</v>
      </c>
      <c r="N2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284" cm="1">
        <f t="array" ref="O284">MIN(IF((OutputTable[GroupByKey]=OutputTable[[#This Row],[GroupByKey]]),(OutputTable[GroupByKey]=OutputTable[[#This Row],[GroupByKey]])*OutputTable[RecordedValue]))</f>
        <v>4.4956140350877203E-3</v>
      </c>
      <c r="P284" cm="1">
        <f t="array" ref="P284">MAX(IF((OutputTable[GroupByKey]=OutputTable[[#This Row],[GroupByKey]]),(OutputTable[GroupByKey]=OutputTable[[#This Row],[GroupByKey]])*OutputTable[RecordedValue]))</f>
        <v>5.5482456140350904E-3</v>
      </c>
    </row>
    <row r="285" spans="1:16" x14ac:dyDescent="0.2">
      <c r="A285" t="s">
        <v>67</v>
      </c>
      <c r="B285" t="s">
        <v>70</v>
      </c>
      <c r="C285">
        <v>22</v>
      </c>
      <c r="D285" t="s">
        <v>118</v>
      </c>
      <c r="E285" t="s">
        <v>113</v>
      </c>
      <c r="F285" t="s">
        <v>119</v>
      </c>
      <c r="G285">
        <v>283</v>
      </c>
      <c r="H285">
        <v>0</v>
      </c>
      <c r="I285" t="str">
        <f>OutputTable[[#This Row],[ProjectName]]&amp;OutputTable[[#This Row],[Name]]&amp;OutputTable[[#This Row],[Type]]&amp;OutputTable[[#This Row],[Source]]</f>
        <v>Unnamed ProjectSystem.NumberOutNumber OutSystem</v>
      </c>
      <c r="J285" cm="1">
        <f t="array" ref="J285">MAX(IF((ProjectInfoTable[ProjectName]=OutputTable[[#This Row],[ProjectName]]),(ProjectInfoTable[ProjectName]=OutputTable[[#This Row],[ProjectName]])*ProjectInfoTable[NumberOfReplications]))</f>
        <v>30</v>
      </c>
      <c r="K285" cm="1">
        <f t="array" ref="K285">IFERROR(AVERAGE(IF((OutputTable[GroupByKey]=OutputTable[[#This Row],[GroupByKey]]),(OutputTable[GroupByKey]=OutputTable[[#This Row],[GroupByKey]])*OutputTable[RecordedValue])),0)</f>
        <v>285.3</v>
      </c>
      <c r="L285" cm="1">
        <f t="array" ref="L285">IFERROR(_xlfn.STDEV.S(IF((OutputTable[GroupByKey]=OutputTable[[#This Row],[GroupByKey]]),(OutputTable[GroupByKey]=OutputTable[[#This Row],[GroupByKey]])*OutputTable[RecordedValue])),0)</f>
        <v>12.739160368585981</v>
      </c>
      <c r="M285" cm="1">
        <f t="array" ref="M285">MAX(IF((ProjectInfoTable[ProjectName]=OutputTable[[#This Row],[ProjectName]]),(ProjectInfoTable[ProjectName]=OutputTable[[#This Row],[ProjectName]])*ProjectInfoTable[ConfidenceInterval]))</f>
        <v>0.95</v>
      </c>
      <c r="N2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285" cm="1">
        <f t="array" ref="O285">MIN(IF((OutputTable[GroupByKey]=OutputTable[[#This Row],[GroupByKey]]),(OutputTable[GroupByKey]=OutputTable[[#This Row],[GroupByKey]])*OutputTable[RecordedValue]))</f>
        <v>266</v>
      </c>
      <c r="P285" cm="1">
        <f t="array" ref="P285">MAX(IF((OutputTable[GroupByKey]=OutputTable[[#This Row],[GroupByKey]]),(OutputTable[GroupByKey]=OutputTable[[#This Row],[GroupByKey]])*OutputTable[RecordedValue]))</f>
        <v>318</v>
      </c>
    </row>
    <row r="286" spans="1:16" x14ac:dyDescent="0.2">
      <c r="A286" t="s">
        <v>67</v>
      </c>
      <c r="B286" t="s">
        <v>70</v>
      </c>
      <c r="C286">
        <v>22</v>
      </c>
      <c r="D286" t="s">
        <v>120</v>
      </c>
      <c r="E286" t="s">
        <v>105</v>
      </c>
      <c r="F286" t="s">
        <v>95</v>
      </c>
      <c r="G286">
        <v>142</v>
      </c>
      <c r="H286">
        <v>0</v>
      </c>
      <c r="I286" t="str">
        <f>OutputTable[[#This Row],[ProjectName]]&amp;OutputTable[[#This Row],[Name]]&amp;OutputTable[[#This Row],[Type]]&amp;OutputTable[[#This Row],[Source]]</f>
        <v>Unnamed ProjectWaiter.NumberSeizedTotal Number SeizedResource</v>
      </c>
      <c r="J286" cm="1">
        <f t="array" ref="J286">MAX(IF((ProjectInfoTable[ProjectName]=OutputTable[[#This Row],[ProjectName]]),(ProjectInfoTable[ProjectName]=OutputTable[[#This Row],[ProjectName]])*ProjectInfoTable[NumberOfReplications]))</f>
        <v>30</v>
      </c>
      <c r="K286" cm="1">
        <f t="array" ref="K286">IFERROR(AVERAGE(IF((OutputTable[GroupByKey]=OutputTable[[#This Row],[GroupByKey]]),(OutputTable[GroupByKey]=OutputTable[[#This Row],[GroupByKey]])*OutputTable[RecordedValue])),0)</f>
        <v>142.66666666666666</v>
      </c>
      <c r="L286" cm="1">
        <f t="array" ref="L286">IFERROR(_xlfn.STDEV.S(IF((OutputTable[GroupByKey]=OutputTable[[#This Row],[GroupByKey]]),(OutputTable[GroupByKey]=OutputTable[[#This Row],[GroupByKey]])*OutputTable[RecordedValue])),0)</f>
        <v>6.4505190025531167</v>
      </c>
      <c r="M286" cm="1">
        <f t="array" ref="M286">MAX(IF((ProjectInfoTable[ProjectName]=OutputTable[[#This Row],[ProjectName]]),(ProjectInfoTable[ProjectName]=OutputTable[[#This Row],[ProjectName]])*ProjectInfoTable[ConfidenceInterval]))</f>
        <v>0.95</v>
      </c>
      <c r="N2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286" cm="1">
        <f t="array" ref="O286">MIN(IF((OutputTable[GroupByKey]=OutputTable[[#This Row],[GroupByKey]]),(OutputTable[GroupByKey]=OutputTable[[#This Row],[GroupByKey]])*OutputTable[RecordedValue]))</f>
        <v>132</v>
      </c>
      <c r="P286" cm="1">
        <f t="array" ref="P286">MAX(IF((OutputTable[GroupByKey]=OutputTable[[#This Row],[GroupByKey]]),(OutputTable[GroupByKey]=OutputTable[[#This Row],[GroupByKey]])*OutputTable[RecordedValue]))</f>
        <v>160</v>
      </c>
    </row>
    <row r="287" spans="1:16" x14ac:dyDescent="0.2">
      <c r="A287" t="s">
        <v>67</v>
      </c>
      <c r="B287" t="s">
        <v>70</v>
      </c>
      <c r="C287">
        <v>22</v>
      </c>
      <c r="D287" t="s">
        <v>121</v>
      </c>
      <c r="E287" t="s">
        <v>107</v>
      </c>
      <c r="F287" t="s">
        <v>95</v>
      </c>
      <c r="G287">
        <v>8.2125276488639404E-2</v>
      </c>
      <c r="H287">
        <v>0</v>
      </c>
      <c r="I287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287" cm="1">
        <f t="array" ref="J287">MAX(IF((ProjectInfoTable[ProjectName]=OutputTable[[#This Row],[ProjectName]]),(ProjectInfoTable[ProjectName]=OutputTable[[#This Row],[ProjectName]])*ProjectInfoTable[NumberOfReplications]))</f>
        <v>30</v>
      </c>
      <c r="K287" cm="1">
        <f t="array" ref="K287">IFERROR(AVERAGE(IF((OutputTable[GroupByKey]=OutputTable[[#This Row],[GroupByKey]]),(OutputTable[GroupByKey]=OutputTable[[#This Row],[GroupByKey]])*OutputTable[RecordedValue])),0)</f>
        <v>8.3509459606410805E-2</v>
      </c>
      <c r="L287" cm="1">
        <f t="array" ref="L287">IFERROR(_xlfn.STDEV.S(IF((OutputTable[GroupByKey]=OutputTable[[#This Row],[GroupByKey]]),(OutputTable[GroupByKey]=OutputTable[[#This Row],[GroupByKey]])*OutputTable[RecordedValue])),0)</f>
        <v>3.5452891325333867E-3</v>
      </c>
      <c r="M287" cm="1">
        <f t="array" ref="M287">MAX(IF((ProjectInfoTable[ProjectName]=OutputTable[[#This Row],[ProjectName]]),(ProjectInfoTable[ProjectName]=OutputTable[[#This Row],[ProjectName]])*ProjectInfoTable[ConfidenceInterval]))</f>
        <v>0.95</v>
      </c>
      <c r="N2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287" cm="1">
        <f t="array" ref="O287">MIN(IF((OutputTable[GroupByKey]=OutputTable[[#This Row],[GroupByKey]]),(OutputTable[GroupByKey]=OutputTable[[#This Row],[GroupByKey]])*OutputTable[RecordedValue]))</f>
        <v>7.7176470357847096E-2</v>
      </c>
      <c r="P287" cm="1">
        <f t="array" ref="P287">MAX(IF((OutputTable[GroupByKey]=OutputTable[[#This Row],[GroupByKey]]),(OutputTable[GroupByKey]=OutputTable[[#This Row],[GroupByKey]])*OutputTable[RecordedValue]))</f>
        <v>9.2534326714405798E-2</v>
      </c>
    </row>
    <row r="288" spans="1:16" x14ac:dyDescent="0.2">
      <c r="A288" t="s">
        <v>67</v>
      </c>
      <c r="B288" t="s">
        <v>70</v>
      </c>
      <c r="C288">
        <v>23</v>
      </c>
      <c r="D288" t="s">
        <v>104</v>
      </c>
      <c r="E288" t="s">
        <v>105</v>
      </c>
      <c r="F288" t="s">
        <v>95</v>
      </c>
      <c r="G288">
        <v>280</v>
      </c>
      <c r="H288">
        <v>0</v>
      </c>
      <c r="I288" t="str">
        <f>OutputTable[[#This Row],[ProjectName]]&amp;OutputTable[[#This Row],[Name]]&amp;OutputTable[[#This Row],[Type]]&amp;OutputTable[[#This Row],[Source]]</f>
        <v>Unnamed ProjectCleaner.NumberSeizedTotal Number SeizedResource</v>
      </c>
      <c r="J288" cm="1">
        <f t="array" ref="J288">MAX(IF((ProjectInfoTable[ProjectName]=OutputTable[[#This Row],[ProjectName]]),(ProjectInfoTable[ProjectName]=OutputTable[[#This Row],[ProjectName]])*ProjectInfoTable[NumberOfReplications]))</f>
        <v>30</v>
      </c>
      <c r="K288" cm="1">
        <f t="array" ref="K288">IFERROR(AVERAGE(IF((OutputTable[GroupByKey]=OutputTable[[#This Row],[GroupByKey]]),(OutputTable[GroupByKey]=OutputTable[[#This Row],[GroupByKey]])*OutputTable[RecordedValue])),0)</f>
        <v>285.39999999999998</v>
      </c>
      <c r="L288" cm="1">
        <f t="array" ref="L288">IFERROR(_xlfn.STDEV.S(IF((OutputTable[GroupByKey]=OutputTable[[#This Row],[GroupByKey]]),(OutputTable[GroupByKey]=OutputTable[[#This Row],[GroupByKey]])*OutputTable[RecordedValue])),0)</f>
        <v>12.88302812979555</v>
      </c>
      <c r="M288" cm="1">
        <f t="array" ref="M288">MAX(IF((ProjectInfoTable[ProjectName]=OutputTable[[#This Row],[ProjectName]]),(ProjectInfoTable[ProjectName]=OutputTable[[#This Row],[ProjectName]])*ProjectInfoTable[ConfidenceInterval]))</f>
        <v>0.95</v>
      </c>
      <c r="N2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288" cm="1">
        <f t="array" ref="O288">MIN(IF((OutputTable[GroupByKey]=OutputTable[[#This Row],[GroupByKey]]),(OutputTable[GroupByKey]=OutputTable[[#This Row],[GroupByKey]])*OutputTable[RecordedValue]))</f>
        <v>266</v>
      </c>
      <c r="P288" cm="1">
        <f t="array" ref="P288">MAX(IF((OutputTable[GroupByKey]=OutputTable[[#This Row],[GroupByKey]]),(OutputTable[GroupByKey]=OutputTable[[#This Row],[GroupByKey]])*OutputTable[RecordedValue]))</f>
        <v>318</v>
      </c>
    </row>
    <row r="289" spans="1:16" x14ac:dyDescent="0.2">
      <c r="A289" t="s">
        <v>67</v>
      </c>
      <c r="B289" t="s">
        <v>70</v>
      </c>
      <c r="C289">
        <v>23</v>
      </c>
      <c r="D289" t="s">
        <v>106</v>
      </c>
      <c r="E289" t="s">
        <v>107</v>
      </c>
      <c r="F289" t="s">
        <v>95</v>
      </c>
      <c r="G289">
        <v>0.24561403508771901</v>
      </c>
      <c r="H289">
        <v>0</v>
      </c>
      <c r="I289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289" cm="1">
        <f t="array" ref="J289">MAX(IF((ProjectInfoTable[ProjectName]=OutputTable[[#This Row],[ProjectName]]),(ProjectInfoTable[ProjectName]=OutputTable[[#This Row],[ProjectName]])*ProjectInfoTable[NumberOfReplications]))</f>
        <v>30</v>
      </c>
      <c r="K289" cm="1">
        <f t="array" ref="K289">IFERROR(AVERAGE(IF((OutputTable[GroupByKey]=OutputTable[[#This Row],[GroupByKey]]),(OutputTable[GroupByKey]=OutputTable[[#This Row],[GroupByKey]])*OutputTable[RecordedValue])),0)</f>
        <v>0.25031804088290305</v>
      </c>
      <c r="L289" cm="1">
        <f t="array" ref="L289">IFERROR(_xlfn.STDEV.S(IF((OutputTable[GroupByKey]=OutputTable[[#This Row],[GroupByKey]]),(OutputTable[GroupByKey]=OutputTable[[#This Row],[GroupByKey]])*OutputTable[RecordedValue])),0)</f>
        <v>1.1255778929137084E-2</v>
      </c>
      <c r="M289" cm="1">
        <f t="array" ref="M289">MAX(IF((ProjectInfoTable[ProjectName]=OutputTable[[#This Row],[ProjectName]]),(ProjectInfoTable[ProjectName]=OutputTable[[#This Row],[ProjectName]])*ProjectInfoTable[ConfidenceInterval]))</f>
        <v>0.95</v>
      </c>
      <c r="N2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289" cm="1">
        <f t="array" ref="O289">MIN(IF((OutputTable[GroupByKey]=OutputTable[[#This Row],[GroupByKey]]),(OutputTable[GroupByKey]=OutputTable[[#This Row],[GroupByKey]])*OutputTable[RecordedValue]))</f>
        <v>0.233333333333333</v>
      </c>
      <c r="P289" cm="1">
        <f t="array" ref="P289">MAX(IF((OutputTable[GroupByKey]=OutputTable[[#This Row],[GroupByKey]]),(OutputTable[GroupByKey]=OutputTable[[#This Row],[GroupByKey]])*OutputTable[RecordedValue]))</f>
        <v>0.27905535859326402</v>
      </c>
    </row>
    <row r="290" spans="1:16" x14ac:dyDescent="0.2">
      <c r="A290" t="s">
        <v>67</v>
      </c>
      <c r="B290" t="s">
        <v>70</v>
      </c>
      <c r="C290">
        <v>23</v>
      </c>
      <c r="D290" t="s">
        <v>108</v>
      </c>
      <c r="E290" t="s">
        <v>105</v>
      </c>
      <c r="F290" t="s">
        <v>95</v>
      </c>
      <c r="G290">
        <v>280</v>
      </c>
      <c r="H290">
        <v>0</v>
      </c>
      <c r="I290" t="str">
        <f>OutputTable[[#This Row],[ProjectName]]&amp;OutputTable[[#This Row],[Name]]&amp;OutputTable[[#This Row],[Type]]&amp;OutputTable[[#This Row],[Source]]</f>
        <v>Unnamed ProjectCooker.NumberSeizedTotal Number SeizedResource</v>
      </c>
      <c r="J290" cm="1">
        <f t="array" ref="J290">MAX(IF((ProjectInfoTable[ProjectName]=OutputTable[[#This Row],[ProjectName]]),(ProjectInfoTable[ProjectName]=OutputTable[[#This Row],[ProjectName]])*ProjectInfoTable[NumberOfReplications]))</f>
        <v>30</v>
      </c>
      <c r="K290" cm="1">
        <f t="array" ref="K290">IFERROR(AVERAGE(IF((OutputTable[GroupByKey]=OutputTable[[#This Row],[GroupByKey]]),(OutputTable[GroupByKey]=OutputTable[[#This Row],[GroupByKey]])*OutputTable[RecordedValue])),0)</f>
        <v>285.66666666666669</v>
      </c>
      <c r="L290" cm="1">
        <f t="array" ref="L290">IFERROR(_xlfn.STDEV.S(IF((OutputTable[GroupByKey]=OutputTable[[#This Row],[GroupByKey]]),(OutputTable[GroupByKey]=OutputTable[[#This Row],[GroupByKey]])*OutputTable[RecordedValue])),0)</f>
        <v>12.949060233064802</v>
      </c>
      <c r="M290" cm="1">
        <f t="array" ref="M290">MAX(IF((ProjectInfoTable[ProjectName]=OutputTable[[#This Row],[ProjectName]]),(ProjectInfoTable[ProjectName]=OutputTable[[#This Row],[ProjectName]])*ProjectInfoTable[ConfidenceInterval]))</f>
        <v>0.95</v>
      </c>
      <c r="N2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290" cm="1">
        <f t="array" ref="O290">MIN(IF((OutputTable[GroupByKey]=OutputTable[[#This Row],[GroupByKey]]),(OutputTable[GroupByKey]=OutputTable[[#This Row],[GroupByKey]])*OutputTable[RecordedValue]))</f>
        <v>264</v>
      </c>
      <c r="P290" cm="1">
        <f t="array" ref="P290">MAX(IF((OutputTable[GroupByKey]=OutputTable[[#This Row],[GroupByKey]]),(OutputTable[GroupByKey]=OutputTable[[#This Row],[GroupByKey]])*OutputTable[RecordedValue]))</f>
        <v>320</v>
      </c>
    </row>
    <row r="291" spans="1:16" x14ac:dyDescent="0.2">
      <c r="A291" t="s">
        <v>67</v>
      </c>
      <c r="B291" t="s">
        <v>70</v>
      </c>
      <c r="C291">
        <v>23</v>
      </c>
      <c r="D291" t="s">
        <v>109</v>
      </c>
      <c r="E291" t="s">
        <v>107</v>
      </c>
      <c r="F291" t="s">
        <v>95</v>
      </c>
      <c r="G291">
        <v>0.61555961733891895</v>
      </c>
      <c r="H291">
        <v>0</v>
      </c>
      <c r="I291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291" cm="1">
        <f t="array" ref="J291">MAX(IF((ProjectInfoTable[ProjectName]=OutputTable[[#This Row],[ProjectName]]),(ProjectInfoTable[ProjectName]=OutputTable[[#This Row],[ProjectName]])*ProjectInfoTable[NumberOfReplications]))</f>
        <v>30</v>
      </c>
      <c r="K291" cm="1">
        <f t="array" ref="K291">IFERROR(AVERAGE(IF((OutputTable[GroupByKey]=OutputTable[[#This Row],[GroupByKey]]),(OutputTable[GroupByKey]=OutputTable[[#This Row],[GroupByKey]])*OutputTable[RecordedValue])),0)</f>
        <v>0.62721981794251769</v>
      </c>
      <c r="L291" cm="1">
        <f t="array" ref="L291">IFERROR(_xlfn.STDEV.S(IF((OutputTable[GroupByKey]=OutputTable[[#This Row],[GroupByKey]]),(OutputTable[GroupByKey]=OutputTable[[#This Row],[GroupByKey]])*OutputTable[RecordedValue])),0)</f>
        <v>2.6376107220918699E-2</v>
      </c>
      <c r="M291" cm="1">
        <f t="array" ref="M291">MAX(IF((ProjectInfoTable[ProjectName]=OutputTable[[#This Row],[ProjectName]]),(ProjectInfoTable[ProjectName]=OutputTable[[#This Row],[ProjectName]])*ProjectInfoTable[ConfidenceInterval]))</f>
        <v>0.95</v>
      </c>
      <c r="N2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291" cm="1">
        <f t="array" ref="O291">MIN(IF((OutputTable[GroupByKey]=OutputTable[[#This Row],[GroupByKey]]),(OutputTable[GroupByKey]=OutputTable[[#This Row],[GroupByKey]])*OutputTable[RecordedValue]))</f>
        <v>0.58256422876290004</v>
      </c>
      <c r="P291" cm="1">
        <f t="array" ref="P291">MAX(IF((OutputTable[GroupByKey]=OutputTable[[#This Row],[GroupByKey]]),(OutputTable[GroupByKey]=OutputTable[[#This Row],[GroupByKey]])*OutputTable[RecordedValue]))</f>
        <v>0.68643238055161704</v>
      </c>
    </row>
    <row r="292" spans="1:16" x14ac:dyDescent="0.2">
      <c r="A292" t="s">
        <v>67</v>
      </c>
      <c r="B292" t="s">
        <v>70</v>
      </c>
      <c r="C292">
        <v>23</v>
      </c>
      <c r="D292" t="s">
        <v>110</v>
      </c>
      <c r="E292" t="s">
        <v>111</v>
      </c>
      <c r="F292" t="s">
        <v>76</v>
      </c>
      <c r="G292">
        <v>840</v>
      </c>
      <c r="H292">
        <v>0</v>
      </c>
      <c r="I292" t="str">
        <f>OutputTable[[#This Row],[ProjectName]]&amp;OutputTable[[#This Row],[Name]]&amp;OutputTable[[#This Row],[Type]]&amp;OutputTable[[#This Row],[Source]]</f>
        <v>Unnamed ProjectCustomer.NumberInNumber InEntity</v>
      </c>
      <c r="J292" cm="1">
        <f t="array" ref="J292">MAX(IF((ProjectInfoTable[ProjectName]=OutputTable[[#This Row],[ProjectName]]),(ProjectInfoTable[ProjectName]=OutputTable[[#This Row],[ProjectName]])*ProjectInfoTable[NumberOfReplications]))</f>
        <v>30</v>
      </c>
      <c r="K292" cm="1">
        <f t="array" ref="K292">IFERROR(AVERAGE(IF((OutputTable[GroupByKey]=OutputTable[[#This Row],[GroupByKey]]),(OutputTable[GroupByKey]=OutputTable[[#This Row],[GroupByKey]])*OutputTable[RecordedValue])),0)</f>
        <v>855.93333333333328</v>
      </c>
      <c r="L292" cm="1">
        <f t="array" ref="L292">IFERROR(_xlfn.STDEV.S(IF((OutputTable[GroupByKey]=OutputTable[[#This Row],[GroupByKey]]),(OutputTable[GroupByKey]=OutputTable[[#This Row],[GroupByKey]])*OutputTable[RecordedValue])),0)</f>
        <v>38.659373073509371</v>
      </c>
      <c r="M292" cm="1">
        <f t="array" ref="M292">MAX(IF((ProjectInfoTable[ProjectName]=OutputTable[[#This Row],[ProjectName]]),(ProjectInfoTable[ProjectName]=OutputTable[[#This Row],[ProjectName]])*ProjectInfoTable[ConfidenceInterval]))</f>
        <v>0.95</v>
      </c>
      <c r="N2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292" cm="1">
        <f t="array" ref="O292">MIN(IF((OutputTable[GroupByKey]=OutputTable[[#This Row],[GroupByKey]]),(OutputTable[GroupByKey]=OutputTable[[#This Row],[GroupByKey]])*OutputTable[RecordedValue]))</f>
        <v>792</v>
      </c>
      <c r="P292" cm="1">
        <f t="array" ref="P292">MAX(IF((OutputTable[GroupByKey]=OutputTable[[#This Row],[GroupByKey]]),(OutputTable[GroupByKey]=OutputTable[[#This Row],[GroupByKey]])*OutputTable[RecordedValue]))</f>
        <v>958</v>
      </c>
    </row>
    <row r="293" spans="1:16" x14ac:dyDescent="0.2">
      <c r="A293" t="s">
        <v>67</v>
      </c>
      <c r="B293" t="s">
        <v>70</v>
      </c>
      <c r="C293">
        <v>23</v>
      </c>
      <c r="D293" t="s">
        <v>112</v>
      </c>
      <c r="E293" t="s">
        <v>113</v>
      </c>
      <c r="F293" t="s">
        <v>76</v>
      </c>
      <c r="G293">
        <v>840</v>
      </c>
      <c r="H293">
        <v>0</v>
      </c>
      <c r="I293" t="str">
        <f>OutputTable[[#This Row],[ProjectName]]&amp;OutputTable[[#This Row],[Name]]&amp;OutputTable[[#This Row],[Type]]&amp;OutputTable[[#This Row],[Source]]</f>
        <v>Unnamed ProjectCustomer.NumberOutNumber OutEntity</v>
      </c>
      <c r="J293" cm="1">
        <f t="array" ref="J293">MAX(IF((ProjectInfoTable[ProjectName]=OutputTable[[#This Row],[ProjectName]]),(ProjectInfoTable[ProjectName]=OutputTable[[#This Row],[ProjectName]])*ProjectInfoTable[NumberOfReplications]))</f>
        <v>30</v>
      </c>
      <c r="K293" cm="1">
        <f t="array" ref="K293">IFERROR(AVERAGE(IF((OutputTable[GroupByKey]=OutputTable[[#This Row],[GroupByKey]]),(OutputTable[GroupByKey]=OutputTable[[#This Row],[GroupByKey]])*OutputTable[RecordedValue])),0)</f>
        <v>855.3</v>
      </c>
      <c r="L293" cm="1">
        <f t="array" ref="L293">IFERROR(_xlfn.STDEV.S(IF((OutputTable[GroupByKey]=OutputTable[[#This Row],[GroupByKey]]),(OutputTable[GroupByKey]=OutputTable[[#This Row],[GroupByKey]])*OutputTable[RecordedValue])),0)</f>
        <v>38.322722169527033</v>
      </c>
      <c r="M293" cm="1">
        <f t="array" ref="M293">MAX(IF((ProjectInfoTable[ProjectName]=OutputTable[[#This Row],[ProjectName]]),(ProjectInfoTable[ProjectName]=OutputTable[[#This Row],[ProjectName]])*ProjectInfoTable[ConfidenceInterval]))</f>
        <v>0.95</v>
      </c>
      <c r="N2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293" cm="1">
        <f t="array" ref="O293">MIN(IF((OutputTable[GroupByKey]=OutputTable[[#This Row],[GroupByKey]]),(OutputTable[GroupByKey]=OutputTable[[#This Row],[GroupByKey]])*OutputTable[RecordedValue]))</f>
        <v>798</v>
      </c>
      <c r="P293" cm="1">
        <f t="array" ref="P293">MAX(IF((OutputTable[GroupByKey]=OutputTable[[#This Row],[GroupByKey]]),(OutputTable[GroupByKey]=OutputTable[[#This Row],[GroupByKey]])*OutputTable[RecordedValue]))</f>
        <v>954</v>
      </c>
    </row>
    <row r="294" spans="1:16" x14ac:dyDescent="0.2">
      <c r="A294" t="s">
        <v>67</v>
      </c>
      <c r="B294" t="s">
        <v>70</v>
      </c>
      <c r="C294">
        <v>23</v>
      </c>
      <c r="D294" t="s">
        <v>114</v>
      </c>
      <c r="E294" t="s">
        <v>105</v>
      </c>
      <c r="F294" t="s">
        <v>95</v>
      </c>
      <c r="G294">
        <v>311</v>
      </c>
      <c r="H294">
        <v>0</v>
      </c>
      <c r="I294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294" cm="1">
        <f t="array" ref="J294">MAX(IF((ProjectInfoTable[ProjectName]=OutputTable[[#This Row],[ProjectName]]),(ProjectInfoTable[ProjectName]=OutputTable[[#This Row],[ProjectName]])*ProjectInfoTable[NumberOfReplications]))</f>
        <v>30</v>
      </c>
      <c r="K294" cm="1">
        <f t="array" ref="K294">IFERROR(AVERAGE(IF((OutputTable[GroupByKey]=OutputTable[[#This Row],[GroupByKey]]),(OutputTable[GroupByKey]=OutputTable[[#This Row],[GroupByKey]])*OutputTable[RecordedValue])),0)</f>
        <v>344.6</v>
      </c>
      <c r="L294" cm="1">
        <f t="array" ref="L294">IFERROR(_xlfn.STDEV.S(IF((OutputTable[GroupByKey]=OutputTable[[#This Row],[GroupByKey]]),(OutputTable[GroupByKey]=OutputTable[[#This Row],[GroupByKey]])*OutputTable[RecordedValue])),0)</f>
        <v>21.890952311479008</v>
      </c>
      <c r="M294" cm="1">
        <f t="array" ref="M294">MAX(IF((ProjectInfoTable[ProjectName]=OutputTable[[#This Row],[ProjectName]]),(ProjectInfoTable[ProjectName]=OutputTable[[#This Row],[ProjectName]])*ProjectInfoTable[ConfidenceInterval]))</f>
        <v>0.95</v>
      </c>
      <c r="N2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294" cm="1">
        <f t="array" ref="O294">MIN(IF((OutputTable[GroupByKey]=OutputTable[[#This Row],[GroupByKey]]),(OutputTable[GroupByKey]=OutputTable[[#This Row],[GroupByKey]])*OutputTable[RecordedValue]))</f>
        <v>311</v>
      </c>
      <c r="P294" cm="1">
        <f t="array" ref="P294">MAX(IF((OutputTable[GroupByKey]=OutputTable[[#This Row],[GroupByKey]]),(OutputTable[GroupByKey]=OutputTable[[#This Row],[GroupByKey]])*OutputTable[RecordedValue]))</f>
        <v>396</v>
      </c>
    </row>
    <row r="295" spans="1:16" x14ac:dyDescent="0.2">
      <c r="A295" t="s">
        <v>67</v>
      </c>
      <c r="B295" t="s">
        <v>70</v>
      </c>
      <c r="C295">
        <v>23</v>
      </c>
      <c r="D295" t="s">
        <v>115</v>
      </c>
      <c r="E295" t="s">
        <v>107</v>
      </c>
      <c r="F295" t="s">
        <v>95</v>
      </c>
      <c r="G295">
        <v>1.70504385964912E-3</v>
      </c>
      <c r="H295">
        <v>0</v>
      </c>
      <c r="I295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295" cm="1">
        <f t="array" ref="J295">MAX(IF((ProjectInfoTable[ProjectName]=OutputTable[[#This Row],[ProjectName]]),(ProjectInfoTable[ProjectName]=OutputTable[[#This Row],[ProjectName]])*ProjectInfoTable[NumberOfReplications]))</f>
        <v>30</v>
      </c>
      <c r="K295" cm="1">
        <f t="array" ref="K295">IFERROR(AVERAGE(IF((OutputTable[GroupByKey]=OutputTable[[#This Row],[GroupByKey]]),(OutputTable[GroupByKey]=OutputTable[[#This Row],[GroupByKey]])*OutputTable[RecordedValue])),0)</f>
        <v>1.889307012236451E-3</v>
      </c>
      <c r="L295" cm="1">
        <f t="array" ref="L295">IFERROR(_xlfn.STDEV.S(IF((OutputTable[GroupByKey]=OutputTable[[#This Row],[GroupByKey]]),(OutputTable[GroupByKey]=OutputTable[[#This Row],[GroupByKey]])*OutputTable[RecordedValue])),0)</f>
        <v>1.2015303758165521E-4</v>
      </c>
      <c r="M295" cm="1">
        <f t="array" ref="M295">MAX(IF((ProjectInfoTable[ProjectName]=OutputTable[[#This Row],[ProjectName]]),(ProjectInfoTable[ProjectName]=OutputTable[[#This Row],[ProjectName]])*ProjectInfoTable[ConfidenceInterval]))</f>
        <v>0.95</v>
      </c>
      <c r="N2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295" cm="1">
        <f t="array" ref="O295">MIN(IF((OutputTable[GroupByKey]=OutputTable[[#This Row],[GroupByKey]]),(OutputTable[GroupByKey]=OutputTable[[#This Row],[GroupByKey]])*OutputTable[RecordedValue]))</f>
        <v>1.70504385964912E-3</v>
      </c>
      <c r="P295" cm="1">
        <f t="array" ref="P295">MAX(IF((OutputTable[GroupByKey]=OutputTable[[#This Row],[GroupByKey]]),(OutputTable[GroupByKey]=OutputTable[[#This Row],[GroupByKey]])*OutputTable[RecordedValue]))</f>
        <v>2.17031677925951E-3</v>
      </c>
    </row>
    <row r="296" spans="1:16" x14ac:dyDescent="0.2">
      <c r="A296" t="s">
        <v>67</v>
      </c>
      <c r="B296" t="s">
        <v>70</v>
      </c>
      <c r="C296">
        <v>23</v>
      </c>
      <c r="D296" t="s">
        <v>116</v>
      </c>
      <c r="E296" t="s">
        <v>105</v>
      </c>
      <c r="F296" t="s">
        <v>95</v>
      </c>
      <c r="G296">
        <v>249</v>
      </c>
      <c r="H296">
        <v>0</v>
      </c>
      <c r="I296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296" cm="1">
        <f t="array" ref="J296">MAX(IF((ProjectInfoTable[ProjectName]=OutputTable[[#This Row],[ProjectName]]),(ProjectInfoTable[ProjectName]=OutputTable[[#This Row],[ProjectName]])*ProjectInfoTable[NumberOfReplications]))</f>
        <v>30</v>
      </c>
      <c r="K296" cm="1">
        <f t="array" ref="K296">IFERROR(AVERAGE(IF((OutputTable[GroupByKey]=OutputTable[[#This Row],[GroupByKey]]),(OutputTable[GroupByKey]=OutputTable[[#This Row],[GroupByKey]])*OutputTable[RecordedValue])),0)</f>
        <v>225.93333333333334</v>
      </c>
      <c r="L296" cm="1">
        <f t="array" ref="L296">IFERROR(_xlfn.STDEV.S(IF((OutputTable[GroupByKey]=OutputTable[[#This Row],[GroupByKey]]),(OutputTable[GroupByKey]=OutputTable[[#This Row],[GroupByKey]])*OutputTable[RecordedValue])),0)</f>
        <v>12.403929670244338</v>
      </c>
      <c r="M296" cm="1">
        <f t="array" ref="M296">MAX(IF((ProjectInfoTable[ProjectName]=OutputTable[[#This Row],[ProjectName]]),(ProjectInfoTable[ProjectName]=OutputTable[[#This Row],[ProjectName]])*ProjectInfoTable[ConfidenceInterval]))</f>
        <v>0.95</v>
      </c>
      <c r="N2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296" cm="1">
        <f t="array" ref="O296">MIN(IF((OutputTable[GroupByKey]=OutputTable[[#This Row],[GroupByKey]]),(OutputTable[GroupByKey]=OutputTable[[#This Row],[GroupByKey]])*OutputTable[RecordedValue]))</f>
        <v>205</v>
      </c>
      <c r="P296" cm="1">
        <f t="array" ref="P296">MAX(IF((OutputTable[GroupByKey]=OutputTable[[#This Row],[GroupByKey]]),(OutputTable[GroupByKey]=OutputTable[[#This Row],[GroupByKey]])*OutputTable[RecordedValue]))</f>
        <v>253</v>
      </c>
    </row>
    <row r="297" spans="1:16" x14ac:dyDescent="0.2">
      <c r="A297" t="s">
        <v>67</v>
      </c>
      <c r="B297" t="s">
        <v>70</v>
      </c>
      <c r="C297">
        <v>23</v>
      </c>
      <c r="D297" t="s">
        <v>117</v>
      </c>
      <c r="E297" t="s">
        <v>107</v>
      </c>
      <c r="F297" t="s">
        <v>95</v>
      </c>
      <c r="G297">
        <v>5.4605263157894704E-3</v>
      </c>
      <c r="H297">
        <v>0</v>
      </c>
      <c r="I297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297" cm="1">
        <f t="array" ref="J297">MAX(IF((ProjectInfoTable[ProjectName]=OutputTable[[#This Row],[ProjectName]]),(ProjectInfoTable[ProjectName]=OutputTable[[#This Row],[ProjectName]])*ProjectInfoTable[NumberOfReplications]))</f>
        <v>30</v>
      </c>
      <c r="K297" cm="1">
        <f t="array" ref="K297">IFERROR(AVERAGE(IF((OutputTable[GroupByKey]=OutputTable[[#This Row],[GroupByKey]]),(OutputTable[GroupByKey]=OutputTable[[#This Row],[GroupByKey]])*OutputTable[RecordedValue])),0)</f>
        <v>4.9565971649701106E-3</v>
      </c>
      <c r="L297" cm="1">
        <f t="array" ref="L297">IFERROR(_xlfn.STDEV.S(IF((OutputTable[GroupByKey]=OutputTable[[#This Row],[GroupByKey]]),(OutputTable[GroupByKey]=OutputTable[[#This Row],[GroupByKey]])*OutputTable[RecordedValue])),0)</f>
        <v>2.7167433725199517E-4</v>
      </c>
      <c r="M297" cm="1">
        <f t="array" ref="M297">MAX(IF((ProjectInfoTable[ProjectName]=OutputTable[[#This Row],[ProjectName]]),(ProjectInfoTable[ProjectName]=OutputTable[[#This Row],[ProjectName]])*ProjectInfoTable[ConfidenceInterval]))</f>
        <v>0.95</v>
      </c>
      <c r="N2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297" cm="1">
        <f t="array" ref="O297">MIN(IF((OutputTable[GroupByKey]=OutputTable[[#This Row],[GroupByKey]]),(OutputTable[GroupByKey]=OutputTable[[#This Row],[GroupByKey]])*OutputTable[RecordedValue]))</f>
        <v>4.4956140350877203E-3</v>
      </c>
      <c r="P297" cm="1">
        <f t="array" ref="P297">MAX(IF((OutputTable[GroupByKey]=OutputTable[[#This Row],[GroupByKey]]),(OutputTable[GroupByKey]=OutputTable[[#This Row],[GroupByKey]])*OutputTable[RecordedValue]))</f>
        <v>5.5482456140350904E-3</v>
      </c>
    </row>
    <row r="298" spans="1:16" x14ac:dyDescent="0.2">
      <c r="A298" t="s">
        <v>67</v>
      </c>
      <c r="B298" t="s">
        <v>70</v>
      </c>
      <c r="C298">
        <v>23</v>
      </c>
      <c r="D298" t="s">
        <v>118</v>
      </c>
      <c r="E298" t="s">
        <v>113</v>
      </c>
      <c r="F298" t="s">
        <v>119</v>
      </c>
      <c r="G298">
        <v>280</v>
      </c>
      <c r="H298">
        <v>0</v>
      </c>
      <c r="I298" t="str">
        <f>OutputTable[[#This Row],[ProjectName]]&amp;OutputTable[[#This Row],[Name]]&amp;OutputTable[[#This Row],[Type]]&amp;OutputTable[[#This Row],[Source]]</f>
        <v>Unnamed ProjectSystem.NumberOutNumber OutSystem</v>
      </c>
      <c r="J298" cm="1">
        <f t="array" ref="J298">MAX(IF((ProjectInfoTable[ProjectName]=OutputTable[[#This Row],[ProjectName]]),(ProjectInfoTable[ProjectName]=OutputTable[[#This Row],[ProjectName]])*ProjectInfoTable[NumberOfReplications]))</f>
        <v>30</v>
      </c>
      <c r="K298" cm="1">
        <f t="array" ref="K298">IFERROR(AVERAGE(IF((OutputTable[GroupByKey]=OutputTable[[#This Row],[GroupByKey]]),(OutputTable[GroupByKey]=OutputTable[[#This Row],[GroupByKey]])*OutputTable[RecordedValue])),0)</f>
        <v>285.3</v>
      </c>
      <c r="L298" cm="1">
        <f t="array" ref="L298">IFERROR(_xlfn.STDEV.S(IF((OutputTable[GroupByKey]=OutputTable[[#This Row],[GroupByKey]]),(OutputTable[GroupByKey]=OutputTable[[#This Row],[GroupByKey]])*OutputTable[RecordedValue])),0)</f>
        <v>12.739160368585981</v>
      </c>
      <c r="M298" cm="1">
        <f t="array" ref="M298">MAX(IF((ProjectInfoTable[ProjectName]=OutputTable[[#This Row],[ProjectName]]),(ProjectInfoTable[ProjectName]=OutputTable[[#This Row],[ProjectName]])*ProjectInfoTable[ConfidenceInterval]))</f>
        <v>0.95</v>
      </c>
      <c r="N2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298" cm="1">
        <f t="array" ref="O298">MIN(IF((OutputTable[GroupByKey]=OutputTable[[#This Row],[GroupByKey]]),(OutputTable[GroupByKey]=OutputTable[[#This Row],[GroupByKey]])*OutputTable[RecordedValue]))</f>
        <v>266</v>
      </c>
      <c r="P298" cm="1">
        <f t="array" ref="P298">MAX(IF((OutputTable[GroupByKey]=OutputTable[[#This Row],[GroupByKey]]),(OutputTable[GroupByKey]=OutputTable[[#This Row],[GroupByKey]])*OutputTable[RecordedValue]))</f>
        <v>318</v>
      </c>
    </row>
    <row r="299" spans="1:16" x14ac:dyDescent="0.2">
      <c r="A299" t="s">
        <v>67</v>
      </c>
      <c r="B299" t="s">
        <v>70</v>
      </c>
      <c r="C299">
        <v>23</v>
      </c>
      <c r="D299" t="s">
        <v>120</v>
      </c>
      <c r="E299" t="s">
        <v>105</v>
      </c>
      <c r="F299" t="s">
        <v>95</v>
      </c>
      <c r="G299">
        <v>140</v>
      </c>
      <c r="H299">
        <v>0</v>
      </c>
      <c r="I299" t="str">
        <f>OutputTable[[#This Row],[ProjectName]]&amp;OutputTable[[#This Row],[Name]]&amp;OutputTable[[#This Row],[Type]]&amp;OutputTable[[#This Row],[Source]]</f>
        <v>Unnamed ProjectWaiter.NumberSeizedTotal Number SeizedResource</v>
      </c>
      <c r="J299" cm="1">
        <f t="array" ref="J299">MAX(IF((ProjectInfoTable[ProjectName]=OutputTable[[#This Row],[ProjectName]]),(ProjectInfoTable[ProjectName]=OutputTable[[#This Row],[ProjectName]])*ProjectInfoTable[NumberOfReplications]))</f>
        <v>30</v>
      </c>
      <c r="K299" cm="1">
        <f t="array" ref="K299">IFERROR(AVERAGE(IF((OutputTable[GroupByKey]=OutputTable[[#This Row],[GroupByKey]]),(OutputTable[GroupByKey]=OutputTable[[#This Row],[GroupByKey]])*OutputTable[RecordedValue])),0)</f>
        <v>142.66666666666666</v>
      </c>
      <c r="L299" cm="1">
        <f t="array" ref="L299">IFERROR(_xlfn.STDEV.S(IF((OutputTable[GroupByKey]=OutputTable[[#This Row],[GroupByKey]]),(OutputTable[GroupByKey]=OutputTable[[#This Row],[GroupByKey]])*OutputTable[RecordedValue])),0)</f>
        <v>6.4505190025531167</v>
      </c>
      <c r="M299" cm="1">
        <f t="array" ref="M299">MAX(IF((ProjectInfoTable[ProjectName]=OutputTable[[#This Row],[ProjectName]]),(ProjectInfoTable[ProjectName]=OutputTable[[#This Row],[ProjectName]])*ProjectInfoTable[ConfidenceInterval]))</f>
        <v>0.95</v>
      </c>
      <c r="N2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299" cm="1">
        <f t="array" ref="O299">MIN(IF((OutputTable[GroupByKey]=OutputTable[[#This Row],[GroupByKey]]),(OutputTable[GroupByKey]=OutputTable[[#This Row],[GroupByKey]])*OutputTable[RecordedValue]))</f>
        <v>132</v>
      </c>
      <c r="P299" cm="1">
        <f t="array" ref="P299">MAX(IF((OutputTable[GroupByKey]=OutputTable[[#This Row],[GroupByKey]]),(OutputTable[GroupByKey]=OutputTable[[#This Row],[GroupByKey]])*OutputTable[RecordedValue]))</f>
        <v>160</v>
      </c>
    </row>
    <row r="300" spans="1:16" x14ac:dyDescent="0.2">
      <c r="A300" t="s">
        <v>67</v>
      </c>
      <c r="B300" t="s">
        <v>70</v>
      </c>
      <c r="C300">
        <v>23</v>
      </c>
      <c r="D300" t="s">
        <v>121</v>
      </c>
      <c r="E300" t="s">
        <v>107</v>
      </c>
      <c r="F300" t="s">
        <v>95</v>
      </c>
      <c r="G300">
        <v>8.2013617748435103E-2</v>
      </c>
      <c r="H300">
        <v>0</v>
      </c>
      <c r="I300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300" cm="1">
        <f t="array" ref="J300">MAX(IF((ProjectInfoTable[ProjectName]=OutputTable[[#This Row],[ProjectName]]),(ProjectInfoTable[ProjectName]=OutputTable[[#This Row],[ProjectName]])*ProjectInfoTable[NumberOfReplications]))</f>
        <v>30</v>
      </c>
      <c r="K300" cm="1">
        <f t="array" ref="K300">IFERROR(AVERAGE(IF((OutputTable[GroupByKey]=OutputTable[[#This Row],[GroupByKey]]),(OutputTable[GroupByKey]=OutputTable[[#This Row],[GroupByKey]])*OutputTable[RecordedValue])),0)</f>
        <v>8.3509459606410805E-2</v>
      </c>
      <c r="L300" cm="1">
        <f t="array" ref="L300">IFERROR(_xlfn.STDEV.S(IF((OutputTable[GroupByKey]=OutputTable[[#This Row],[GroupByKey]]),(OutputTable[GroupByKey]=OutputTable[[#This Row],[GroupByKey]])*OutputTable[RecordedValue])),0)</f>
        <v>3.5452891325333867E-3</v>
      </c>
      <c r="M300" cm="1">
        <f t="array" ref="M300">MAX(IF((ProjectInfoTable[ProjectName]=OutputTable[[#This Row],[ProjectName]]),(ProjectInfoTable[ProjectName]=OutputTable[[#This Row],[ProjectName]])*ProjectInfoTable[ConfidenceInterval]))</f>
        <v>0.95</v>
      </c>
      <c r="N3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300" cm="1">
        <f t="array" ref="O300">MIN(IF((OutputTable[GroupByKey]=OutputTable[[#This Row],[GroupByKey]]),(OutputTable[GroupByKey]=OutputTable[[#This Row],[GroupByKey]])*OutputTable[RecordedValue]))</f>
        <v>7.7176470357847096E-2</v>
      </c>
      <c r="P300" cm="1">
        <f t="array" ref="P300">MAX(IF((OutputTable[GroupByKey]=OutputTable[[#This Row],[GroupByKey]]),(OutputTable[GroupByKey]=OutputTable[[#This Row],[GroupByKey]])*OutputTable[RecordedValue]))</f>
        <v>9.2534326714405798E-2</v>
      </c>
    </row>
    <row r="301" spans="1:16" x14ac:dyDescent="0.2">
      <c r="A301" t="s">
        <v>67</v>
      </c>
      <c r="B301" t="s">
        <v>70</v>
      </c>
      <c r="C301">
        <v>24</v>
      </c>
      <c r="D301" t="s">
        <v>104</v>
      </c>
      <c r="E301" t="s">
        <v>105</v>
      </c>
      <c r="F301" t="s">
        <v>95</v>
      </c>
      <c r="G301">
        <v>291</v>
      </c>
      <c r="H301">
        <v>0</v>
      </c>
      <c r="I301" t="str">
        <f>OutputTable[[#This Row],[ProjectName]]&amp;OutputTable[[#This Row],[Name]]&amp;OutputTable[[#This Row],[Type]]&amp;OutputTable[[#This Row],[Source]]</f>
        <v>Unnamed ProjectCleaner.NumberSeizedTotal Number SeizedResource</v>
      </c>
      <c r="J301" cm="1">
        <f t="array" ref="J301">MAX(IF((ProjectInfoTable[ProjectName]=OutputTable[[#This Row],[ProjectName]]),(ProjectInfoTable[ProjectName]=OutputTable[[#This Row],[ProjectName]])*ProjectInfoTable[NumberOfReplications]))</f>
        <v>30</v>
      </c>
      <c r="K301" cm="1">
        <f t="array" ref="K301">IFERROR(AVERAGE(IF((OutputTable[GroupByKey]=OutputTable[[#This Row],[GroupByKey]]),(OutputTable[GroupByKey]=OutputTable[[#This Row],[GroupByKey]])*OutputTable[RecordedValue])),0)</f>
        <v>285.39999999999998</v>
      </c>
      <c r="L301" cm="1">
        <f t="array" ref="L301">IFERROR(_xlfn.STDEV.S(IF((OutputTable[GroupByKey]=OutputTable[[#This Row],[GroupByKey]]),(OutputTable[GroupByKey]=OutputTable[[#This Row],[GroupByKey]])*OutputTable[RecordedValue])),0)</f>
        <v>12.88302812979555</v>
      </c>
      <c r="M301" cm="1">
        <f t="array" ref="M301">MAX(IF((ProjectInfoTable[ProjectName]=OutputTable[[#This Row],[ProjectName]]),(ProjectInfoTable[ProjectName]=OutputTable[[#This Row],[ProjectName]])*ProjectInfoTable[ConfidenceInterval]))</f>
        <v>0.95</v>
      </c>
      <c r="N3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301" cm="1">
        <f t="array" ref="O301">MIN(IF((OutputTable[GroupByKey]=OutputTable[[#This Row],[GroupByKey]]),(OutputTable[GroupByKey]=OutputTable[[#This Row],[GroupByKey]])*OutputTable[RecordedValue]))</f>
        <v>266</v>
      </c>
      <c r="P301" cm="1">
        <f t="array" ref="P301">MAX(IF((OutputTable[GroupByKey]=OutputTable[[#This Row],[GroupByKey]]),(OutputTable[GroupByKey]=OutputTable[[#This Row],[GroupByKey]])*OutputTable[RecordedValue]))</f>
        <v>318</v>
      </c>
    </row>
    <row r="302" spans="1:16" x14ac:dyDescent="0.2">
      <c r="A302" t="s">
        <v>67</v>
      </c>
      <c r="B302" t="s">
        <v>70</v>
      </c>
      <c r="C302">
        <v>24</v>
      </c>
      <c r="D302" t="s">
        <v>106</v>
      </c>
      <c r="E302" t="s">
        <v>107</v>
      </c>
      <c r="F302" t="s">
        <v>95</v>
      </c>
      <c r="G302">
        <v>0.25526315789473702</v>
      </c>
      <c r="H302">
        <v>0</v>
      </c>
      <c r="I302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302" cm="1">
        <f t="array" ref="J302">MAX(IF((ProjectInfoTable[ProjectName]=OutputTable[[#This Row],[ProjectName]]),(ProjectInfoTable[ProjectName]=OutputTable[[#This Row],[ProjectName]])*ProjectInfoTable[NumberOfReplications]))</f>
        <v>30</v>
      </c>
      <c r="K302" cm="1">
        <f t="array" ref="K302">IFERROR(AVERAGE(IF((OutputTable[GroupByKey]=OutputTable[[#This Row],[GroupByKey]]),(OutputTable[GroupByKey]=OutputTable[[#This Row],[GroupByKey]])*OutputTable[RecordedValue])),0)</f>
        <v>0.25031804088290305</v>
      </c>
      <c r="L302" cm="1">
        <f t="array" ref="L302">IFERROR(_xlfn.STDEV.S(IF((OutputTable[GroupByKey]=OutputTable[[#This Row],[GroupByKey]]),(OutputTable[GroupByKey]=OutputTable[[#This Row],[GroupByKey]])*OutputTable[RecordedValue])),0)</f>
        <v>1.1255778929137084E-2</v>
      </c>
      <c r="M302" cm="1">
        <f t="array" ref="M302">MAX(IF((ProjectInfoTable[ProjectName]=OutputTable[[#This Row],[ProjectName]]),(ProjectInfoTable[ProjectName]=OutputTable[[#This Row],[ProjectName]])*ProjectInfoTable[ConfidenceInterval]))</f>
        <v>0.95</v>
      </c>
      <c r="N3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302" cm="1">
        <f t="array" ref="O302">MIN(IF((OutputTable[GroupByKey]=OutputTable[[#This Row],[GroupByKey]]),(OutputTable[GroupByKey]=OutputTable[[#This Row],[GroupByKey]])*OutputTable[RecordedValue]))</f>
        <v>0.233333333333333</v>
      </c>
      <c r="P302" cm="1">
        <f t="array" ref="P302">MAX(IF((OutputTable[GroupByKey]=OutputTable[[#This Row],[GroupByKey]]),(OutputTable[GroupByKey]=OutputTable[[#This Row],[GroupByKey]])*OutputTable[RecordedValue]))</f>
        <v>0.27905535859326402</v>
      </c>
    </row>
    <row r="303" spans="1:16" x14ac:dyDescent="0.2">
      <c r="A303" t="s">
        <v>67</v>
      </c>
      <c r="B303" t="s">
        <v>70</v>
      </c>
      <c r="C303">
        <v>24</v>
      </c>
      <c r="D303" t="s">
        <v>108</v>
      </c>
      <c r="E303" t="s">
        <v>105</v>
      </c>
      <c r="F303" t="s">
        <v>95</v>
      </c>
      <c r="G303">
        <v>296</v>
      </c>
      <c r="H303">
        <v>0</v>
      </c>
      <c r="I303" t="str">
        <f>OutputTable[[#This Row],[ProjectName]]&amp;OutputTable[[#This Row],[Name]]&amp;OutputTable[[#This Row],[Type]]&amp;OutputTable[[#This Row],[Source]]</f>
        <v>Unnamed ProjectCooker.NumberSeizedTotal Number SeizedResource</v>
      </c>
      <c r="J303" cm="1">
        <f t="array" ref="J303">MAX(IF((ProjectInfoTable[ProjectName]=OutputTable[[#This Row],[ProjectName]]),(ProjectInfoTable[ProjectName]=OutputTable[[#This Row],[ProjectName]])*ProjectInfoTable[NumberOfReplications]))</f>
        <v>30</v>
      </c>
      <c r="K303" cm="1">
        <f t="array" ref="K303">IFERROR(AVERAGE(IF((OutputTable[GroupByKey]=OutputTable[[#This Row],[GroupByKey]]),(OutputTable[GroupByKey]=OutputTable[[#This Row],[GroupByKey]])*OutputTable[RecordedValue])),0)</f>
        <v>285.66666666666669</v>
      </c>
      <c r="L303" cm="1">
        <f t="array" ref="L303">IFERROR(_xlfn.STDEV.S(IF((OutputTable[GroupByKey]=OutputTable[[#This Row],[GroupByKey]]),(OutputTable[GroupByKey]=OutputTable[[#This Row],[GroupByKey]])*OutputTable[RecordedValue])),0)</f>
        <v>12.949060233064802</v>
      </c>
      <c r="M303" cm="1">
        <f t="array" ref="M303">MAX(IF((ProjectInfoTable[ProjectName]=OutputTable[[#This Row],[ProjectName]]),(ProjectInfoTable[ProjectName]=OutputTable[[#This Row],[ProjectName]])*ProjectInfoTable[ConfidenceInterval]))</f>
        <v>0.95</v>
      </c>
      <c r="N3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303" cm="1">
        <f t="array" ref="O303">MIN(IF((OutputTable[GroupByKey]=OutputTable[[#This Row],[GroupByKey]]),(OutputTable[GroupByKey]=OutputTable[[#This Row],[GroupByKey]])*OutputTable[RecordedValue]))</f>
        <v>264</v>
      </c>
      <c r="P303" cm="1">
        <f t="array" ref="P303">MAX(IF((OutputTable[GroupByKey]=OutputTable[[#This Row],[GroupByKey]]),(OutputTable[GroupByKey]=OutputTable[[#This Row],[GroupByKey]])*OutputTable[RecordedValue]))</f>
        <v>320</v>
      </c>
    </row>
    <row r="304" spans="1:16" x14ac:dyDescent="0.2">
      <c r="A304" t="s">
        <v>67</v>
      </c>
      <c r="B304" t="s">
        <v>70</v>
      </c>
      <c r="C304">
        <v>24</v>
      </c>
      <c r="D304" t="s">
        <v>109</v>
      </c>
      <c r="E304" t="s">
        <v>107</v>
      </c>
      <c r="F304" t="s">
        <v>95</v>
      </c>
      <c r="G304">
        <v>0.66437615485295698</v>
      </c>
      <c r="H304">
        <v>0</v>
      </c>
      <c r="I304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304" cm="1">
        <f t="array" ref="J304">MAX(IF((ProjectInfoTable[ProjectName]=OutputTable[[#This Row],[ProjectName]]),(ProjectInfoTable[ProjectName]=OutputTable[[#This Row],[ProjectName]])*ProjectInfoTable[NumberOfReplications]))</f>
        <v>30</v>
      </c>
      <c r="K304" cm="1">
        <f t="array" ref="K304">IFERROR(AVERAGE(IF((OutputTable[GroupByKey]=OutputTable[[#This Row],[GroupByKey]]),(OutputTable[GroupByKey]=OutputTable[[#This Row],[GroupByKey]])*OutputTable[RecordedValue])),0)</f>
        <v>0.62721981794251769</v>
      </c>
      <c r="L304" cm="1">
        <f t="array" ref="L304">IFERROR(_xlfn.STDEV.S(IF((OutputTable[GroupByKey]=OutputTable[[#This Row],[GroupByKey]]),(OutputTable[GroupByKey]=OutputTable[[#This Row],[GroupByKey]])*OutputTable[RecordedValue])),0)</f>
        <v>2.6376107220918699E-2</v>
      </c>
      <c r="M304" cm="1">
        <f t="array" ref="M304">MAX(IF((ProjectInfoTable[ProjectName]=OutputTable[[#This Row],[ProjectName]]),(ProjectInfoTable[ProjectName]=OutputTable[[#This Row],[ProjectName]])*ProjectInfoTable[ConfidenceInterval]))</f>
        <v>0.95</v>
      </c>
      <c r="N3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304" cm="1">
        <f t="array" ref="O304">MIN(IF((OutputTable[GroupByKey]=OutputTable[[#This Row],[GroupByKey]]),(OutputTable[GroupByKey]=OutputTable[[#This Row],[GroupByKey]])*OutputTable[RecordedValue]))</f>
        <v>0.58256422876290004</v>
      </c>
      <c r="P304" cm="1">
        <f t="array" ref="P304">MAX(IF((OutputTable[GroupByKey]=OutputTable[[#This Row],[GroupByKey]]),(OutputTable[GroupByKey]=OutputTable[[#This Row],[GroupByKey]])*OutputTable[RecordedValue]))</f>
        <v>0.68643238055161704</v>
      </c>
    </row>
    <row r="305" spans="1:16" x14ac:dyDescent="0.2">
      <c r="A305" t="s">
        <v>67</v>
      </c>
      <c r="B305" t="s">
        <v>70</v>
      </c>
      <c r="C305">
        <v>24</v>
      </c>
      <c r="D305" t="s">
        <v>110</v>
      </c>
      <c r="E305" t="s">
        <v>111</v>
      </c>
      <c r="F305" t="s">
        <v>76</v>
      </c>
      <c r="G305">
        <v>889</v>
      </c>
      <c r="H305">
        <v>0</v>
      </c>
      <c r="I305" t="str">
        <f>OutputTable[[#This Row],[ProjectName]]&amp;OutputTable[[#This Row],[Name]]&amp;OutputTable[[#This Row],[Type]]&amp;OutputTable[[#This Row],[Source]]</f>
        <v>Unnamed ProjectCustomer.NumberInNumber InEntity</v>
      </c>
      <c r="J305" cm="1">
        <f t="array" ref="J305">MAX(IF((ProjectInfoTable[ProjectName]=OutputTable[[#This Row],[ProjectName]]),(ProjectInfoTable[ProjectName]=OutputTable[[#This Row],[ProjectName]])*ProjectInfoTable[NumberOfReplications]))</f>
        <v>30</v>
      </c>
      <c r="K305" cm="1">
        <f t="array" ref="K305">IFERROR(AVERAGE(IF((OutputTable[GroupByKey]=OutputTable[[#This Row],[GroupByKey]]),(OutputTable[GroupByKey]=OutputTable[[#This Row],[GroupByKey]])*OutputTable[RecordedValue])),0)</f>
        <v>855.93333333333328</v>
      </c>
      <c r="L305" cm="1">
        <f t="array" ref="L305">IFERROR(_xlfn.STDEV.S(IF((OutputTable[GroupByKey]=OutputTable[[#This Row],[GroupByKey]]),(OutputTable[GroupByKey]=OutputTable[[#This Row],[GroupByKey]])*OutputTable[RecordedValue])),0)</f>
        <v>38.659373073509371</v>
      </c>
      <c r="M305" cm="1">
        <f t="array" ref="M305">MAX(IF((ProjectInfoTable[ProjectName]=OutputTable[[#This Row],[ProjectName]]),(ProjectInfoTable[ProjectName]=OutputTable[[#This Row],[ProjectName]])*ProjectInfoTable[ConfidenceInterval]))</f>
        <v>0.95</v>
      </c>
      <c r="N3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305" cm="1">
        <f t="array" ref="O305">MIN(IF((OutputTable[GroupByKey]=OutputTable[[#This Row],[GroupByKey]]),(OutputTable[GroupByKey]=OutputTable[[#This Row],[GroupByKey]])*OutputTable[RecordedValue]))</f>
        <v>792</v>
      </c>
      <c r="P305" cm="1">
        <f t="array" ref="P305">MAX(IF((OutputTable[GroupByKey]=OutputTable[[#This Row],[GroupByKey]]),(OutputTable[GroupByKey]=OutputTable[[#This Row],[GroupByKey]])*OutputTable[RecordedValue]))</f>
        <v>958</v>
      </c>
    </row>
    <row r="306" spans="1:16" x14ac:dyDescent="0.2">
      <c r="A306" t="s">
        <v>67</v>
      </c>
      <c r="B306" t="s">
        <v>70</v>
      </c>
      <c r="C306">
        <v>24</v>
      </c>
      <c r="D306" t="s">
        <v>112</v>
      </c>
      <c r="E306" t="s">
        <v>113</v>
      </c>
      <c r="F306" t="s">
        <v>76</v>
      </c>
      <c r="G306">
        <v>871</v>
      </c>
      <c r="H306">
        <v>0</v>
      </c>
      <c r="I306" t="str">
        <f>OutputTable[[#This Row],[ProjectName]]&amp;OutputTable[[#This Row],[Name]]&amp;OutputTable[[#This Row],[Type]]&amp;OutputTable[[#This Row],[Source]]</f>
        <v>Unnamed ProjectCustomer.NumberOutNumber OutEntity</v>
      </c>
      <c r="J306" cm="1">
        <f t="array" ref="J306">MAX(IF((ProjectInfoTable[ProjectName]=OutputTable[[#This Row],[ProjectName]]),(ProjectInfoTable[ProjectName]=OutputTable[[#This Row],[ProjectName]])*ProjectInfoTable[NumberOfReplications]))</f>
        <v>30</v>
      </c>
      <c r="K306" cm="1">
        <f t="array" ref="K306">IFERROR(AVERAGE(IF((OutputTable[GroupByKey]=OutputTable[[#This Row],[GroupByKey]]),(OutputTable[GroupByKey]=OutputTable[[#This Row],[GroupByKey]])*OutputTable[RecordedValue])),0)</f>
        <v>855.3</v>
      </c>
      <c r="L306" cm="1">
        <f t="array" ref="L306">IFERROR(_xlfn.STDEV.S(IF((OutputTable[GroupByKey]=OutputTable[[#This Row],[GroupByKey]]),(OutputTable[GroupByKey]=OutputTable[[#This Row],[GroupByKey]])*OutputTable[RecordedValue])),0)</f>
        <v>38.322722169527033</v>
      </c>
      <c r="M306" cm="1">
        <f t="array" ref="M306">MAX(IF((ProjectInfoTable[ProjectName]=OutputTable[[#This Row],[ProjectName]]),(ProjectInfoTable[ProjectName]=OutputTable[[#This Row],[ProjectName]])*ProjectInfoTable[ConfidenceInterval]))</f>
        <v>0.95</v>
      </c>
      <c r="N3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306" cm="1">
        <f t="array" ref="O306">MIN(IF((OutputTable[GroupByKey]=OutputTable[[#This Row],[GroupByKey]]),(OutputTable[GroupByKey]=OutputTable[[#This Row],[GroupByKey]])*OutputTable[RecordedValue]))</f>
        <v>798</v>
      </c>
      <c r="P306" cm="1">
        <f t="array" ref="P306">MAX(IF((OutputTable[GroupByKey]=OutputTable[[#This Row],[GroupByKey]]),(OutputTable[GroupByKey]=OutputTable[[#This Row],[GroupByKey]])*OutputTable[RecordedValue]))</f>
        <v>954</v>
      </c>
    </row>
    <row r="307" spans="1:16" x14ac:dyDescent="0.2">
      <c r="A307" t="s">
        <v>67</v>
      </c>
      <c r="B307" t="s">
        <v>70</v>
      </c>
      <c r="C307">
        <v>24</v>
      </c>
      <c r="D307" t="s">
        <v>114</v>
      </c>
      <c r="E307" t="s">
        <v>105</v>
      </c>
      <c r="F307" t="s">
        <v>95</v>
      </c>
      <c r="G307">
        <v>371</v>
      </c>
      <c r="H307">
        <v>0</v>
      </c>
      <c r="I307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307" cm="1">
        <f t="array" ref="J307">MAX(IF((ProjectInfoTable[ProjectName]=OutputTable[[#This Row],[ProjectName]]),(ProjectInfoTable[ProjectName]=OutputTable[[#This Row],[ProjectName]])*ProjectInfoTable[NumberOfReplications]))</f>
        <v>30</v>
      </c>
      <c r="K307" cm="1">
        <f t="array" ref="K307">IFERROR(AVERAGE(IF((OutputTable[GroupByKey]=OutputTable[[#This Row],[GroupByKey]]),(OutputTable[GroupByKey]=OutputTable[[#This Row],[GroupByKey]])*OutputTable[RecordedValue])),0)</f>
        <v>344.6</v>
      </c>
      <c r="L307" cm="1">
        <f t="array" ref="L307">IFERROR(_xlfn.STDEV.S(IF((OutputTable[GroupByKey]=OutputTable[[#This Row],[GroupByKey]]),(OutputTable[GroupByKey]=OutputTable[[#This Row],[GroupByKey]])*OutputTable[RecordedValue])),0)</f>
        <v>21.890952311479008</v>
      </c>
      <c r="M307" cm="1">
        <f t="array" ref="M307">MAX(IF((ProjectInfoTable[ProjectName]=OutputTable[[#This Row],[ProjectName]]),(ProjectInfoTable[ProjectName]=OutputTable[[#This Row],[ProjectName]])*ProjectInfoTable[ConfidenceInterval]))</f>
        <v>0.95</v>
      </c>
      <c r="N3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307" cm="1">
        <f t="array" ref="O307">MIN(IF((OutputTable[GroupByKey]=OutputTable[[#This Row],[GroupByKey]]),(OutputTable[GroupByKey]=OutputTable[[#This Row],[GroupByKey]])*OutputTable[RecordedValue]))</f>
        <v>311</v>
      </c>
      <c r="P307" cm="1">
        <f t="array" ref="P307">MAX(IF((OutputTable[GroupByKey]=OutputTable[[#This Row],[GroupByKey]]),(OutputTable[GroupByKey]=OutputTable[[#This Row],[GroupByKey]])*OutputTable[RecordedValue]))</f>
        <v>396</v>
      </c>
    </row>
    <row r="308" spans="1:16" x14ac:dyDescent="0.2">
      <c r="A308" t="s">
        <v>67</v>
      </c>
      <c r="B308" t="s">
        <v>70</v>
      </c>
      <c r="C308">
        <v>24</v>
      </c>
      <c r="D308" t="s">
        <v>115</v>
      </c>
      <c r="E308" t="s">
        <v>107</v>
      </c>
      <c r="F308" t="s">
        <v>95</v>
      </c>
      <c r="G308">
        <v>2.0339912280701801E-3</v>
      </c>
      <c r="H308">
        <v>0</v>
      </c>
      <c r="I308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308" cm="1">
        <f t="array" ref="J308">MAX(IF((ProjectInfoTable[ProjectName]=OutputTable[[#This Row],[ProjectName]]),(ProjectInfoTable[ProjectName]=OutputTable[[#This Row],[ProjectName]])*ProjectInfoTable[NumberOfReplications]))</f>
        <v>30</v>
      </c>
      <c r="K308" cm="1">
        <f t="array" ref="K308">IFERROR(AVERAGE(IF((OutputTable[GroupByKey]=OutputTable[[#This Row],[GroupByKey]]),(OutputTable[GroupByKey]=OutputTable[[#This Row],[GroupByKey]])*OutputTable[RecordedValue])),0)</f>
        <v>1.889307012236451E-3</v>
      </c>
      <c r="L308" cm="1">
        <f t="array" ref="L308">IFERROR(_xlfn.STDEV.S(IF((OutputTable[GroupByKey]=OutputTable[[#This Row],[GroupByKey]]),(OutputTable[GroupByKey]=OutputTable[[#This Row],[GroupByKey]])*OutputTable[RecordedValue])),0)</f>
        <v>1.2015303758165521E-4</v>
      </c>
      <c r="M308" cm="1">
        <f t="array" ref="M308">MAX(IF((ProjectInfoTable[ProjectName]=OutputTable[[#This Row],[ProjectName]]),(ProjectInfoTable[ProjectName]=OutputTable[[#This Row],[ProjectName]])*ProjectInfoTable[ConfidenceInterval]))</f>
        <v>0.95</v>
      </c>
      <c r="N3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308" cm="1">
        <f t="array" ref="O308">MIN(IF((OutputTable[GroupByKey]=OutputTable[[#This Row],[GroupByKey]]),(OutputTable[GroupByKey]=OutputTable[[#This Row],[GroupByKey]])*OutputTable[RecordedValue]))</f>
        <v>1.70504385964912E-3</v>
      </c>
      <c r="P308" cm="1">
        <f t="array" ref="P308">MAX(IF((OutputTable[GroupByKey]=OutputTable[[#This Row],[GroupByKey]]),(OutputTable[GroupByKey]=OutputTable[[#This Row],[GroupByKey]])*OutputTable[RecordedValue]))</f>
        <v>2.17031677925951E-3</v>
      </c>
    </row>
    <row r="309" spans="1:16" x14ac:dyDescent="0.2">
      <c r="A309" t="s">
        <v>67</v>
      </c>
      <c r="B309" t="s">
        <v>70</v>
      </c>
      <c r="C309">
        <v>24</v>
      </c>
      <c r="D309" t="s">
        <v>116</v>
      </c>
      <c r="E309" t="s">
        <v>105</v>
      </c>
      <c r="F309" t="s">
        <v>95</v>
      </c>
      <c r="G309">
        <v>222</v>
      </c>
      <c r="H309">
        <v>0</v>
      </c>
      <c r="I309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309" cm="1">
        <f t="array" ref="J309">MAX(IF((ProjectInfoTable[ProjectName]=OutputTable[[#This Row],[ProjectName]]),(ProjectInfoTable[ProjectName]=OutputTable[[#This Row],[ProjectName]])*ProjectInfoTable[NumberOfReplications]))</f>
        <v>30</v>
      </c>
      <c r="K309" cm="1">
        <f t="array" ref="K309">IFERROR(AVERAGE(IF((OutputTable[GroupByKey]=OutputTable[[#This Row],[GroupByKey]]),(OutputTable[GroupByKey]=OutputTable[[#This Row],[GroupByKey]])*OutputTable[RecordedValue])),0)</f>
        <v>225.93333333333334</v>
      </c>
      <c r="L309" cm="1">
        <f t="array" ref="L309">IFERROR(_xlfn.STDEV.S(IF((OutputTable[GroupByKey]=OutputTable[[#This Row],[GroupByKey]]),(OutputTable[GroupByKey]=OutputTable[[#This Row],[GroupByKey]])*OutputTable[RecordedValue])),0)</f>
        <v>12.403929670244338</v>
      </c>
      <c r="M309" cm="1">
        <f t="array" ref="M309">MAX(IF((ProjectInfoTable[ProjectName]=OutputTable[[#This Row],[ProjectName]]),(ProjectInfoTable[ProjectName]=OutputTable[[#This Row],[ProjectName]])*ProjectInfoTable[ConfidenceInterval]))</f>
        <v>0.95</v>
      </c>
      <c r="N3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309" cm="1">
        <f t="array" ref="O309">MIN(IF((OutputTable[GroupByKey]=OutputTable[[#This Row],[GroupByKey]]),(OutputTable[GroupByKey]=OutputTable[[#This Row],[GroupByKey]])*OutputTable[RecordedValue]))</f>
        <v>205</v>
      </c>
      <c r="P309" cm="1">
        <f t="array" ref="P309">MAX(IF((OutputTable[GroupByKey]=OutputTable[[#This Row],[GroupByKey]]),(OutputTable[GroupByKey]=OutputTable[[#This Row],[GroupByKey]])*OutputTable[RecordedValue]))</f>
        <v>253</v>
      </c>
    </row>
    <row r="310" spans="1:16" x14ac:dyDescent="0.2">
      <c r="A310" t="s">
        <v>67</v>
      </c>
      <c r="B310" t="s">
        <v>70</v>
      </c>
      <c r="C310">
        <v>24</v>
      </c>
      <c r="D310" t="s">
        <v>117</v>
      </c>
      <c r="E310" t="s">
        <v>107</v>
      </c>
      <c r="F310" t="s">
        <v>95</v>
      </c>
      <c r="G310">
        <v>4.86842105263158E-3</v>
      </c>
      <c r="H310">
        <v>0</v>
      </c>
      <c r="I310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310" cm="1">
        <f t="array" ref="J310">MAX(IF((ProjectInfoTable[ProjectName]=OutputTable[[#This Row],[ProjectName]]),(ProjectInfoTable[ProjectName]=OutputTable[[#This Row],[ProjectName]])*ProjectInfoTable[NumberOfReplications]))</f>
        <v>30</v>
      </c>
      <c r="K310" cm="1">
        <f t="array" ref="K310">IFERROR(AVERAGE(IF((OutputTable[GroupByKey]=OutputTable[[#This Row],[GroupByKey]]),(OutputTable[GroupByKey]=OutputTable[[#This Row],[GroupByKey]])*OutputTable[RecordedValue])),0)</f>
        <v>4.9565971649701106E-3</v>
      </c>
      <c r="L310" cm="1">
        <f t="array" ref="L310">IFERROR(_xlfn.STDEV.S(IF((OutputTable[GroupByKey]=OutputTable[[#This Row],[GroupByKey]]),(OutputTable[GroupByKey]=OutputTable[[#This Row],[GroupByKey]])*OutputTable[RecordedValue])),0)</f>
        <v>2.7167433725199517E-4</v>
      </c>
      <c r="M310" cm="1">
        <f t="array" ref="M310">MAX(IF((ProjectInfoTable[ProjectName]=OutputTable[[#This Row],[ProjectName]]),(ProjectInfoTable[ProjectName]=OutputTable[[#This Row],[ProjectName]])*ProjectInfoTable[ConfidenceInterval]))</f>
        <v>0.95</v>
      </c>
      <c r="N3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310" cm="1">
        <f t="array" ref="O310">MIN(IF((OutputTable[GroupByKey]=OutputTable[[#This Row],[GroupByKey]]),(OutputTable[GroupByKey]=OutputTable[[#This Row],[GroupByKey]])*OutputTable[RecordedValue]))</f>
        <v>4.4956140350877203E-3</v>
      </c>
      <c r="P310" cm="1">
        <f t="array" ref="P310">MAX(IF((OutputTable[GroupByKey]=OutputTable[[#This Row],[GroupByKey]]),(OutputTable[GroupByKey]=OutputTable[[#This Row],[GroupByKey]])*OutputTable[RecordedValue]))</f>
        <v>5.5482456140350904E-3</v>
      </c>
    </row>
    <row r="311" spans="1:16" x14ac:dyDescent="0.2">
      <c r="A311" t="s">
        <v>67</v>
      </c>
      <c r="B311" t="s">
        <v>70</v>
      </c>
      <c r="C311">
        <v>24</v>
      </c>
      <c r="D311" t="s">
        <v>118</v>
      </c>
      <c r="E311" t="s">
        <v>113</v>
      </c>
      <c r="F311" t="s">
        <v>119</v>
      </c>
      <c r="G311">
        <v>291</v>
      </c>
      <c r="H311">
        <v>0</v>
      </c>
      <c r="I311" t="str">
        <f>OutputTable[[#This Row],[ProjectName]]&amp;OutputTable[[#This Row],[Name]]&amp;OutputTable[[#This Row],[Type]]&amp;OutputTable[[#This Row],[Source]]</f>
        <v>Unnamed ProjectSystem.NumberOutNumber OutSystem</v>
      </c>
      <c r="J311" cm="1">
        <f t="array" ref="J311">MAX(IF((ProjectInfoTable[ProjectName]=OutputTable[[#This Row],[ProjectName]]),(ProjectInfoTable[ProjectName]=OutputTable[[#This Row],[ProjectName]])*ProjectInfoTable[NumberOfReplications]))</f>
        <v>30</v>
      </c>
      <c r="K311" cm="1">
        <f t="array" ref="K311">IFERROR(AVERAGE(IF((OutputTable[GroupByKey]=OutputTable[[#This Row],[GroupByKey]]),(OutputTable[GroupByKey]=OutputTable[[#This Row],[GroupByKey]])*OutputTable[RecordedValue])),0)</f>
        <v>285.3</v>
      </c>
      <c r="L311" cm="1">
        <f t="array" ref="L311">IFERROR(_xlfn.STDEV.S(IF((OutputTable[GroupByKey]=OutputTable[[#This Row],[GroupByKey]]),(OutputTable[GroupByKey]=OutputTable[[#This Row],[GroupByKey]])*OutputTable[RecordedValue])),0)</f>
        <v>12.739160368585981</v>
      </c>
      <c r="M311" cm="1">
        <f t="array" ref="M311">MAX(IF((ProjectInfoTable[ProjectName]=OutputTable[[#This Row],[ProjectName]]),(ProjectInfoTable[ProjectName]=OutputTable[[#This Row],[ProjectName]])*ProjectInfoTable[ConfidenceInterval]))</f>
        <v>0.95</v>
      </c>
      <c r="N3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311" cm="1">
        <f t="array" ref="O311">MIN(IF((OutputTable[GroupByKey]=OutputTable[[#This Row],[GroupByKey]]),(OutputTable[GroupByKey]=OutputTable[[#This Row],[GroupByKey]])*OutputTable[RecordedValue]))</f>
        <v>266</v>
      </c>
      <c r="P311" cm="1">
        <f t="array" ref="P311">MAX(IF((OutputTable[GroupByKey]=OutputTable[[#This Row],[GroupByKey]]),(OutputTable[GroupByKey]=OutputTable[[#This Row],[GroupByKey]])*OutputTable[RecordedValue]))</f>
        <v>318</v>
      </c>
    </row>
    <row r="312" spans="1:16" x14ac:dyDescent="0.2">
      <c r="A312" t="s">
        <v>67</v>
      </c>
      <c r="B312" t="s">
        <v>70</v>
      </c>
      <c r="C312">
        <v>24</v>
      </c>
      <c r="D312" t="s">
        <v>120</v>
      </c>
      <c r="E312" t="s">
        <v>105</v>
      </c>
      <c r="F312" t="s">
        <v>95</v>
      </c>
      <c r="G312">
        <v>148</v>
      </c>
      <c r="H312">
        <v>0</v>
      </c>
      <c r="I312" t="str">
        <f>OutputTable[[#This Row],[ProjectName]]&amp;OutputTable[[#This Row],[Name]]&amp;OutputTable[[#This Row],[Type]]&amp;OutputTable[[#This Row],[Source]]</f>
        <v>Unnamed ProjectWaiter.NumberSeizedTotal Number SeizedResource</v>
      </c>
      <c r="J312" cm="1">
        <f t="array" ref="J312">MAX(IF((ProjectInfoTable[ProjectName]=OutputTable[[#This Row],[ProjectName]]),(ProjectInfoTable[ProjectName]=OutputTable[[#This Row],[ProjectName]])*ProjectInfoTable[NumberOfReplications]))</f>
        <v>30</v>
      </c>
      <c r="K312" cm="1">
        <f t="array" ref="K312">IFERROR(AVERAGE(IF((OutputTable[GroupByKey]=OutputTable[[#This Row],[GroupByKey]]),(OutputTable[GroupByKey]=OutputTable[[#This Row],[GroupByKey]])*OutputTable[RecordedValue])),0)</f>
        <v>142.66666666666666</v>
      </c>
      <c r="L312" cm="1">
        <f t="array" ref="L312">IFERROR(_xlfn.STDEV.S(IF((OutputTable[GroupByKey]=OutputTable[[#This Row],[GroupByKey]]),(OutputTable[GroupByKey]=OutputTable[[#This Row],[GroupByKey]])*OutputTable[RecordedValue])),0)</f>
        <v>6.4505190025531167</v>
      </c>
      <c r="M312" cm="1">
        <f t="array" ref="M312">MAX(IF((ProjectInfoTable[ProjectName]=OutputTable[[#This Row],[ProjectName]]),(ProjectInfoTable[ProjectName]=OutputTable[[#This Row],[ProjectName]])*ProjectInfoTable[ConfidenceInterval]))</f>
        <v>0.95</v>
      </c>
      <c r="N3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312" cm="1">
        <f t="array" ref="O312">MIN(IF((OutputTable[GroupByKey]=OutputTable[[#This Row],[GroupByKey]]),(OutputTable[GroupByKey]=OutputTable[[#This Row],[GroupByKey]])*OutputTable[RecordedValue]))</f>
        <v>132</v>
      </c>
      <c r="P312" cm="1">
        <f t="array" ref="P312">MAX(IF((OutputTable[GroupByKey]=OutputTable[[#This Row],[GroupByKey]]),(OutputTable[GroupByKey]=OutputTable[[#This Row],[GroupByKey]])*OutputTable[RecordedValue]))</f>
        <v>160</v>
      </c>
    </row>
    <row r="313" spans="1:16" x14ac:dyDescent="0.2">
      <c r="A313" t="s">
        <v>67</v>
      </c>
      <c r="B313" t="s">
        <v>70</v>
      </c>
      <c r="C313">
        <v>24</v>
      </c>
      <c r="D313" t="s">
        <v>121</v>
      </c>
      <c r="E313" t="s">
        <v>107</v>
      </c>
      <c r="F313" t="s">
        <v>95</v>
      </c>
      <c r="G313">
        <v>8.8212885028186694E-2</v>
      </c>
      <c r="H313">
        <v>0</v>
      </c>
      <c r="I313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313" cm="1">
        <f t="array" ref="J313">MAX(IF((ProjectInfoTable[ProjectName]=OutputTable[[#This Row],[ProjectName]]),(ProjectInfoTable[ProjectName]=OutputTable[[#This Row],[ProjectName]])*ProjectInfoTable[NumberOfReplications]))</f>
        <v>30</v>
      </c>
      <c r="K313" cm="1">
        <f t="array" ref="K313">IFERROR(AVERAGE(IF((OutputTable[GroupByKey]=OutputTable[[#This Row],[GroupByKey]]),(OutputTable[GroupByKey]=OutputTable[[#This Row],[GroupByKey]])*OutputTable[RecordedValue])),0)</f>
        <v>8.3509459606410805E-2</v>
      </c>
      <c r="L313" cm="1">
        <f t="array" ref="L313">IFERROR(_xlfn.STDEV.S(IF((OutputTable[GroupByKey]=OutputTable[[#This Row],[GroupByKey]]),(OutputTable[GroupByKey]=OutputTable[[#This Row],[GroupByKey]])*OutputTable[RecordedValue])),0)</f>
        <v>3.5452891325333867E-3</v>
      </c>
      <c r="M313" cm="1">
        <f t="array" ref="M313">MAX(IF((ProjectInfoTable[ProjectName]=OutputTable[[#This Row],[ProjectName]]),(ProjectInfoTable[ProjectName]=OutputTable[[#This Row],[ProjectName]])*ProjectInfoTable[ConfidenceInterval]))</f>
        <v>0.95</v>
      </c>
      <c r="N3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313" cm="1">
        <f t="array" ref="O313">MIN(IF((OutputTable[GroupByKey]=OutputTable[[#This Row],[GroupByKey]]),(OutputTable[GroupByKey]=OutputTable[[#This Row],[GroupByKey]])*OutputTable[RecordedValue]))</f>
        <v>7.7176470357847096E-2</v>
      </c>
      <c r="P313" cm="1">
        <f t="array" ref="P313">MAX(IF((OutputTable[GroupByKey]=OutputTable[[#This Row],[GroupByKey]]),(OutputTable[GroupByKey]=OutputTable[[#This Row],[GroupByKey]])*OutputTable[RecordedValue]))</f>
        <v>9.2534326714405798E-2</v>
      </c>
    </row>
    <row r="314" spans="1:16" x14ac:dyDescent="0.2">
      <c r="A314" t="s">
        <v>67</v>
      </c>
      <c r="B314" t="s">
        <v>70</v>
      </c>
      <c r="C314">
        <v>25</v>
      </c>
      <c r="D314" t="s">
        <v>104</v>
      </c>
      <c r="E314" t="s">
        <v>105</v>
      </c>
      <c r="F314" t="s">
        <v>95</v>
      </c>
      <c r="G314">
        <v>302</v>
      </c>
      <c r="H314">
        <v>0</v>
      </c>
      <c r="I314" t="str">
        <f>OutputTable[[#This Row],[ProjectName]]&amp;OutputTable[[#This Row],[Name]]&amp;OutputTable[[#This Row],[Type]]&amp;OutputTable[[#This Row],[Source]]</f>
        <v>Unnamed ProjectCleaner.NumberSeizedTotal Number SeizedResource</v>
      </c>
      <c r="J314" cm="1">
        <f t="array" ref="J314">MAX(IF((ProjectInfoTable[ProjectName]=OutputTable[[#This Row],[ProjectName]]),(ProjectInfoTable[ProjectName]=OutputTable[[#This Row],[ProjectName]])*ProjectInfoTable[NumberOfReplications]))</f>
        <v>30</v>
      </c>
      <c r="K314" cm="1">
        <f t="array" ref="K314">IFERROR(AVERAGE(IF((OutputTable[GroupByKey]=OutputTable[[#This Row],[GroupByKey]]),(OutputTable[GroupByKey]=OutputTable[[#This Row],[GroupByKey]])*OutputTable[RecordedValue])),0)</f>
        <v>285.39999999999998</v>
      </c>
      <c r="L314" cm="1">
        <f t="array" ref="L314">IFERROR(_xlfn.STDEV.S(IF((OutputTable[GroupByKey]=OutputTable[[#This Row],[GroupByKey]]),(OutputTable[GroupByKey]=OutputTable[[#This Row],[GroupByKey]])*OutputTable[RecordedValue])),0)</f>
        <v>12.88302812979555</v>
      </c>
      <c r="M314" cm="1">
        <f t="array" ref="M314">MAX(IF((ProjectInfoTable[ProjectName]=OutputTable[[#This Row],[ProjectName]]),(ProjectInfoTable[ProjectName]=OutputTable[[#This Row],[ProjectName]])*ProjectInfoTable[ConfidenceInterval]))</f>
        <v>0.95</v>
      </c>
      <c r="N3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314" cm="1">
        <f t="array" ref="O314">MIN(IF((OutputTable[GroupByKey]=OutputTable[[#This Row],[GroupByKey]]),(OutputTable[GroupByKey]=OutputTable[[#This Row],[GroupByKey]])*OutputTable[RecordedValue]))</f>
        <v>266</v>
      </c>
      <c r="P314" cm="1">
        <f t="array" ref="P314">MAX(IF((OutputTable[GroupByKey]=OutputTable[[#This Row],[GroupByKey]]),(OutputTable[GroupByKey]=OutputTable[[#This Row],[GroupByKey]])*OutputTable[RecordedValue]))</f>
        <v>318</v>
      </c>
    </row>
    <row r="315" spans="1:16" x14ac:dyDescent="0.2">
      <c r="A315" t="s">
        <v>67</v>
      </c>
      <c r="B315" t="s">
        <v>70</v>
      </c>
      <c r="C315">
        <v>25</v>
      </c>
      <c r="D315" t="s">
        <v>106</v>
      </c>
      <c r="E315" t="s">
        <v>107</v>
      </c>
      <c r="F315" t="s">
        <v>95</v>
      </c>
      <c r="G315">
        <v>0.26491228070175399</v>
      </c>
      <c r="H315">
        <v>0</v>
      </c>
      <c r="I315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315" cm="1">
        <f t="array" ref="J315">MAX(IF((ProjectInfoTable[ProjectName]=OutputTable[[#This Row],[ProjectName]]),(ProjectInfoTable[ProjectName]=OutputTable[[#This Row],[ProjectName]])*ProjectInfoTable[NumberOfReplications]))</f>
        <v>30</v>
      </c>
      <c r="K315" cm="1">
        <f t="array" ref="K315">IFERROR(AVERAGE(IF((OutputTable[GroupByKey]=OutputTable[[#This Row],[GroupByKey]]),(OutputTable[GroupByKey]=OutputTable[[#This Row],[GroupByKey]])*OutputTable[RecordedValue])),0)</f>
        <v>0.25031804088290305</v>
      </c>
      <c r="L315" cm="1">
        <f t="array" ref="L315">IFERROR(_xlfn.STDEV.S(IF((OutputTable[GroupByKey]=OutputTable[[#This Row],[GroupByKey]]),(OutputTable[GroupByKey]=OutputTable[[#This Row],[GroupByKey]])*OutputTable[RecordedValue])),0)</f>
        <v>1.1255778929137084E-2</v>
      </c>
      <c r="M315" cm="1">
        <f t="array" ref="M315">MAX(IF((ProjectInfoTable[ProjectName]=OutputTable[[#This Row],[ProjectName]]),(ProjectInfoTable[ProjectName]=OutputTable[[#This Row],[ProjectName]])*ProjectInfoTable[ConfidenceInterval]))</f>
        <v>0.95</v>
      </c>
      <c r="N3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315" cm="1">
        <f t="array" ref="O315">MIN(IF((OutputTable[GroupByKey]=OutputTable[[#This Row],[GroupByKey]]),(OutputTable[GroupByKey]=OutputTable[[#This Row],[GroupByKey]])*OutputTable[RecordedValue]))</f>
        <v>0.233333333333333</v>
      </c>
      <c r="P315" cm="1">
        <f t="array" ref="P315">MAX(IF((OutputTable[GroupByKey]=OutputTable[[#This Row],[GroupByKey]]),(OutputTable[GroupByKey]=OutputTable[[#This Row],[GroupByKey]])*OutputTable[RecordedValue]))</f>
        <v>0.27905535859326402</v>
      </c>
    </row>
    <row r="316" spans="1:16" x14ac:dyDescent="0.2">
      <c r="A316" t="s">
        <v>67</v>
      </c>
      <c r="B316" t="s">
        <v>70</v>
      </c>
      <c r="C316">
        <v>25</v>
      </c>
      <c r="D316" t="s">
        <v>108</v>
      </c>
      <c r="E316" t="s">
        <v>105</v>
      </c>
      <c r="F316" t="s">
        <v>95</v>
      </c>
      <c r="G316">
        <v>300</v>
      </c>
      <c r="H316">
        <v>0</v>
      </c>
      <c r="I316" t="str">
        <f>OutputTable[[#This Row],[ProjectName]]&amp;OutputTable[[#This Row],[Name]]&amp;OutputTable[[#This Row],[Type]]&amp;OutputTable[[#This Row],[Source]]</f>
        <v>Unnamed ProjectCooker.NumberSeizedTotal Number SeizedResource</v>
      </c>
      <c r="J316" cm="1">
        <f t="array" ref="J316">MAX(IF((ProjectInfoTable[ProjectName]=OutputTable[[#This Row],[ProjectName]]),(ProjectInfoTable[ProjectName]=OutputTable[[#This Row],[ProjectName]])*ProjectInfoTable[NumberOfReplications]))</f>
        <v>30</v>
      </c>
      <c r="K316" cm="1">
        <f t="array" ref="K316">IFERROR(AVERAGE(IF((OutputTable[GroupByKey]=OutputTable[[#This Row],[GroupByKey]]),(OutputTable[GroupByKey]=OutputTable[[#This Row],[GroupByKey]])*OutputTable[RecordedValue])),0)</f>
        <v>285.66666666666669</v>
      </c>
      <c r="L316" cm="1">
        <f t="array" ref="L316">IFERROR(_xlfn.STDEV.S(IF((OutputTable[GroupByKey]=OutputTable[[#This Row],[GroupByKey]]),(OutputTable[GroupByKey]=OutputTable[[#This Row],[GroupByKey]])*OutputTable[RecordedValue])),0)</f>
        <v>12.949060233064802</v>
      </c>
      <c r="M316" cm="1">
        <f t="array" ref="M316">MAX(IF((ProjectInfoTable[ProjectName]=OutputTable[[#This Row],[ProjectName]]),(ProjectInfoTable[ProjectName]=OutputTable[[#This Row],[ProjectName]])*ProjectInfoTable[ConfidenceInterval]))</f>
        <v>0.95</v>
      </c>
      <c r="N3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316" cm="1">
        <f t="array" ref="O316">MIN(IF((OutputTable[GroupByKey]=OutputTable[[#This Row],[GroupByKey]]),(OutputTable[GroupByKey]=OutputTable[[#This Row],[GroupByKey]])*OutputTable[RecordedValue]))</f>
        <v>264</v>
      </c>
      <c r="P316" cm="1">
        <f t="array" ref="P316">MAX(IF((OutputTable[GroupByKey]=OutputTable[[#This Row],[GroupByKey]]),(OutputTable[GroupByKey]=OutputTable[[#This Row],[GroupByKey]])*OutputTable[RecordedValue]))</f>
        <v>320</v>
      </c>
    </row>
    <row r="317" spans="1:16" x14ac:dyDescent="0.2">
      <c r="A317" t="s">
        <v>67</v>
      </c>
      <c r="B317" t="s">
        <v>70</v>
      </c>
      <c r="C317">
        <v>25</v>
      </c>
      <c r="D317" t="s">
        <v>109</v>
      </c>
      <c r="E317" t="s">
        <v>107</v>
      </c>
      <c r="F317" t="s">
        <v>95</v>
      </c>
      <c r="G317">
        <v>0.64931189821143598</v>
      </c>
      <c r="H317">
        <v>0</v>
      </c>
      <c r="I317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317" cm="1">
        <f t="array" ref="J317">MAX(IF((ProjectInfoTable[ProjectName]=OutputTable[[#This Row],[ProjectName]]),(ProjectInfoTable[ProjectName]=OutputTable[[#This Row],[ProjectName]])*ProjectInfoTable[NumberOfReplications]))</f>
        <v>30</v>
      </c>
      <c r="K317" cm="1">
        <f t="array" ref="K317">IFERROR(AVERAGE(IF((OutputTable[GroupByKey]=OutputTable[[#This Row],[GroupByKey]]),(OutputTable[GroupByKey]=OutputTable[[#This Row],[GroupByKey]])*OutputTable[RecordedValue])),0)</f>
        <v>0.62721981794251769</v>
      </c>
      <c r="L317" cm="1">
        <f t="array" ref="L317">IFERROR(_xlfn.STDEV.S(IF((OutputTable[GroupByKey]=OutputTable[[#This Row],[GroupByKey]]),(OutputTable[GroupByKey]=OutputTable[[#This Row],[GroupByKey]])*OutputTable[RecordedValue])),0)</f>
        <v>2.6376107220918699E-2</v>
      </c>
      <c r="M317" cm="1">
        <f t="array" ref="M317">MAX(IF((ProjectInfoTable[ProjectName]=OutputTable[[#This Row],[ProjectName]]),(ProjectInfoTable[ProjectName]=OutputTable[[#This Row],[ProjectName]])*ProjectInfoTable[ConfidenceInterval]))</f>
        <v>0.95</v>
      </c>
      <c r="N3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317" cm="1">
        <f t="array" ref="O317">MIN(IF((OutputTable[GroupByKey]=OutputTable[[#This Row],[GroupByKey]]),(OutputTable[GroupByKey]=OutputTable[[#This Row],[GroupByKey]])*OutputTable[RecordedValue]))</f>
        <v>0.58256422876290004</v>
      </c>
      <c r="P317" cm="1">
        <f t="array" ref="P317">MAX(IF((OutputTable[GroupByKey]=OutputTable[[#This Row],[GroupByKey]]),(OutputTable[GroupByKey]=OutputTable[[#This Row],[GroupByKey]])*OutputTable[RecordedValue]))</f>
        <v>0.68643238055161704</v>
      </c>
    </row>
    <row r="318" spans="1:16" x14ac:dyDescent="0.2">
      <c r="A318" t="s">
        <v>67</v>
      </c>
      <c r="B318" t="s">
        <v>70</v>
      </c>
      <c r="C318">
        <v>25</v>
      </c>
      <c r="D318" t="s">
        <v>110</v>
      </c>
      <c r="E318" t="s">
        <v>111</v>
      </c>
      <c r="F318" t="s">
        <v>76</v>
      </c>
      <c r="G318">
        <v>901</v>
      </c>
      <c r="H318">
        <v>0</v>
      </c>
      <c r="I318" t="str">
        <f>OutputTable[[#This Row],[ProjectName]]&amp;OutputTable[[#This Row],[Name]]&amp;OutputTable[[#This Row],[Type]]&amp;OutputTable[[#This Row],[Source]]</f>
        <v>Unnamed ProjectCustomer.NumberInNumber InEntity</v>
      </c>
      <c r="J318" cm="1">
        <f t="array" ref="J318">MAX(IF((ProjectInfoTable[ProjectName]=OutputTable[[#This Row],[ProjectName]]),(ProjectInfoTable[ProjectName]=OutputTable[[#This Row],[ProjectName]])*ProjectInfoTable[NumberOfReplications]))</f>
        <v>30</v>
      </c>
      <c r="K318" cm="1">
        <f t="array" ref="K318">IFERROR(AVERAGE(IF((OutputTable[GroupByKey]=OutputTable[[#This Row],[GroupByKey]]),(OutputTable[GroupByKey]=OutputTable[[#This Row],[GroupByKey]])*OutputTable[RecordedValue])),0)</f>
        <v>855.93333333333328</v>
      </c>
      <c r="L318" cm="1">
        <f t="array" ref="L318">IFERROR(_xlfn.STDEV.S(IF((OutputTable[GroupByKey]=OutputTable[[#This Row],[GroupByKey]]),(OutputTable[GroupByKey]=OutputTable[[#This Row],[GroupByKey]])*OutputTable[RecordedValue])),0)</f>
        <v>38.659373073509371</v>
      </c>
      <c r="M318" cm="1">
        <f t="array" ref="M318">MAX(IF((ProjectInfoTable[ProjectName]=OutputTable[[#This Row],[ProjectName]]),(ProjectInfoTable[ProjectName]=OutputTable[[#This Row],[ProjectName]])*ProjectInfoTable[ConfidenceInterval]))</f>
        <v>0.95</v>
      </c>
      <c r="N3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318" cm="1">
        <f t="array" ref="O318">MIN(IF((OutputTable[GroupByKey]=OutputTable[[#This Row],[GroupByKey]]),(OutputTable[GroupByKey]=OutputTable[[#This Row],[GroupByKey]])*OutputTable[RecordedValue]))</f>
        <v>792</v>
      </c>
      <c r="P318" cm="1">
        <f t="array" ref="P318">MAX(IF((OutputTable[GroupByKey]=OutputTable[[#This Row],[GroupByKey]]),(OutputTable[GroupByKey]=OutputTable[[#This Row],[GroupByKey]])*OutputTable[RecordedValue]))</f>
        <v>958</v>
      </c>
    </row>
    <row r="319" spans="1:16" x14ac:dyDescent="0.2">
      <c r="A319" t="s">
        <v>67</v>
      </c>
      <c r="B319" t="s">
        <v>70</v>
      </c>
      <c r="C319">
        <v>25</v>
      </c>
      <c r="D319" t="s">
        <v>112</v>
      </c>
      <c r="E319" t="s">
        <v>113</v>
      </c>
      <c r="F319" t="s">
        <v>76</v>
      </c>
      <c r="G319">
        <v>910</v>
      </c>
      <c r="H319">
        <v>0</v>
      </c>
      <c r="I319" t="str">
        <f>OutputTable[[#This Row],[ProjectName]]&amp;OutputTable[[#This Row],[Name]]&amp;OutputTable[[#This Row],[Type]]&amp;OutputTable[[#This Row],[Source]]</f>
        <v>Unnamed ProjectCustomer.NumberOutNumber OutEntity</v>
      </c>
      <c r="J319" cm="1">
        <f t="array" ref="J319">MAX(IF((ProjectInfoTable[ProjectName]=OutputTable[[#This Row],[ProjectName]]),(ProjectInfoTable[ProjectName]=OutputTable[[#This Row],[ProjectName]])*ProjectInfoTable[NumberOfReplications]))</f>
        <v>30</v>
      </c>
      <c r="K319" cm="1">
        <f t="array" ref="K319">IFERROR(AVERAGE(IF((OutputTable[GroupByKey]=OutputTable[[#This Row],[GroupByKey]]),(OutputTable[GroupByKey]=OutputTable[[#This Row],[GroupByKey]])*OutputTable[RecordedValue])),0)</f>
        <v>855.3</v>
      </c>
      <c r="L319" cm="1">
        <f t="array" ref="L319">IFERROR(_xlfn.STDEV.S(IF((OutputTable[GroupByKey]=OutputTable[[#This Row],[GroupByKey]]),(OutputTable[GroupByKey]=OutputTable[[#This Row],[GroupByKey]])*OutputTable[RecordedValue])),0)</f>
        <v>38.322722169527033</v>
      </c>
      <c r="M319" cm="1">
        <f t="array" ref="M319">MAX(IF((ProjectInfoTable[ProjectName]=OutputTable[[#This Row],[ProjectName]]),(ProjectInfoTable[ProjectName]=OutputTable[[#This Row],[ProjectName]])*ProjectInfoTable[ConfidenceInterval]))</f>
        <v>0.95</v>
      </c>
      <c r="N3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319" cm="1">
        <f t="array" ref="O319">MIN(IF((OutputTable[GroupByKey]=OutputTable[[#This Row],[GroupByKey]]),(OutputTable[GroupByKey]=OutputTable[[#This Row],[GroupByKey]])*OutputTable[RecordedValue]))</f>
        <v>798</v>
      </c>
      <c r="P319" cm="1">
        <f t="array" ref="P319">MAX(IF((OutputTable[GroupByKey]=OutputTable[[#This Row],[GroupByKey]]),(OutputTable[GroupByKey]=OutputTable[[#This Row],[GroupByKey]])*OutputTable[RecordedValue]))</f>
        <v>954</v>
      </c>
    </row>
    <row r="320" spans="1:16" x14ac:dyDescent="0.2">
      <c r="A320" t="s">
        <v>67</v>
      </c>
      <c r="B320" t="s">
        <v>70</v>
      </c>
      <c r="C320">
        <v>25</v>
      </c>
      <c r="D320" t="s">
        <v>114</v>
      </c>
      <c r="E320" t="s">
        <v>105</v>
      </c>
      <c r="F320" t="s">
        <v>95</v>
      </c>
      <c r="G320">
        <v>374</v>
      </c>
      <c r="H320">
        <v>0</v>
      </c>
      <c r="I320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320" cm="1">
        <f t="array" ref="J320">MAX(IF((ProjectInfoTable[ProjectName]=OutputTable[[#This Row],[ProjectName]]),(ProjectInfoTable[ProjectName]=OutputTable[[#This Row],[ProjectName]])*ProjectInfoTable[NumberOfReplications]))</f>
        <v>30</v>
      </c>
      <c r="K320" cm="1">
        <f t="array" ref="K320">IFERROR(AVERAGE(IF((OutputTable[GroupByKey]=OutputTable[[#This Row],[GroupByKey]]),(OutputTable[GroupByKey]=OutputTable[[#This Row],[GroupByKey]])*OutputTable[RecordedValue])),0)</f>
        <v>344.6</v>
      </c>
      <c r="L320" cm="1">
        <f t="array" ref="L320">IFERROR(_xlfn.STDEV.S(IF((OutputTable[GroupByKey]=OutputTable[[#This Row],[GroupByKey]]),(OutputTable[GroupByKey]=OutputTable[[#This Row],[GroupByKey]])*OutputTable[RecordedValue])),0)</f>
        <v>21.890952311479008</v>
      </c>
      <c r="M320" cm="1">
        <f t="array" ref="M320">MAX(IF((ProjectInfoTable[ProjectName]=OutputTable[[#This Row],[ProjectName]]),(ProjectInfoTable[ProjectName]=OutputTable[[#This Row],[ProjectName]])*ProjectInfoTable[ConfidenceInterval]))</f>
        <v>0.95</v>
      </c>
      <c r="N3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320" cm="1">
        <f t="array" ref="O320">MIN(IF((OutputTable[GroupByKey]=OutputTable[[#This Row],[GroupByKey]]),(OutputTable[GroupByKey]=OutputTable[[#This Row],[GroupByKey]])*OutputTable[RecordedValue]))</f>
        <v>311</v>
      </c>
      <c r="P320" cm="1">
        <f t="array" ref="P320">MAX(IF((OutputTable[GroupByKey]=OutputTable[[#This Row],[GroupByKey]]),(OutputTable[GroupByKey]=OutputTable[[#This Row],[GroupByKey]])*OutputTable[RecordedValue]))</f>
        <v>396</v>
      </c>
    </row>
    <row r="321" spans="1:16" x14ac:dyDescent="0.2">
      <c r="A321" t="s">
        <v>67</v>
      </c>
      <c r="B321" t="s">
        <v>70</v>
      </c>
      <c r="C321">
        <v>25</v>
      </c>
      <c r="D321" t="s">
        <v>115</v>
      </c>
      <c r="E321" t="s">
        <v>107</v>
      </c>
      <c r="F321" t="s">
        <v>95</v>
      </c>
      <c r="G321">
        <v>2.05043859649123E-3</v>
      </c>
      <c r="H321">
        <v>0</v>
      </c>
      <c r="I321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321" cm="1">
        <f t="array" ref="J321">MAX(IF((ProjectInfoTable[ProjectName]=OutputTable[[#This Row],[ProjectName]]),(ProjectInfoTable[ProjectName]=OutputTable[[#This Row],[ProjectName]])*ProjectInfoTable[NumberOfReplications]))</f>
        <v>30</v>
      </c>
      <c r="K321" cm="1">
        <f t="array" ref="K321">IFERROR(AVERAGE(IF((OutputTable[GroupByKey]=OutputTable[[#This Row],[GroupByKey]]),(OutputTable[GroupByKey]=OutputTable[[#This Row],[GroupByKey]])*OutputTable[RecordedValue])),0)</f>
        <v>1.889307012236451E-3</v>
      </c>
      <c r="L321" cm="1">
        <f t="array" ref="L321">IFERROR(_xlfn.STDEV.S(IF((OutputTable[GroupByKey]=OutputTable[[#This Row],[GroupByKey]]),(OutputTable[GroupByKey]=OutputTable[[#This Row],[GroupByKey]])*OutputTable[RecordedValue])),0)</f>
        <v>1.2015303758165521E-4</v>
      </c>
      <c r="M321" cm="1">
        <f t="array" ref="M321">MAX(IF((ProjectInfoTable[ProjectName]=OutputTable[[#This Row],[ProjectName]]),(ProjectInfoTable[ProjectName]=OutputTable[[#This Row],[ProjectName]])*ProjectInfoTable[ConfidenceInterval]))</f>
        <v>0.95</v>
      </c>
      <c r="N3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321" cm="1">
        <f t="array" ref="O321">MIN(IF((OutputTable[GroupByKey]=OutputTable[[#This Row],[GroupByKey]]),(OutputTable[GroupByKey]=OutputTable[[#This Row],[GroupByKey]])*OutputTable[RecordedValue]))</f>
        <v>1.70504385964912E-3</v>
      </c>
      <c r="P321" cm="1">
        <f t="array" ref="P321">MAX(IF((OutputTable[GroupByKey]=OutputTable[[#This Row],[GroupByKey]]),(OutputTable[GroupByKey]=OutputTable[[#This Row],[GroupByKey]])*OutputTable[RecordedValue]))</f>
        <v>2.17031677925951E-3</v>
      </c>
    </row>
    <row r="322" spans="1:16" x14ac:dyDescent="0.2">
      <c r="A322" t="s">
        <v>67</v>
      </c>
      <c r="B322" t="s">
        <v>70</v>
      </c>
      <c r="C322">
        <v>25</v>
      </c>
      <c r="D322" t="s">
        <v>116</v>
      </c>
      <c r="E322" t="s">
        <v>105</v>
      </c>
      <c r="F322" t="s">
        <v>95</v>
      </c>
      <c r="G322">
        <v>227</v>
      </c>
      <c r="H322">
        <v>0</v>
      </c>
      <c r="I322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322" cm="1">
        <f t="array" ref="J322">MAX(IF((ProjectInfoTable[ProjectName]=OutputTable[[#This Row],[ProjectName]]),(ProjectInfoTable[ProjectName]=OutputTable[[#This Row],[ProjectName]])*ProjectInfoTable[NumberOfReplications]))</f>
        <v>30</v>
      </c>
      <c r="K322" cm="1">
        <f t="array" ref="K322">IFERROR(AVERAGE(IF((OutputTable[GroupByKey]=OutputTable[[#This Row],[GroupByKey]]),(OutputTable[GroupByKey]=OutputTable[[#This Row],[GroupByKey]])*OutputTable[RecordedValue])),0)</f>
        <v>225.93333333333334</v>
      </c>
      <c r="L322" cm="1">
        <f t="array" ref="L322">IFERROR(_xlfn.STDEV.S(IF((OutputTable[GroupByKey]=OutputTable[[#This Row],[GroupByKey]]),(OutputTable[GroupByKey]=OutputTable[[#This Row],[GroupByKey]])*OutputTable[RecordedValue])),0)</f>
        <v>12.403929670244338</v>
      </c>
      <c r="M322" cm="1">
        <f t="array" ref="M322">MAX(IF((ProjectInfoTable[ProjectName]=OutputTable[[#This Row],[ProjectName]]),(ProjectInfoTable[ProjectName]=OutputTable[[#This Row],[ProjectName]])*ProjectInfoTable[ConfidenceInterval]))</f>
        <v>0.95</v>
      </c>
      <c r="N3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322" cm="1">
        <f t="array" ref="O322">MIN(IF((OutputTable[GroupByKey]=OutputTable[[#This Row],[GroupByKey]]),(OutputTable[GroupByKey]=OutputTable[[#This Row],[GroupByKey]])*OutputTable[RecordedValue]))</f>
        <v>205</v>
      </c>
      <c r="P322" cm="1">
        <f t="array" ref="P322">MAX(IF((OutputTable[GroupByKey]=OutputTable[[#This Row],[GroupByKey]]),(OutputTable[GroupByKey]=OutputTable[[#This Row],[GroupByKey]])*OutputTable[RecordedValue]))</f>
        <v>253</v>
      </c>
    </row>
    <row r="323" spans="1:16" x14ac:dyDescent="0.2">
      <c r="A323" t="s">
        <v>67</v>
      </c>
      <c r="B323" t="s">
        <v>70</v>
      </c>
      <c r="C323">
        <v>25</v>
      </c>
      <c r="D323" t="s">
        <v>117</v>
      </c>
      <c r="E323" t="s">
        <v>107</v>
      </c>
      <c r="F323" t="s">
        <v>95</v>
      </c>
      <c r="G323">
        <v>4.9780701754385996E-3</v>
      </c>
      <c r="H323">
        <v>0</v>
      </c>
      <c r="I323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323" cm="1">
        <f t="array" ref="J323">MAX(IF((ProjectInfoTable[ProjectName]=OutputTable[[#This Row],[ProjectName]]),(ProjectInfoTable[ProjectName]=OutputTable[[#This Row],[ProjectName]])*ProjectInfoTable[NumberOfReplications]))</f>
        <v>30</v>
      </c>
      <c r="K323" cm="1">
        <f t="array" ref="K323">IFERROR(AVERAGE(IF((OutputTable[GroupByKey]=OutputTable[[#This Row],[GroupByKey]]),(OutputTable[GroupByKey]=OutputTable[[#This Row],[GroupByKey]])*OutputTable[RecordedValue])),0)</f>
        <v>4.9565971649701106E-3</v>
      </c>
      <c r="L323" cm="1">
        <f t="array" ref="L323">IFERROR(_xlfn.STDEV.S(IF((OutputTable[GroupByKey]=OutputTable[[#This Row],[GroupByKey]]),(OutputTable[GroupByKey]=OutputTable[[#This Row],[GroupByKey]])*OutputTable[RecordedValue])),0)</f>
        <v>2.7167433725199517E-4</v>
      </c>
      <c r="M323" cm="1">
        <f t="array" ref="M323">MAX(IF((ProjectInfoTable[ProjectName]=OutputTable[[#This Row],[ProjectName]]),(ProjectInfoTable[ProjectName]=OutputTable[[#This Row],[ProjectName]])*ProjectInfoTable[ConfidenceInterval]))</f>
        <v>0.95</v>
      </c>
      <c r="N3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323" cm="1">
        <f t="array" ref="O323">MIN(IF((OutputTable[GroupByKey]=OutputTable[[#This Row],[GroupByKey]]),(OutputTable[GroupByKey]=OutputTable[[#This Row],[GroupByKey]])*OutputTable[RecordedValue]))</f>
        <v>4.4956140350877203E-3</v>
      </c>
      <c r="P323" cm="1">
        <f t="array" ref="P323">MAX(IF((OutputTable[GroupByKey]=OutputTable[[#This Row],[GroupByKey]]),(OutputTable[GroupByKey]=OutputTable[[#This Row],[GroupByKey]])*OutputTable[RecordedValue]))</f>
        <v>5.5482456140350904E-3</v>
      </c>
    </row>
    <row r="324" spans="1:16" x14ac:dyDescent="0.2">
      <c r="A324" t="s">
        <v>67</v>
      </c>
      <c r="B324" t="s">
        <v>70</v>
      </c>
      <c r="C324">
        <v>25</v>
      </c>
      <c r="D324" t="s">
        <v>118</v>
      </c>
      <c r="E324" t="s">
        <v>113</v>
      </c>
      <c r="F324" t="s">
        <v>119</v>
      </c>
      <c r="G324">
        <v>302</v>
      </c>
      <c r="H324">
        <v>0</v>
      </c>
      <c r="I324" t="str">
        <f>OutputTable[[#This Row],[ProjectName]]&amp;OutputTable[[#This Row],[Name]]&amp;OutputTable[[#This Row],[Type]]&amp;OutputTable[[#This Row],[Source]]</f>
        <v>Unnamed ProjectSystem.NumberOutNumber OutSystem</v>
      </c>
      <c r="J324" cm="1">
        <f t="array" ref="J324">MAX(IF((ProjectInfoTable[ProjectName]=OutputTable[[#This Row],[ProjectName]]),(ProjectInfoTable[ProjectName]=OutputTable[[#This Row],[ProjectName]])*ProjectInfoTable[NumberOfReplications]))</f>
        <v>30</v>
      </c>
      <c r="K324" cm="1">
        <f t="array" ref="K324">IFERROR(AVERAGE(IF((OutputTable[GroupByKey]=OutputTable[[#This Row],[GroupByKey]]),(OutputTable[GroupByKey]=OutputTable[[#This Row],[GroupByKey]])*OutputTable[RecordedValue])),0)</f>
        <v>285.3</v>
      </c>
      <c r="L324" cm="1">
        <f t="array" ref="L324">IFERROR(_xlfn.STDEV.S(IF((OutputTable[GroupByKey]=OutputTable[[#This Row],[GroupByKey]]),(OutputTable[GroupByKey]=OutputTable[[#This Row],[GroupByKey]])*OutputTable[RecordedValue])),0)</f>
        <v>12.739160368585981</v>
      </c>
      <c r="M324" cm="1">
        <f t="array" ref="M324">MAX(IF((ProjectInfoTable[ProjectName]=OutputTable[[#This Row],[ProjectName]]),(ProjectInfoTable[ProjectName]=OutputTable[[#This Row],[ProjectName]])*ProjectInfoTable[ConfidenceInterval]))</f>
        <v>0.95</v>
      </c>
      <c r="N3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324" cm="1">
        <f t="array" ref="O324">MIN(IF((OutputTable[GroupByKey]=OutputTable[[#This Row],[GroupByKey]]),(OutputTable[GroupByKey]=OutputTable[[#This Row],[GroupByKey]])*OutputTable[RecordedValue]))</f>
        <v>266</v>
      </c>
      <c r="P324" cm="1">
        <f t="array" ref="P324">MAX(IF((OutputTable[GroupByKey]=OutputTable[[#This Row],[GroupByKey]]),(OutputTable[GroupByKey]=OutputTable[[#This Row],[GroupByKey]])*OutputTable[RecordedValue]))</f>
        <v>318</v>
      </c>
    </row>
    <row r="325" spans="1:16" x14ac:dyDescent="0.2">
      <c r="A325" t="s">
        <v>67</v>
      </c>
      <c r="B325" t="s">
        <v>70</v>
      </c>
      <c r="C325">
        <v>25</v>
      </c>
      <c r="D325" t="s">
        <v>120</v>
      </c>
      <c r="E325" t="s">
        <v>105</v>
      </c>
      <c r="F325" t="s">
        <v>95</v>
      </c>
      <c r="G325">
        <v>150</v>
      </c>
      <c r="H325">
        <v>0</v>
      </c>
      <c r="I325" t="str">
        <f>OutputTable[[#This Row],[ProjectName]]&amp;OutputTable[[#This Row],[Name]]&amp;OutputTable[[#This Row],[Type]]&amp;OutputTable[[#This Row],[Source]]</f>
        <v>Unnamed ProjectWaiter.NumberSeizedTotal Number SeizedResource</v>
      </c>
      <c r="J325" cm="1">
        <f t="array" ref="J325">MAX(IF((ProjectInfoTable[ProjectName]=OutputTable[[#This Row],[ProjectName]]),(ProjectInfoTable[ProjectName]=OutputTable[[#This Row],[ProjectName]])*ProjectInfoTable[NumberOfReplications]))</f>
        <v>30</v>
      </c>
      <c r="K325" cm="1">
        <f t="array" ref="K325">IFERROR(AVERAGE(IF((OutputTable[GroupByKey]=OutputTable[[#This Row],[GroupByKey]]),(OutputTable[GroupByKey]=OutputTable[[#This Row],[GroupByKey]])*OutputTable[RecordedValue])),0)</f>
        <v>142.66666666666666</v>
      </c>
      <c r="L325" cm="1">
        <f t="array" ref="L325">IFERROR(_xlfn.STDEV.S(IF((OutputTable[GroupByKey]=OutputTable[[#This Row],[GroupByKey]]),(OutputTable[GroupByKey]=OutputTable[[#This Row],[GroupByKey]])*OutputTable[RecordedValue])),0)</f>
        <v>6.4505190025531167</v>
      </c>
      <c r="M325" cm="1">
        <f t="array" ref="M325">MAX(IF((ProjectInfoTable[ProjectName]=OutputTable[[#This Row],[ProjectName]]),(ProjectInfoTable[ProjectName]=OutputTable[[#This Row],[ProjectName]])*ProjectInfoTable[ConfidenceInterval]))</f>
        <v>0.95</v>
      </c>
      <c r="N3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325" cm="1">
        <f t="array" ref="O325">MIN(IF((OutputTable[GroupByKey]=OutputTable[[#This Row],[GroupByKey]]),(OutputTable[GroupByKey]=OutputTable[[#This Row],[GroupByKey]])*OutputTable[RecordedValue]))</f>
        <v>132</v>
      </c>
      <c r="P325" cm="1">
        <f t="array" ref="P325">MAX(IF((OutputTable[GroupByKey]=OutputTable[[#This Row],[GroupByKey]]),(OutputTable[GroupByKey]=OutputTable[[#This Row],[GroupByKey]])*OutputTable[RecordedValue]))</f>
        <v>160</v>
      </c>
    </row>
    <row r="326" spans="1:16" x14ac:dyDescent="0.2">
      <c r="A326" t="s">
        <v>67</v>
      </c>
      <c r="B326" t="s">
        <v>70</v>
      </c>
      <c r="C326">
        <v>25</v>
      </c>
      <c r="D326" t="s">
        <v>121</v>
      </c>
      <c r="E326" t="s">
        <v>107</v>
      </c>
      <c r="F326" t="s">
        <v>95</v>
      </c>
      <c r="G326">
        <v>8.4245022667115005E-2</v>
      </c>
      <c r="H326">
        <v>0</v>
      </c>
      <c r="I326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326" cm="1">
        <f t="array" ref="J326">MAX(IF((ProjectInfoTable[ProjectName]=OutputTable[[#This Row],[ProjectName]]),(ProjectInfoTable[ProjectName]=OutputTable[[#This Row],[ProjectName]])*ProjectInfoTable[NumberOfReplications]))</f>
        <v>30</v>
      </c>
      <c r="K326" cm="1">
        <f t="array" ref="K326">IFERROR(AVERAGE(IF((OutputTable[GroupByKey]=OutputTable[[#This Row],[GroupByKey]]),(OutputTable[GroupByKey]=OutputTable[[#This Row],[GroupByKey]])*OutputTable[RecordedValue])),0)</f>
        <v>8.3509459606410805E-2</v>
      </c>
      <c r="L326" cm="1">
        <f t="array" ref="L326">IFERROR(_xlfn.STDEV.S(IF((OutputTable[GroupByKey]=OutputTable[[#This Row],[GroupByKey]]),(OutputTable[GroupByKey]=OutputTable[[#This Row],[GroupByKey]])*OutputTable[RecordedValue])),0)</f>
        <v>3.5452891325333867E-3</v>
      </c>
      <c r="M326" cm="1">
        <f t="array" ref="M326">MAX(IF((ProjectInfoTable[ProjectName]=OutputTable[[#This Row],[ProjectName]]),(ProjectInfoTable[ProjectName]=OutputTable[[#This Row],[ProjectName]])*ProjectInfoTable[ConfidenceInterval]))</f>
        <v>0.95</v>
      </c>
      <c r="N3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326" cm="1">
        <f t="array" ref="O326">MIN(IF((OutputTable[GroupByKey]=OutputTable[[#This Row],[GroupByKey]]),(OutputTable[GroupByKey]=OutputTable[[#This Row],[GroupByKey]])*OutputTable[RecordedValue]))</f>
        <v>7.7176470357847096E-2</v>
      </c>
      <c r="P326" cm="1">
        <f t="array" ref="P326">MAX(IF((OutputTable[GroupByKey]=OutputTable[[#This Row],[GroupByKey]]),(OutputTable[GroupByKey]=OutputTable[[#This Row],[GroupByKey]])*OutputTable[RecordedValue]))</f>
        <v>9.2534326714405798E-2</v>
      </c>
    </row>
    <row r="327" spans="1:16" x14ac:dyDescent="0.2">
      <c r="A327" t="s">
        <v>67</v>
      </c>
      <c r="B327" t="s">
        <v>70</v>
      </c>
      <c r="C327">
        <v>26</v>
      </c>
      <c r="D327" t="s">
        <v>104</v>
      </c>
      <c r="E327" t="s">
        <v>105</v>
      </c>
      <c r="F327" t="s">
        <v>95</v>
      </c>
      <c r="G327">
        <v>272</v>
      </c>
      <c r="H327">
        <v>0</v>
      </c>
      <c r="I327" t="str">
        <f>OutputTable[[#This Row],[ProjectName]]&amp;OutputTable[[#This Row],[Name]]&amp;OutputTable[[#This Row],[Type]]&amp;OutputTable[[#This Row],[Source]]</f>
        <v>Unnamed ProjectCleaner.NumberSeizedTotal Number SeizedResource</v>
      </c>
      <c r="J327" cm="1">
        <f t="array" ref="J327">MAX(IF((ProjectInfoTable[ProjectName]=OutputTable[[#This Row],[ProjectName]]),(ProjectInfoTable[ProjectName]=OutputTable[[#This Row],[ProjectName]])*ProjectInfoTable[NumberOfReplications]))</f>
        <v>30</v>
      </c>
      <c r="K327" cm="1">
        <f t="array" ref="K327">IFERROR(AVERAGE(IF((OutputTable[GroupByKey]=OutputTable[[#This Row],[GroupByKey]]),(OutputTable[GroupByKey]=OutputTable[[#This Row],[GroupByKey]])*OutputTable[RecordedValue])),0)</f>
        <v>285.39999999999998</v>
      </c>
      <c r="L327" cm="1">
        <f t="array" ref="L327">IFERROR(_xlfn.STDEV.S(IF((OutputTable[GroupByKey]=OutputTable[[#This Row],[GroupByKey]]),(OutputTable[GroupByKey]=OutputTable[[#This Row],[GroupByKey]])*OutputTable[RecordedValue])),0)</f>
        <v>12.88302812979555</v>
      </c>
      <c r="M327" cm="1">
        <f t="array" ref="M327">MAX(IF((ProjectInfoTable[ProjectName]=OutputTable[[#This Row],[ProjectName]]),(ProjectInfoTable[ProjectName]=OutputTable[[#This Row],[ProjectName]])*ProjectInfoTable[ConfidenceInterval]))</f>
        <v>0.95</v>
      </c>
      <c r="N3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327" cm="1">
        <f t="array" ref="O327">MIN(IF((OutputTable[GroupByKey]=OutputTable[[#This Row],[GroupByKey]]),(OutputTable[GroupByKey]=OutputTable[[#This Row],[GroupByKey]])*OutputTable[RecordedValue]))</f>
        <v>266</v>
      </c>
      <c r="P327" cm="1">
        <f t="array" ref="P327">MAX(IF((OutputTable[GroupByKey]=OutputTable[[#This Row],[GroupByKey]]),(OutputTable[GroupByKey]=OutputTable[[#This Row],[GroupByKey]])*OutputTable[RecordedValue]))</f>
        <v>318</v>
      </c>
    </row>
    <row r="328" spans="1:16" x14ac:dyDescent="0.2">
      <c r="A328" t="s">
        <v>67</v>
      </c>
      <c r="B328" t="s">
        <v>70</v>
      </c>
      <c r="C328">
        <v>26</v>
      </c>
      <c r="D328" t="s">
        <v>106</v>
      </c>
      <c r="E328" t="s">
        <v>107</v>
      </c>
      <c r="F328" t="s">
        <v>95</v>
      </c>
      <c r="G328">
        <v>0.23859649122807</v>
      </c>
      <c r="H328">
        <v>0</v>
      </c>
      <c r="I328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328" cm="1">
        <f t="array" ref="J328">MAX(IF((ProjectInfoTable[ProjectName]=OutputTable[[#This Row],[ProjectName]]),(ProjectInfoTable[ProjectName]=OutputTable[[#This Row],[ProjectName]])*ProjectInfoTable[NumberOfReplications]))</f>
        <v>30</v>
      </c>
      <c r="K328" cm="1">
        <f t="array" ref="K328">IFERROR(AVERAGE(IF((OutputTable[GroupByKey]=OutputTable[[#This Row],[GroupByKey]]),(OutputTable[GroupByKey]=OutputTable[[#This Row],[GroupByKey]])*OutputTable[RecordedValue])),0)</f>
        <v>0.25031804088290305</v>
      </c>
      <c r="L328" cm="1">
        <f t="array" ref="L328">IFERROR(_xlfn.STDEV.S(IF((OutputTable[GroupByKey]=OutputTable[[#This Row],[GroupByKey]]),(OutputTable[GroupByKey]=OutputTable[[#This Row],[GroupByKey]])*OutputTable[RecordedValue])),0)</f>
        <v>1.1255778929137084E-2</v>
      </c>
      <c r="M328" cm="1">
        <f t="array" ref="M328">MAX(IF((ProjectInfoTable[ProjectName]=OutputTable[[#This Row],[ProjectName]]),(ProjectInfoTable[ProjectName]=OutputTable[[#This Row],[ProjectName]])*ProjectInfoTable[ConfidenceInterval]))</f>
        <v>0.95</v>
      </c>
      <c r="N3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328" cm="1">
        <f t="array" ref="O328">MIN(IF((OutputTable[GroupByKey]=OutputTable[[#This Row],[GroupByKey]]),(OutputTable[GroupByKey]=OutputTable[[#This Row],[GroupByKey]])*OutputTable[RecordedValue]))</f>
        <v>0.233333333333333</v>
      </c>
      <c r="P328" cm="1">
        <f t="array" ref="P328">MAX(IF((OutputTable[GroupByKey]=OutputTable[[#This Row],[GroupByKey]]),(OutputTable[GroupByKey]=OutputTable[[#This Row],[GroupByKey]])*OutputTable[RecordedValue]))</f>
        <v>0.27905535859326402</v>
      </c>
    </row>
    <row r="329" spans="1:16" x14ac:dyDescent="0.2">
      <c r="A329" t="s">
        <v>67</v>
      </c>
      <c r="B329" t="s">
        <v>70</v>
      </c>
      <c r="C329">
        <v>26</v>
      </c>
      <c r="D329" t="s">
        <v>108</v>
      </c>
      <c r="E329" t="s">
        <v>105</v>
      </c>
      <c r="F329" t="s">
        <v>95</v>
      </c>
      <c r="G329">
        <v>274</v>
      </c>
      <c r="H329">
        <v>0</v>
      </c>
      <c r="I329" t="str">
        <f>OutputTable[[#This Row],[ProjectName]]&amp;OutputTable[[#This Row],[Name]]&amp;OutputTable[[#This Row],[Type]]&amp;OutputTable[[#This Row],[Source]]</f>
        <v>Unnamed ProjectCooker.NumberSeizedTotal Number SeizedResource</v>
      </c>
      <c r="J329" cm="1">
        <f t="array" ref="J329">MAX(IF((ProjectInfoTable[ProjectName]=OutputTable[[#This Row],[ProjectName]]),(ProjectInfoTable[ProjectName]=OutputTable[[#This Row],[ProjectName]])*ProjectInfoTable[NumberOfReplications]))</f>
        <v>30</v>
      </c>
      <c r="K329" cm="1">
        <f t="array" ref="K329">IFERROR(AVERAGE(IF((OutputTable[GroupByKey]=OutputTable[[#This Row],[GroupByKey]]),(OutputTable[GroupByKey]=OutputTable[[#This Row],[GroupByKey]])*OutputTable[RecordedValue])),0)</f>
        <v>285.66666666666669</v>
      </c>
      <c r="L329" cm="1">
        <f t="array" ref="L329">IFERROR(_xlfn.STDEV.S(IF((OutputTable[GroupByKey]=OutputTable[[#This Row],[GroupByKey]]),(OutputTable[GroupByKey]=OutputTable[[#This Row],[GroupByKey]])*OutputTable[RecordedValue])),0)</f>
        <v>12.949060233064802</v>
      </c>
      <c r="M329" cm="1">
        <f t="array" ref="M329">MAX(IF((ProjectInfoTable[ProjectName]=OutputTable[[#This Row],[ProjectName]]),(ProjectInfoTable[ProjectName]=OutputTable[[#This Row],[ProjectName]])*ProjectInfoTable[ConfidenceInterval]))</f>
        <v>0.95</v>
      </c>
      <c r="N3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329" cm="1">
        <f t="array" ref="O329">MIN(IF((OutputTable[GroupByKey]=OutputTable[[#This Row],[GroupByKey]]),(OutputTable[GroupByKey]=OutputTable[[#This Row],[GroupByKey]])*OutputTable[RecordedValue]))</f>
        <v>264</v>
      </c>
      <c r="P329" cm="1">
        <f t="array" ref="P329">MAX(IF((OutputTable[GroupByKey]=OutputTable[[#This Row],[GroupByKey]]),(OutputTable[GroupByKey]=OutputTable[[#This Row],[GroupByKey]])*OutputTable[RecordedValue]))</f>
        <v>320</v>
      </c>
    </row>
    <row r="330" spans="1:16" x14ac:dyDescent="0.2">
      <c r="A330" t="s">
        <v>67</v>
      </c>
      <c r="B330" t="s">
        <v>70</v>
      </c>
      <c r="C330">
        <v>26</v>
      </c>
      <c r="D330" t="s">
        <v>109</v>
      </c>
      <c r="E330" t="s">
        <v>107</v>
      </c>
      <c r="F330" t="s">
        <v>95</v>
      </c>
      <c r="G330">
        <v>0.59867913678398399</v>
      </c>
      <c r="H330">
        <v>0</v>
      </c>
      <c r="I330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330" cm="1">
        <f t="array" ref="J330">MAX(IF((ProjectInfoTable[ProjectName]=OutputTable[[#This Row],[ProjectName]]),(ProjectInfoTable[ProjectName]=OutputTable[[#This Row],[ProjectName]])*ProjectInfoTable[NumberOfReplications]))</f>
        <v>30</v>
      </c>
      <c r="K330" cm="1">
        <f t="array" ref="K330">IFERROR(AVERAGE(IF((OutputTable[GroupByKey]=OutputTable[[#This Row],[GroupByKey]]),(OutputTable[GroupByKey]=OutputTable[[#This Row],[GroupByKey]])*OutputTable[RecordedValue])),0)</f>
        <v>0.62721981794251769</v>
      </c>
      <c r="L330" cm="1">
        <f t="array" ref="L330">IFERROR(_xlfn.STDEV.S(IF((OutputTable[GroupByKey]=OutputTable[[#This Row],[GroupByKey]]),(OutputTable[GroupByKey]=OutputTable[[#This Row],[GroupByKey]])*OutputTable[RecordedValue])),0)</f>
        <v>2.6376107220918699E-2</v>
      </c>
      <c r="M330" cm="1">
        <f t="array" ref="M330">MAX(IF((ProjectInfoTable[ProjectName]=OutputTable[[#This Row],[ProjectName]]),(ProjectInfoTable[ProjectName]=OutputTable[[#This Row],[ProjectName]])*ProjectInfoTable[ConfidenceInterval]))</f>
        <v>0.95</v>
      </c>
      <c r="N3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330" cm="1">
        <f t="array" ref="O330">MIN(IF((OutputTable[GroupByKey]=OutputTable[[#This Row],[GroupByKey]]),(OutputTable[GroupByKey]=OutputTable[[#This Row],[GroupByKey]])*OutputTable[RecordedValue]))</f>
        <v>0.58256422876290004</v>
      </c>
      <c r="P330" cm="1">
        <f t="array" ref="P330">MAX(IF((OutputTable[GroupByKey]=OutputTable[[#This Row],[GroupByKey]]),(OutputTable[GroupByKey]=OutputTable[[#This Row],[GroupByKey]])*OutputTable[RecordedValue]))</f>
        <v>0.68643238055161704</v>
      </c>
    </row>
    <row r="331" spans="1:16" x14ac:dyDescent="0.2">
      <c r="A331" t="s">
        <v>67</v>
      </c>
      <c r="B331" t="s">
        <v>70</v>
      </c>
      <c r="C331">
        <v>26</v>
      </c>
      <c r="D331" t="s">
        <v>110</v>
      </c>
      <c r="E331" t="s">
        <v>111</v>
      </c>
      <c r="F331" t="s">
        <v>76</v>
      </c>
      <c r="G331">
        <v>823</v>
      </c>
      <c r="H331">
        <v>0</v>
      </c>
      <c r="I331" t="str">
        <f>OutputTable[[#This Row],[ProjectName]]&amp;OutputTable[[#This Row],[Name]]&amp;OutputTable[[#This Row],[Type]]&amp;OutputTable[[#This Row],[Source]]</f>
        <v>Unnamed ProjectCustomer.NumberInNumber InEntity</v>
      </c>
      <c r="J331" cm="1">
        <f t="array" ref="J331">MAX(IF((ProjectInfoTable[ProjectName]=OutputTable[[#This Row],[ProjectName]]),(ProjectInfoTable[ProjectName]=OutputTable[[#This Row],[ProjectName]])*ProjectInfoTable[NumberOfReplications]))</f>
        <v>30</v>
      </c>
      <c r="K331" cm="1">
        <f t="array" ref="K331">IFERROR(AVERAGE(IF((OutputTable[GroupByKey]=OutputTable[[#This Row],[GroupByKey]]),(OutputTable[GroupByKey]=OutputTable[[#This Row],[GroupByKey]])*OutputTable[RecordedValue])),0)</f>
        <v>855.93333333333328</v>
      </c>
      <c r="L331" cm="1">
        <f t="array" ref="L331">IFERROR(_xlfn.STDEV.S(IF((OutputTable[GroupByKey]=OutputTable[[#This Row],[GroupByKey]]),(OutputTable[GroupByKey]=OutputTable[[#This Row],[GroupByKey]])*OutputTable[RecordedValue])),0)</f>
        <v>38.659373073509371</v>
      </c>
      <c r="M331" cm="1">
        <f t="array" ref="M331">MAX(IF((ProjectInfoTable[ProjectName]=OutputTable[[#This Row],[ProjectName]]),(ProjectInfoTable[ProjectName]=OutputTable[[#This Row],[ProjectName]])*ProjectInfoTable[ConfidenceInterval]))</f>
        <v>0.95</v>
      </c>
      <c r="N3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331" cm="1">
        <f t="array" ref="O331">MIN(IF((OutputTable[GroupByKey]=OutputTable[[#This Row],[GroupByKey]]),(OutputTable[GroupByKey]=OutputTable[[#This Row],[GroupByKey]])*OutputTable[RecordedValue]))</f>
        <v>792</v>
      </c>
      <c r="P331" cm="1">
        <f t="array" ref="P331">MAX(IF((OutputTable[GroupByKey]=OutputTable[[#This Row],[GroupByKey]]),(OutputTable[GroupByKey]=OutputTable[[#This Row],[GroupByKey]])*OutputTable[RecordedValue]))</f>
        <v>958</v>
      </c>
    </row>
    <row r="332" spans="1:16" x14ac:dyDescent="0.2">
      <c r="A332" t="s">
        <v>67</v>
      </c>
      <c r="B332" t="s">
        <v>70</v>
      </c>
      <c r="C332">
        <v>26</v>
      </c>
      <c r="D332" t="s">
        <v>112</v>
      </c>
      <c r="E332" t="s">
        <v>113</v>
      </c>
      <c r="F332" t="s">
        <v>76</v>
      </c>
      <c r="G332">
        <v>816</v>
      </c>
      <c r="H332">
        <v>0</v>
      </c>
      <c r="I332" t="str">
        <f>OutputTable[[#This Row],[ProjectName]]&amp;OutputTable[[#This Row],[Name]]&amp;OutputTable[[#This Row],[Type]]&amp;OutputTable[[#This Row],[Source]]</f>
        <v>Unnamed ProjectCustomer.NumberOutNumber OutEntity</v>
      </c>
      <c r="J332" cm="1">
        <f t="array" ref="J332">MAX(IF((ProjectInfoTable[ProjectName]=OutputTable[[#This Row],[ProjectName]]),(ProjectInfoTable[ProjectName]=OutputTable[[#This Row],[ProjectName]])*ProjectInfoTable[NumberOfReplications]))</f>
        <v>30</v>
      </c>
      <c r="K332" cm="1">
        <f t="array" ref="K332">IFERROR(AVERAGE(IF((OutputTable[GroupByKey]=OutputTable[[#This Row],[GroupByKey]]),(OutputTable[GroupByKey]=OutputTable[[#This Row],[GroupByKey]])*OutputTable[RecordedValue])),0)</f>
        <v>855.3</v>
      </c>
      <c r="L332" cm="1">
        <f t="array" ref="L332">IFERROR(_xlfn.STDEV.S(IF((OutputTable[GroupByKey]=OutputTable[[#This Row],[GroupByKey]]),(OutputTable[GroupByKey]=OutputTable[[#This Row],[GroupByKey]])*OutputTable[RecordedValue])),0)</f>
        <v>38.322722169527033</v>
      </c>
      <c r="M332" cm="1">
        <f t="array" ref="M332">MAX(IF((ProjectInfoTable[ProjectName]=OutputTable[[#This Row],[ProjectName]]),(ProjectInfoTable[ProjectName]=OutputTable[[#This Row],[ProjectName]])*ProjectInfoTable[ConfidenceInterval]))</f>
        <v>0.95</v>
      </c>
      <c r="N3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332" cm="1">
        <f t="array" ref="O332">MIN(IF((OutputTable[GroupByKey]=OutputTable[[#This Row],[GroupByKey]]),(OutputTable[GroupByKey]=OutputTable[[#This Row],[GroupByKey]])*OutputTable[RecordedValue]))</f>
        <v>798</v>
      </c>
      <c r="P332" cm="1">
        <f t="array" ref="P332">MAX(IF((OutputTable[GroupByKey]=OutputTable[[#This Row],[GroupByKey]]),(OutputTable[GroupByKey]=OutputTable[[#This Row],[GroupByKey]])*OutputTable[RecordedValue]))</f>
        <v>954</v>
      </c>
    </row>
    <row r="333" spans="1:16" x14ac:dyDescent="0.2">
      <c r="A333" t="s">
        <v>67</v>
      </c>
      <c r="B333" t="s">
        <v>70</v>
      </c>
      <c r="C333">
        <v>26</v>
      </c>
      <c r="D333" t="s">
        <v>114</v>
      </c>
      <c r="E333" t="s">
        <v>105</v>
      </c>
      <c r="F333" t="s">
        <v>95</v>
      </c>
      <c r="G333">
        <v>344</v>
      </c>
      <c r="H333">
        <v>0</v>
      </c>
      <c r="I333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333" cm="1">
        <f t="array" ref="J333">MAX(IF((ProjectInfoTable[ProjectName]=OutputTable[[#This Row],[ProjectName]]),(ProjectInfoTable[ProjectName]=OutputTable[[#This Row],[ProjectName]])*ProjectInfoTable[NumberOfReplications]))</f>
        <v>30</v>
      </c>
      <c r="K333" cm="1">
        <f t="array" ref="K333">IFERROR(AVERAGE(IF((OutputTable[GroupByKey]=OutputTable[[#This Row],[GroupByKey]]),(OutputTable[GroupByKey]=OutputTable[[#This Row],[GroupByKey]])*OutputTable[RecordedValue])),0)</f>
        <v>344.6</v>
      </c>
      <c r="L333" cm="1">
        <f t="array" ref="L333">IFERROR(_xlfn.STDEV.S(IF((OutputTable[GroupByKey]=OutputTable[[#This Row],[GroupByKey]]),(OutputTable[GroupByKey]=OutputTable[[#This Row],[GroupByKey]])*OutputTable[RecordedValue])),0)</f>
        <v>21.890952311479008</v>
      </c>
      <c r="M333" cm="1">
        <f t="array" ref="M333">MAX(IF((ProjectInfoTable[ProjectName]=OutputTable[[#This Row],[ProjectName]]),(ProjectInfoTable[ProjectName]=OutputTable[[#This Row],[ProjectName]])*ProjectInfoTable[ConfidenceInterval]))</f>
        <v>0.95</v>
      </c>
      <c r="N3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333" cm="1">
        <f t="array" ref="O333">MIN(IF((OutputTable[GroupByKey]=OutputTable[[#This Row],[GroupByKey]]),(OutputTable[GroupByKey]=OutputTable[[#This Row],[GroupByKey]])*OutputTable[RecordedValue]))</f>
        <v>311</v>
      </c>
      <c r="P333" cm="1">
        <f t="array" ref="P333">MAX(IF((OutputTable[GroupByKey]=OutputTable[[#This Row],[GroupByKey]]),(OutputTable[GroupByKey]=OutputTable[[#This Row],[GroupByKey]])*OutputTable[RecordedValue]))</f>
        <v>396</v>
      </c>
    </row>
    <row r="334" spans="1:16" x14ac:dyDescent="0.2">
      <c r="A334" t="s">
        <v>67</v>
      </c>
      <c r="B334" t="s">
        <v>70</v>
      </c>
      <c r="C334">
        <v>26</v>
      </c>
      <c r="D334" t="s">
        <v>115</v>
      </c>
      <c r="E334" t="s">
        <v>107</v>
      </c>
      <c r="F334" t="s">
        <v>95</v>
      </c>
      <c r="G334">
        <v>1.8857889340883E-3</v>
      </c>
      <c r="H334">
        <v>0</v>
      </c>
      <c r="I334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334" cm="1">
        <f t="array" ref="J334">MAX(IF((ProjectInfoTable[ProjectName]=OutputTable[[#This Row],[ProjectName]]),(ProjectInfoTable[ProjectName]=OutputTable[[#This Row],[ProjectName]])*ProjectInfoTable[NumberOfReplications]))</f>
        <v>30</v>
      </c>
      <c r="K334" cm="1">
        <f t="array" ref="K334">IFERROR(AVERAGE(IF((OutputTable[GroupByKey]=OutputTable[[#This Row],[GroupByKey]]),(OutputTable[GroupByKey]=OutputTable[[#This Row],[GroupByKey]])*OutputTable[RecordedValue])),0)</f>
        <v>1.889307012236451E-3</v>
      </c>
      <c r="L334" cm="1">
        <f t="array" ref="L334">IFERROR(_xlfn.STDEV.S(IF((OutputTable[GroupByKey]=OutputTable[[#This Row],[GroupByKey]]),(OutputTable[GroupByKey]=OutputTable[[#This Row],[GroupByKey]])*OutputTable[RecordedValue])),0)</f>
        <v>1.2015303758165521E-4</v>
      </c>
      <c r="M334" cm="1">
        <f t="array" ref="M334">MAX(IF((ProjectInfoTable[ProjectName]=OutputTable[[#This Row],[ProjectName]]),(ProjectInfoTable[ProjectName]=OutputTable[[#This Row],[ProjectName]])*ProjectInfoTable[ConfidenceInterval]))</f>
        <v>0.95</v>
      </c>
      <c r="N3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334" cm="1">
        <f t="array" ref="O334">MIN(IF((OutputTable[GroupByKey]=OutputTable[[#This Row],[GroupByKey]]),(OutputTable[GroupByKey]=OutputTable[[#This Row],[GroupByKey]])*OutputTable[RecordedValue]))</f>
        <v>1.70504385964912E-3</v>
      </c>
      <c r="P334" cm="1">
        <f t="array" ref="P334">MAX(IF((OutputTable[GroupByKey]=OutputTable[[#This Row],[GroupByKey]]),(OutputTable[GroupByKey]=OutputTable[[#This Row],[GroupByKey]])*OutputTable[RecordedValue]))</f>
        <v>2.17031677925951E-3</v>
      </c>
    </row>
    <row r="335" spans="1:16" x14ac:dyDescent="0.2">
      <c r="A335" t="s">
        <v>67</v>
      </c>
      <c r="B335" t="s">
        <v>70</v>
      </c>
      <c r="C335">
        <v>26</v>
      </c>
      <c r="D335" t="s">
        <v>116</v>
      </c>
      <c r="E335" t="s">
        <v>105</v>
      </c>
      <c r="F335" t="s">
        <v>95</v>
      </c>
      <c r="G335">
        <v>205</v>
      </c>
      <c r="H335">
        <v>0</v>
      </c>
      <c r="I335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335" cm="1">
        <f t="array" ref="J335">MAX(IF((ProjectInfoTable[ProjectName]=OutputTable[[#This Row],[ProjectName]]),(ProjectInfoTable[ProjectName]=OutputTable[[#This Row],[ProjectName]])*ProjectInfoTable[NumberOfReplications]))</f>
        <v>30</v>
      </c>
      <c r="K335" cm="1">
        <f t="array" ref="K335">IFERROR(AVERAGE(IF((OutputTable[GroupByKey]=OutputTable[[#This Row],[GroupByKey]]),(OutputTable[GroupByKey]=OutputTable[[#This Row],[GroupByKey]])*OutputTable[RecordedValue])),0)</f>
        <v>225.93333333333334</v>
      </c>
      <c r="L335" cm="1">
        <f t="array" ref="L335">IFERROR(_xlfn.STDEV.S(IF((OutputTable[GroupByKey]=OutputTable[[#This Row],[GroupByKey]]),(OutputTable[GroupByKey]=OutputTable[[#This Row],[GroupByKey]])*OutputTable[RecordedValue])),0)</f>
        <v>12.403929670244338</v>
      </c>
      <c r="M335" cm="1">
        <f t="array" ref="M335">MAX(IF((ProjectInfoTable[ProjectName]=OutputTable[[#This Row],[ProjectName]]),(ProjectInfoTable[ProjectName]=OutputTable[[#This Row],[ProjectName]])*ProjectInfoTable[ConfidenceInterval]))</f>
        <v>0.95</v>
      </c>
      <c r="N3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335" cm="1">
        <f t="array" ref="O335">MIN(IF((OutputTable[GroupByKey]=OutputTable[[#This Row],[GroupByKey]]),(OutputTable[GroupByKey]=OutputTable[[#This Row],[GroupByKey]])*OutputTable[RecordedValue]))</f>
        <v>205</v>
      </c>
      <c r="P335" cm="1">
        <f t="array" ref="P335">MAX(IF((OutputTable[GroupByKey]=OutputTable[[#This Row],[GroupByKey]]),(OutputTable[GroupByKey]=OutputTable[[#This Row],[GroupByKey]])*OutputTable[RecordedValue]))</f>
        <v>253</v>
      </c>
    </row>
    <row r="336" spans="1:16" x14ac:dyDescent="0.2">
      <c r="A336" t="s">
        <v>67</v>
      </c>
      <c r="B336" t="s">
        <v>70</v>
      </c>
      <c r="C336">
        <v>26</v>
      </c>
      <c r="D336" t="s">
        <v>117</v>
      </c>
      <c r="E336" t="s">
        <v>107</v>
      </c>
      <c r="F336" t="s">
        <v>95</v>
      </c>
      <c r="G336">
        <v>4.4956140350877203E-3</v>
      </c>
      <c r="H336">
        <v>0</v>
      </c>
      <c r="I336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336" cm="1">
        <f t="array" ref="J336">MAX(IF((ProjectInfoTable[ProjectName]=OutputTable[[#This Row],[ProjectName]]),(ProjectInfoTable[ProjectName]=OutputTable[[#This Row],[ProjectName]])*ProjectInfoTable[NumberOfReplications]))</f>
        <v>30</v>
      </c>
      <c r="K336" cm="1">
        <f t="array" ref="K336">IFERROR(AVERAGE(IF((OutputTable[GroupByKey]=OutputTable[[#This Row],[GroupByKey]]),(OutputTable[GroupByKey]=OutputTable[[#This Row],[GroupByKey]])*OutputTable[RecordedValue])),0)</f>
        <v>4.9565971649701106E-3</v>
      </c>
      <c r="L336" cm="1">
        <f t="array" ref="L336">IFERROR(_xlfn.STDEV.S(IF((OutputTable[GroupByKey]=OutputTable[[#This Row],[GroupByKey]]),(OutputTable[GroupByKey]=OutputTable[[#This Row],[GroupByKey]])*OutputTable[RecordedValue])),0)</f>
        <v>2.7167433725199517E-4</v>
      </c>
      <c r="M336" cm="1">
        <f t="array" ref="M336">MAX(IF((ProjectInfoTable[ProjectName]=OutputTable[[#This Row],[ProjectName]]),(ProjectInfoTable[ProjectName]=OutputTable[[#This Row],[ProjectName]])*ProjectInfoTable[ConfidenceInterval]))</f>
        <v>0.95</v>
      </c>
      <c r="N3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336" cm="1">
        <f t="array" ref="O336">MIN(IF((OutputTable[GroupByKey]=OutputTable[[#This Row],[GroupByKey]]),(OutputTable[GroupByKey]=OutputTable[[#This Row],[GroupByKey]])*OutputTable[RecordedValue]))</f>
        <v>4.4956140350877203E-3</v>
      </c>
      <c r="P336" cm="1">
        <f t="array" ref="P336">MAX(IF((OutputTable[GroupByKey]=OutputTable[[#This Row],[GroupByKey]]),(OutputTable[GroupByKey]=OutputTable[[#This Row],[GroupByKey]])*OutputTable[RecordedValue]))</f>
        <v>5.5482456140350904E-3</v>
      </c>
    </row>
    <row r="337" spans="1:16" x14ac:dyDescent="0.2">
      <c r="A337" t="s">
        <v>67</v>
      </c>
      <c r="B337" t="s">
        <v>70</v>
      </c>
      <c r="C337">
        <v>26</v>
      </c>
      <c r="D337" t="s">
        <v>118</v>
      </c>
      <c r="E337" t="s">
        <v>113</v>
      </c>
      <c r="F337" t="s">
        <v>119</v>
      </c>
      <c r="G337">
        <v>272</v>
      </c>
      <c r="H337">
        <v>0</v>
      </c>
      <c r="I337" t="str">
        <f>OutputTable[[#This Row],[ProjectName]]&amp;OutputTable[[#This Row],[Name]]&amp;OutputTable[[#This Row],[Type]]&amp;OutputTable[[#This Row],[Source]]</f>
        <v>Unnamed ProjectSystem.NumberOutNumber OutSystem</v>
      </c>
      <c r="J337" cm="1">
        <f t="array" ref="J337">MAX(IF((ProjectInfoTable[ProjectName]=OutputTable[[#This Row],[ProjectName]]),(ProjectInfoTable[ProjectName]=OutputTable[[#This Row],[ProjectName]])*ProjectInfoTable[NumberOfReplications]))</f>
        <v>30</v>
      </c>
      <c r="K337" cm="1">
        <f t="array" ref="K337">IFERROR(AVERAGE(IF((OutputTable[GroupByKey]=OutputTable[[#This Row],[GroupByKey]]),(OutputTable[GroupByKey]=OutputTable[[#This Row],[GroupByKey]])*OutputTable[RecordedValue])),0)</f>
        <v>285.3</v>
      </c>
      <c r="L337" cm="1">
        <f t="array" ref="L337">IFERROR(_xlfn.STDEV.S(IF((OutputTable[GroupByKey]=OutputTable[[#This Row],[GroupByKey]]),(OutputTable[GroupByKey]=OutputTable[[#This Row],[GroupByKey]])*OutputTable[RecordedValue])),0)</f>
        <v>12.739160368585981</v>
      </c>
      <c r="M337" cm="1">
        <f t="array" ref="M337">MAX(IF((ProjectInfoTable[ProjectName]=OutputTable[[#This Row],[ProjectName]]),(ProjectInfoTable[ProjectName]=OutputTable[[#This Row],[ProjectName]])*ProjectInfoTable[ConfidenceInterval]))</f>
        <v>0.95</v>
      </c>
      <c r="N3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337" cm="1">
        <f t="array" ref="O337">MIN(IF((OutputTable[GroupByKey]=OutputTable[[#This Row],[GroupByKey]]),(OutputTable[GroupByKey]=OutputTable[[#This Row],[GroupByKey]])*OutputTable[RecordedValue]))</f>
        <v>266</v>
      </c>
      <c r="P337" cm="1">
        <f t="array" ref="P337">MAX(IF((OutputTable[GroupByKey]=OutputTable[[#This Row],[GroupByKey]]),(OutputTable[GroupByKey]=OutputTable[[#This Row],[GroupByKey]])*OutputTable[RecordedValue]))</f>
        <v>318</v>
      </c>
    </row>
    <row r="338" spans="1:16" x14ac:dyDescent="0.2">
      <c r="A338" t="s">
        <v>67</v>
      </c>
      <c r="B338" t="s">
        <v>70</v>
      </c>
      <c r="C338">
        <v>26</v>
      </c>
      <c r="D338" t="s">
        <v>120</v>
      </c>
      <c r="E338" t="s">
        <v>105</v>
      </c>
      <c r="F338" t="s">
        <v>95</v>
      </c>
      <c r="G338">
        <v>137</v>
      </c>
      <c r="H338">
        <v>0</v>
      </c>
      <c r="I338" t="str">
        <f>OutputTable[[#This Row],[ProjectName]]&amp;OutputTable[[#This Row],[Name]]&amp;OutputTable[[#This Row],[Type]]&amp;OutputTable[[#This Row],[Source]]</f>
        <v>Unnamed ProjectWaiter.NumberSeizedTotal Number SeizedResource</v>
      </c>
      <c r="J338" cm="1">
        <f t="array" ref="J338">MAX(IF((ProjectInfoTable[ProjectName]=OutputTable[[#This Row],[ProjectName]]),(ProjectInfoTable[ProjectName]=OutputTable[[#This Row],[ProjectName]])*ProjectInfoTable[NumberOfReplications]))</f>
        <v>30</v>
      </c>
      <c r="K338" cm="1">
        <f t="array" ref="K338">IFERROR(AVERAGE(IF((OutputTable[GroupByKey]=OutputTable[[#This Row],[GroupByKey]]),(OutputTable[GroupByKey]=OutputTable[[#This Row],[GroupByKey]])*OutputTable[RecordedValue])),0)</f>
        <v>142.66666666666666</v>
      </c>
      <c r="L338" cm="1">
        <f t="array" ref="L338">IFERROR(_xlfn.STDEV.S(IF((OutputTable[GroupByKey]=OutputTable[[#This Row],[GroupByKey]]),(OutputTable[GroupByKey]=OutputTable[[#This Row],[GroupByKey]])*OutputTable[RecordedValue])),0)</f>
        <v>6.4505190025531167</v>
      </c>
      <c r="M338" cm="1">
        <f t="array" ref="M338">MAX(IF((ProjectInfoTable[ProjectName]=OutputTable[[#This Row],[ProjectName]]),(ProjectInfoTable[ProjectName]=OutputTable[[#This Row],[ProjectName]])*ProjectInfoTable[ConfidenceInterval]))</f>
        <v>0.95</v>
      </c>
      <c r="N3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338" cm="1">
        <f t="array" ref="O338">MIN(IF((OutputTable[GroupByKey]=OutputTable[[#This Row],[GroupByKey]]),(OutputTable[GroupByKey]=OutputTable[[#This Row],[GroupByKey]])*OutputTable[RecordedValue]))</f>
        <v>132</v>
      </c>
      <c r="P338" cm="1">
        <f t="array" ref="P338">MAX(IF((OutputTable[GroupByKey]=OutputTable[[#This Row],[GroupByKey]]),(OutputTable[GroupByKey]=OutputTable[[#This Row],[GroupByKey]])*OutputTable[RecordedValue]))</f>
        <v>160</v>
      </c>
    </row>
    <row r="339" spans="1:16" x14ac:dyDescent="0.2">
      <c r="A339" t="s">
        <v>67</v>
      </c>
      <c r="B339" t="s">
        <v>70</v>
      </c>
      <c r="C339">
        <v>26</v>
      </c>
      <c r="D339" t="s">
        <v>121</v>
      </c>
      <c r="E339" t="s">
        <v>107</v>
      </c>
      <c r="F339" t="s">
        <v>95</v>
      </c>
      <c r="G339">
        <v>8.0732437048469302E-2</v>
      </c>
      <c r="H339">
        <v>0</v>
      </c>
      <c r="I339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339" cm="1">
        <f t="array" ref="J339">MAX(IF((ProjectInfoTable[ProjectName]=OutputTable[[#This Row],[ProjectName]]),(ProjectInfoTable[ProjectName]=OutputTable[[#This Row],[ProjectName]])*ProjectInfoTable[NumberOfReplications]))</f>
        <v>30</v>
      </c>
      <c r="K339" cm="1">
        <f t="array" ref="K339">IFERROR(AVERAGE(IF((OutputTable[GroupByKey]=OutputTable[[#This Row],[GroupByKey]]),(OutputTable[GroupByKey]=OutputTable[[#This Row],[GroupByKey]])*OutputTable[RecordedValue])),0)</f>
        <v>8.3509459606410805E-2</v>
      </c>
      <c r="L339" cm="1">
        <f t="array" ref="L339">IFERROR(_xlfn.STDEV.S(IF((OutputTable[GroupByKey]=OutputTable[[#This Row],[GroupByKey]]),(OutputTable[GroupByKey]=OutputTable[[#This Row],[GroupByKey]])*OutputTable[RecordedValue])),0)</f>
        <v>3.5452891325333867E-3</v>
      </c>
      <c r="M339" cm="1">
        <f t="array" ref="M339">MAX(IF((ProjectInfoTable[ProjectName]=OutputTable[[#This Row],[ProjectName]]),(ProjectInfoTable[ProjectName]=OutputTable[[#This Row],[ProjectName]])*ProjectInfoTable[ConfidenceInterval]))</f>
        <v>0.95</v>
      </c>
      <c r="N3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339" cm="1">
        <f t="array" ref="O339">MIN(IF((OutputTable[GroupByKey]=OutputTable[[#This Row],[GroupByKey]]),(OutputTable[GroupByKey]=OutputTable[[#This Row],[GroupByKey]])*OutputTable[RecordedValue]))</f>
        <v>7.7176470357847096E-2</v>
      </c>
      <c r="P339" cm="1">
        <f t="array" ref="P339">MAX(IF((OutputTable[GroupByKey]=OutputTable[[#This Row],[GroupByKey]]),(OutputTable[GroupByKey]=OutputTable[[#This Row],[GroupByKey]])*OutputTable[RecordedValue]))</f>
        <v>9.2534326714405798E-2</v>
      </c>
    </row>
    <row r="340" spans="1:16" x14ac:dyDescent="0.2">
      <c r="A340" t="s">
        <v>67</v>
      </c>
      <c r="B340" t="s">
        <v>70</v>
      </c>
      <c r="C340">
        <v>27</v>
      </c>
      <c r="D340" t="s">
        <v>104</v>
      </c>
      <c r="E340" t="s">
        <v>105</v>
      </c>
      <c r="F340" t="s">
        <v>95</v>
      </c>
      <c r="G340">
        <v>270</v>
      </c>
      <c r="H340">
        <v>0</v>
      </c>
      <c r="I340" t="str">
        <f>OutputTable[[#This Row],[ProjectName]]&amp;OutputTable[[#This Row],[Name]]&amp;OutputTable[[#This Row],[Type]]&amp;OutputTable[[#This Row],[Source]]</f>
        <v>Unnamed ProjectCleaner.NumberSeizedTotal Number SeizedResource</v>
      </c>
      <c r="J340" cm="1">
        <f t="array" ref="J340">MAX(IF((ProjectInfoTable[ProjectName]=OutputTable[[#This Row],[ProjectName]]),(ProjectInfoTable[ProjectName]=OutputTable[[#This Row],[ProjectName]])*ProjectInfoTable[NumberOfReplications]))</f>
        <v>30</v>
      </c>
      <c r="K340" cm="1">
        <f t="array" ref="K340">IFERROR(AVERAGE(IF((OutputTable[GroupByKey]=OutputTable[[#This Row],[GroupByKey]]),(OutputTable[GroupByKey]=OutputTable[[#This Row],[GroupByKey]])*OutputTable[RecordedValue])),0)</f>
        <v>285.39999999999998</v>
      </c>
      <c r="L340" cm="1">
        <f t="array" ref="L340">IFERROR(_xlfn.STDEV.S(IF((OutputTable[GroupByKey]=OutputTable[[#This Row],[GroupByKey]]),(OutputTable[GroupByKey]=OutputTable[[#This Row],[GroupByKey]])*OutputTable[RecordedValue])),0)</f>
        <v>12.88302812979555</v>
      </c>
      <c r="M340" cm="1">
        <f t="array" ref="M340">MAX(IF((ProjectInfoTable[ProjectName]=OutputTable[[#This Row],[ProjectName]]),(ProjectInfoTable[ProjectName]=OutputTable[[#This Row],[ProjectName]])*ProjectInfoTable[ConfidenceInterval]))</f>
        <v>0.95</v>
      </c>
      <c r="N3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340" cm="1">
        <f t="array" ref="O340">MIN(IF((OutputTable[GroupByKey]=OutputTable[[#This Row],[GroupByKey]]),(OutputTable[GroupByKey]=OutputTable[[#This Row],[GroupByKey]])*OutputTable[RecordedValue]))</f>
        <v>266</v>
      </c>
      <c r="P340" cm="1">
        <f t="array" ref="P340">MAX(IF((OutputTable[GroupByKey]=OutputTable[[#This Row],[GroupByKey]]),(OutputTable[GroupByKey]=OutputTable[[#This Row],[GroupByKey]])*OutputTable[RecordedValue]))</f>
        <v>318</v>
      </c>
    </row>
    <row r="341" spans="1:16" x14ac:dyDescent="0.2">
      <c r="A341" t="s">
        <v>67</v>
      </c>
      <c r="B341" t="s">
        <v>70</v>
      </c>
      <c r="C341">
        <v>27</v>
      </c>
      <c r="D341" t="s">
        <v>106</v>
      </c>
      <c r="E341" t="s">
        <v>107</v>
      </c>
      <c r="F341" t="s">
        <v>95</v>
      </c>
      <c r="G341">
        <v>0.23684210526315799</v>
      </c>
      <c r="H341">
        <v>0</v>
      </c>
      <c r="I341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341" cm="1">
        <f t="array" ref="J341">MAX(IF((ProjectInfoTable[ProjectName]=OutputTable[[#This Row],[ProjectName]]),(ProjectInfoTable[ProjectName]=OutputTable[[#This Row],[ProjectName]])*ProjectInfoTable[NumberOfReplications]))</f>
        <v>30</v>
      </c>
      <c r="K341" cm="1">
        <f t="array" ref="K341">IFERROR(AVERAGE(IF((OutputTable[GroupByKey]=OutputTable[[#This Row],[GroupByKey]]),(OutputTable[GroupByKey]=OutputTable[[#This Row],[GroupByKey]])*OutputTable[RecordedValue])),0)</f>
        <v>0.25031804088290305</v>
      </c>
      <c r="L341" cm="1">
        <f t="array" ref="L341">IFERROR(_xlfn.STDEV.S(IF((OutputTable[GroupByKey]=OutputTable[[#This Row],[GroupByKey]]),(OutputTable[GroupByKey]=OutputTable[[#This Row],[GroupByKey]])*OutputTable[RecordedValue])),0)</f>
        <v>1.1255778929137084E-2</v>
      </c>
      <c r="M341" cm="1">
        <f t="array" ref="M341">MAX(IF((ProjectInfoTable[ProjectName]=OutputTable[[#This Row],[ProjectName]]),(ProjectInfoTable[ProjectName]=OutputTable[[#This Row],[ProjectName]])*ProjectInfoTable[ConfidenceInterval]))</f>
        <v>0.95</v>
      </c>
      <c r="N3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341" cm="1">
        <f t="array" ref="O341">MIN(IF((OutputTable[GroupByKey]=OutputTable[[#This Row],[GroupByKey]]),(OutputTable[GroupByKey]=OutputTable[[#This Row],[GroupByKey]])*OutputTable[RecordedValue]))</f>
        <v>0.233333333333333</v>
      </c>
      <c r="P341" cm="1">
        <f t="array" ref="P341">MAX(IF((OutputTable[GroupByKey]=OutputTable[[#This Row],[GroupByKey]]),(OutputTable[GroupByKey]=OutputTable[[#This Row],[GroupByKey]])*OutputTable[RecordedValue]))</f>
        <v>0.27905535859326402</v>
      </c>
    </row>
    <row r="342" spans="1:16" x14ac:dyDescent="0.2">
      <c r="A342" t="s">
        <v>67</v>
      </c>
      <c r="B342" t="s">
        <v>70</v>
      </c>
      <c r="C342">
        <v>27</v>
      </c>
      <c r="D342" t="s">
        <v>108</v>
      </c>
      <c r="E342" t="s">
        <v>105</v>
      </c>
      <c r="F342" t="s">
        <v>95</v>
      </c>
      <c r="G342">
        <v>272</v>
      </c>
      <c r="H342">
        <v>0</v>
      </c>
      <c r="I342" t="str">
        <f>OutputTable[[#This Row],[ProjectName]]&amp;OutputTable[[#This Row],[Name]]&amp;OutputTable[[#This Row],[Type]]&amp;OutputTable[[#This Row],[Source]]</f>
        <v>Unnamed ProjectCooker.NumberSeizedTotal Number SeizedResource</v>
      </c>
      <c r="J342" cm="1">
        <f t="array" ref="J342">MAX(IF((ProjectInfoTable[ProjectName]=OutputTable[[#This Row],[ProjectName]]),(ProjectInfoTable[ProjectName]=OutputTable[[#This Row],[ProjectName]])*ProjectInfoTable[NumberOfReplications]))</f>
        <v>30</v>
      </c>
      <c r="K342" cm="1">
        <f t="array" ref="K342">IFERROR(AVERAGE(IF((OutputTable[GroupByKey]=OutputTable[[#This Row],[GroupByKey]]),(OutputTable[GroupByKey]=OutputTable[[#This Row],[GroupByKey]])*OutputTable[RecordedValue])),0)</f>
        <v>285.66666666666669</v>
      </c>
      <c r="L342" cm="1">
        <f t="array" ref="L342">IFERROR(_xlfn.STDEV.S(IF((OutputTable[GroupByKey]=OutputTable[[#This Row],[GroupByKey]]),(OutputTable[GroupByKey]=OutputTable[[#This Row],[GroupByKey]])*OutputTable[RecordedValue])),0)</f>
        <v>12.949060233064802</v>
      </c>
      <c r="M342" cm="1">
        <f t="array" ref="M342">MAX(IF((ProjectInfoTable[ProjectName]=OutputTable[[#This Row],[ProjectName]]),(ProjectInfoTable[ProjectName]=OutputTable[[#This Row],[ProjectName]])*ProjectInfoTable[ConfidenceInterval]))</f>
        <v>0.95</v>
      </c>
      <c r="N3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342" cm="1">
        <f t="array" ref="O342">MIN(IF((OutputTable[GroupByKey]=OutputTable[[#This Row],[GroupByKey]]),(OutputTable[GroupByKey]=OutputTable[[#This Row],[GroupByKey]])*OutputTable[RecordedValue]))</f>
        <v>264</v>
      </c>
      <c r="P342" cm="1">
        <f t="array" ref="P342">MAX(IF((OutputTable[GroupByKey]=OutputTable[[#This Row],[GroupByKey]]),(OutputTable[GroupByKey]=OutputTable[[#This Row],[GroupByKey]])*OutputTable[RecordedValue]))</f>
        <v>320</v>
      </c>
    </row>
    <row r="343" spans="1:16" x14ac:dyDescent="0.2">
      <c r="A343" t="s">
        <v>67</v>
      </c>
      <c r="B343" t="s">
        <v>70</v>
      </c>
      <c r="C343">
        <v>27</v>
      </c>
      <c r="D343" t="s">
        <v>109</v>
      </c>
      <c r="E343" t="s">
        <v>107</v>
      </c>
      <c r="F343" t="s">
        <v>95</v>
      </c>
      <c r="G343">
        <v>0.59159702273548298</v>
      </c>
      <c r="H343">
        <v>0</v>
      </c>
      <c r="I343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343" cm="1">
        <f t="array" ref="J343">MAX(IF((ProjectInfoTable[ProjectName]=OutputTable[[#This Row],[ProjectName]]),(ProjectInfoTable[ProjectName]=OutputTable[[#This Row],[ProjectName]])*ProjectInfoTable[NumberOfReplications]))</f>
        <v>30</v>
      </c>
      <c r="K343" cm="1">
        <f t="array" ref="K343">IFERROR(AVERAGE(IF((OutputTable[GroupByKey]=OutputTable[[#This Row],[GroupByKey]]),(OutputTable[GroupByKey]=OutputTable[[#This Row],[GroupByKey]])*OutputTable[RecordedValue])),0)</f>
        <v>0.62721981794251769</v>
      </c>
      <c r="L343" cm="1">
        <f t="array" ref="L343">IFERROR(_xlfn.STDEV.S(IF((OutputTable[GroupByKey]=OutputTable[[#This Row],[GroupByKey]]),(OutputTable[GroupByKey]=OutputTable[[#This Row],[GroupByKey]])*OutputTable[RecordedValue])),0)</f>
        <v>2.6376107220918699E-2</v>
      </c>
      <c r="M343" cm="1">
        <f t="array" ref="M343">MAX(IF((ProjectInfoTable[ProjectName]=OutputTable[[#This Row],[ProjectName]]),(ProjectInfoTable[ProjectName]=OutputTable[[#This Row],[ProjectName]])*ProjectInfoTable[ConfidenceInterval]))</f>
        <v>0.95</v>
      </c>
      <c r="N3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343" cm="1">
        <f t="array" ref="O343">MIN(IF((OutputTable[GroupByKey]=OutputTable[[#This Row],[GroupByKey]]),(OutputTable[GroupByKey]=OutputTable[[#This Row],[GroupByKey]])*OutputTable[RecordedValue]))</f>
        <v>0.58256422876290004</v>
      </c>
      <c r="P343" cm="1">
        <f t="array" ref="P343">MAX(IF((OutputTable[GroupByKey]=OutputTable[[#This Row],[GroupByKey]]),(OutputTable[GroupByKey]=OutputTable[[#This Row],[GroupByKey]])*OutputTable[RecordedValue]))</f>
        <v>0.68643238055161704</v>
      </c>
    </row>
    <row r="344" spans="1:16" x14ac:dyDescent="0.2">
      <c r="A344" t="s">
        <v>67</v>
      </c>
      <c r="B344" t="s">
        <v>70</v>
      </c>
      <c r="C344">
        <v>27</v>
      </c>
      <c r="D344" t="s">
        <v>110</v>
      </c>
      <c r="E344" t="s">
        <v>111</v>
      </c>
      <c r="F344" t="s">
        <v>76</v>
      </c>
      <c r="G344">
        <v>819</v>
      </c>
      <c r="H344">
        <v>0</v>
      </c>
      <c r="I344" t="str">
        <f>OutputTable[[#This Row],[ProjectName]]&amp;OutputTable[[#This Row],[Name]]&amp;OutputTable[[#This Row],[Type]]&amp;OutputTable[[#This Row],[Source]]</f>
        <v>Unnamed ProjectCustomer.NumberInNumber InEntity</v>
      </c>
      <c r="J344" cm="1">
        <f t="array" ref="J344">MAX(IF((ProjectInfoTable[ProjectName]=OutputTable[[#This Row],[ProjectName]]),(ProjectInfoTable[ProjectName]=OutputTable[[#This Row],[ProjectName]])*ProjectInfoTable[NumberOfReplications]))</f>
        <v>30</v>
      </c>
      <c r="K344" cm="1">
        <f t="array" ref="K344">IFERROR(AVERAGE(IF((OutputTable[GroupByKey]=OutputTable[[#This Row],[GroupByKey]]),(OutputTable[GroupByKey]=OutputTable[[#This Row],[GroupByKey]])*OutputTable[RecordedValue])),0)</f>
        <v>855.93333333333328</v>
      </c>
      <c r="L344" cm="1">
        <f t="array" ref="L344">IFERROR(_xlfn.STDEV.S(IF((OutputTable[GroupByKey]=OutputTable[[#This Row],[GroupByKey]]),(OutputTable[GroupByKey]=OutputTable[[#This Row],[GroupByKey]])*OutputTable[RecordedValue])),0)</f>
        <v>38.659373073509371</v>
      </c>
      <c r="M344" cm="1">
        <f t="array" ref="M344">MAX(IF((ProjectInfoTable[ProjectName]=OutputTable[[#This Row],[ProjectName]]),(ProjectInfoTable[ProjectName]=OutputTable[[#This Row],[ProjectName]])*ProjectInfoTable[ConfidenceInterval]))</f>
        <v>0.95</v>
      </c>
      <c r="N3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344" cm="1">
        <f t="array" ref="O344">MIN(IF((OutputTable[GroupByKey]=OutputTable[[#This Row],[GroupByKey]]),(OutputTable[GroupByKey]=OutputTable[[#This Row],[GroupByKey]])*OutputTable[RecordedValue]))</f>
        <v>792</v>
      </c>
      <c r="P344" cm="1">
        <f t="array" ref="P344">MAX(IF((OutputTable[GroupByKey]=OutputTable[[#This Row],[GroupByKey]]),(OutputTable[GroupByKey]=OutputTable[[#This Row],[GroupByKey]])*OutputTable[RecordedValue]))</f>
        <v>958</v>
      </c>
    </row>
    <row r="345" spans="1:16" x14ac:dyDescent="0.2">
      <c r="A345" t="s">
        <v>67</v>
      </c>
      <c r="B345" t="s">
        <v>70</v>
      </c>
      <c r="C345">
        <v>27</v>
      </c>
      <c r="D345" t="s">
        <v>112</v>
      </c>
      <c r="E345" t="s">
        <v>113</v>
      </c>
      <c r="F345" t="s">
        <v>76</v>
      </c>
      <c r="G345">
        <v>810</v>
      </c>
      <c r="H345">
        <v>0</v>
      </c>
      <c r="I345" t="str">
        <f>OutputTable[[#This Row],[ProjectName]]&amp;OutputTable[[#This Row],[Name]]&amp;OutputTable[[#This Row],[Type]]&amp;OutputTable[[#This Row],[Source]]</f>
        <v>Unnamed ProjectCustomer.NumberOutNumber OutEntity</v>
      </c>
      <c r="J345" cm="1">
        <f t="array" ref="J345">MAX(IF((ProjectInfoTable[ProjectName]=OutputTable[[#This Row],[ProjectName]]),(ProjectInfoTable[ProjectName]=OutputTable[[#This Row],[ProjectName]])*ProjectInfoTable[NumberOfReplications]))</f>
        <v>30</v>
      </c>
      <c r="K345" cm="1">
        <f t="array" ref="K345">IFERROR(AVERAGE(IF((OutputTable[GroupByKey]=OutputTable[[#This Row],[GroupByKey]]),(OutputTable[GroupByKey]=OutputTable[[#This Row],[GroupByKey]])*OutputTable[RecordedValue])),0)</f>
        <v>855.3</v>
      </c>
      <c r="L345" cm="1">
        <f t="array" ref="L345">IFERROR(_xlfn.STDEV.S(IF((OutputTable[GroupByKey]=OutputTable[[#This Row],[GroupByKey]]),(OutputTable[GroupByKey]=OutputTable[[#This Row],[GroupByKey]])*OutputTable[RecordedValue])),0)</f>
        <v>38.322722169527033</v>
      </c>
      <c r="M345" cm="1">
        <f t="array" ref="M345">MAX(IF((ProjectInfoTable[ProjectName]=OutputTable[[#This Row],[ProjectName]]),(ProjectInfoTable[ProjectName]=OutputTable[[#This Row],[ProjectName]])*ProjectInfoTable[ConfidenceInterval]))</f>
        <v>0.95</v>
      </c>
      <c r="N3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345" cm="1">
        <f t="array" ref="O345">MIN(IF((OutputTable[GroupByKey]=OutputTable[[#This Row],[GroupByKey]]),(OutputTable[GroupByKey]=OutputTable[[#This Row],[GroupByKey]])*OutputTable[RecordedValue]))</f>
        <v>798</v>
      </c>
      <c r="P345" cm="1">
        <f t="array" ref="P345">MAX(IF((OutputTable[GroupByKey]=OutputTable[[#This Row],[GroupByKey]]),(OutputTable[GroupByKey]=OutputTable[[#This Row],[GroupByKey]])*OutputTable[RecordedValue]))</f>
        <v>954</v>
      </c>
    </row>
    <row r="346" spans="1:16" x14ac:dyDescent="0.2">
      <c r="A346" t="s">
        <v>67</v>
      </c>
      <c r="B346" t="s">
        <v>70</v>
      </c>
      <c r="C346">
        <v>27</v>
      </c>
      <c r="D346" t="s">
        <v>114</v>
      </c>
      <c r="E346" t="s">
        <v>105</v>
      </c>
      <c r="F346" t="s">
        <v>95</v>
      </c>
      <c r="G346">
        <v>327</v>
      </c>
      <c r="H346">
        <v>0</v>
      </c>
      <c r="I346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346" cm="1">
        <f t="array" ref="J346">MAX(IF((ProjectInfoTable[ProjectName]=OutputTable[[#This Row],[ProjectName]]),(ProjectInfoTable[ProjectName]=OutputTable[[#This Row],[ProjectName]])*ProjectInfoTable[NumberOfReplications]))</f>
        <v>30</v>
      </c>
      <c r="K346" cm="1">
        <f t="array" ref="K346">IFERROR(AVERAGE(IF((OutputTable[GroupByKey]=OutputTable[[#This Row],[GroupByKey]]),(OutputTable[GroupByKey]=OutputTable[[#This Row],[GroupByKey]])*OutputTable[RecordedValue])),0)</f>
        <v>344.6</v>
      </c>
      <c r="L346" cm="1">
        <f t="array" ref="L346">IFERROR(_xlfn.STDEV.S(IF((OutputTable[GroupByKey]=OutputTable[[#This Row],[GroupByKey]]),(OutputTable[GroupByKey]=OutputTable[[#This Row],[GroupByKey]])*OutputTable[RecordedValue])),0)</f>
        <v>21.890952311479008</v>
      </c>
      <c r="M346" cm="1">
        <f t="array" ref="M346">MAX(IF((ProjectInfoTable[ProjectName]=OutputTable[[#This Row],[ProjectName]]),(ProjectInfoTable[ProjectName]=OutputTable[[#This Row],[ProjectName]])*ProjectInfoTable[ConfidenceInterval]))</f>
        <v>0.95</v>
      </c>
      <c r="N3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346" cm="1">
        <f t="array" ref="O346">MIN(IF((OutputTable[GroupByKey]=OutputTable[[#This Row],[GroupByKey]]),(OutputTable[GroupByKey]=OutputTable[[#This Row],[GroupByKey]])*OutputTable[RecordedValue]))</f>
        <v>311</v>
      </c>
      <c r="P346" cm="1">
        <f t="array" ref="P346">MAX(IF((OutputTable[GroupByKey]=OutputTable[[#This Row],[GroupByKey]]),(OutputTable[GroupByKey]=OutputTable[[#This Row],[GroupByKey]])*OutputTable[RecordedValue]))</f>
        <v>396</v>
      </c>
    </row>
    <row r="347" spans="1:16" x14ac:dyDescent="0.2">
      <c r="A347" t="s">
        <v>67</v>
      </c>
      <c r="B347" t="s">
        <v>70</v>
      </c>
      <c r="C347">
        <v>27</v>
      </c>
      <c r="D347" t="s">
        <v>115</v>
      </c>
      <c r="E347" t="s">
        <v>107</v>
      </c>
      <c r="F347" t="s">
        <v>95</v>
      </c>
      <c r="G347">
        <v>1.79054729773366E-3</v>
      </c>
      <c r="H347">
        <v>0</v>
      </c>
      <c r="I347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347" cm="1">
        <f t="array" ref="J347">MAX(IF((ProjectInfoTable[ProjectName]=OutputTable[[#This Row],[ProjectName]]),(ProjectInfoTable[ProjectName]=OutputTable[[#This Row],[ProjectName]])*ProjectInfoTable[NumberOfReplications]))</f>
        <v>30</v>
      </c>
      <c r="K347" cm="1">
        <f t="array" ref="K347">IFERROR(AVERAGE(IF((OutputTable[GroupByKey]=OutputTable[[#This Row],[GroupByKey]]),(OutputTable[GroupByKey]=OutputTable[[#This Row],[GroupByKey]])*OutputTable[RecordedValue])),0)</f>
        <v>1.889307012236451E-3</v>
      </c>
      <c r="L347" cm="1">
        <f t="array" ref="L347">IFERROR(_xlfn.STDEV.S(IF((OutputTable[GroupByKey]=OutputTable[[#This Row],[GroupByKey]]),(OutputTable[GroupByKey]=OutputTable[[#This Row],[GroupByKey]])*OutputTable[RecordedValue])),0)</f>
        <v>1.2015303758165521E-4</v>
      </c>
      <c r="M347" cm="1">
        <f t="array" ref="M347">MAX(IF((ProjectInfoTable[ProjectName]=OutputTable[[#This Row],[ProjectName]]),(ProjectInfoTable[ProjectName]=OutputTable[[#This Row],[ProjectName]])*ProjectInfoTable[ConfidenceInterval]))</f>
        <v>0.95</v>
      </c>
      <c r="N3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347" cm="1">
        <f t="array" ref="O347">MIN(IF((OutputTable[GroupByKey]=OutputTable[[#This Row],[GroupByKey]]),(OutputTable[GroupByKey]=OutputTable[[#This Row],[GroupByKey]])*OutputTable[RecordedValue]))</f>
        <v>1.70504385964912E-3</v>
      </c>
      <c r="P347" cm="1">
        <f t="array" ref="P347">MAX(IF((OutputTable[GroupByKey]=OutputTable[[#This Row],[GroupByKey]]),(OutputTable[GroupByKey]=OutputTable[[#This Row],[GroupByKey]])*OutputTable[RecordedValue]))</f>
        <v>2.17031677925951E-3</v>
      </c>
    </row>
    <row r="348" spans="1:16" x14ac:dyDescent="0.2">
      <c r="A348" t="s">
        <v>67</v>
      </c>
      <c r="B348" t="s">
        <v>70</v>
      </c>
      <c r="C348">
        <v>27</v>
      </c>
      <c r="D348" t="s">
        <v>116</v>
      </c>
      <c r="E348" t="s">
        <v>105</v>
      </c>
      <c r="F348" t="s">
        <v>95</v>
      </c>
      <c r="G348">
        <v>220</v>
      </c>
      <c r="H348">
        <v>0</v>
      </c>
      <c r="I348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348" cm="1">
        <f t="array" ref="J348">MAX(IF((ProjectInfoTable[ProjectName]=OutputTable[[#This Row],[ProjectName]]),(ProjectInfoTable[ProjectName]=OutputTable[[#This Row],[ProjectName]])*ProjectInfoTable[NumberOfReplications]))</f>
        <v>30</v>
      </c>
      <c r="K348" cm="1">
        <f t="array" ref="K348">IFERROR(AVERAGE(IF((OutputTable[GroupByKey]=OutputTable[[#This Row],[GroupByKey]]),(OutputTable[GroupByKey]=OutputTable[[#This Row],[GroupByKey]])*OutputTable[RecordedValue])),0)</f>
        <v>225.93333333333334</v>
      </c>
      <c r="L348" cm="1">
        <f t="array" ref="L348">IFERROR(_xlfn.STDEV.S(IF((OutputTable[GroupByKey]=OutputTable[[#This Row],[GroupByKey]]),(OutputTable[GroupByKey]=OutputTable[[#This Row],[GroupByKey]])*OutputTable[RecordedValue])),0)</f>
        <v>12.403929670244338</v>
      </c>
      <c r="M348" cm="1">
        <f t="array" ref="M348">MAX(IF((ProjectInfoTable[ProjectName]=OutputTable[[#This Row],[ProjectName]]),(ProjectInfoTable[ProjectName]=OutputTable[[#This Row],[ProjectName]])*ProjectInfoTable[ConfidenceInterval]))</f>
        <v>0.95</v>
      </c>
      <c r="N3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348" cm="1">
        <f t="array" ref="O348">MIN(IF((OutputTable[GroupByKey]=OutputTable[[#This Row],[GroupByKey]]),(OutputTable[GroupByKey]=OutputTable[[#This Row],[GroupByKey]])*OutputTable[RecordedValue]))</f>
        <v>205</v>
      </c>
      <c r="P348" cm="1">
        <f t="array" ref="P348">MAX(IF((OutputTable[GroupByKey]=OutputTable[[#This Row],[GroupByKey]]),(OutputTable[GroupByKey]=OutputTable[[#This Row],[GroupByKey]])*OutputTable[RecordedValue]))</f>
        <v>253</v>
      </c>
    </row>
    <row r="349" spans="1:16" x14ac:dyDescent="0.2">
      <c r="A349" t="s">
        <v>67</v>
      </c>
      <c r="B349" t="s">
        <v>70</v>
      </c>
      <c r="C349">
        <v>27</v>
      </c>
      <c r="D349" t="s">
        <v>117</v>
      </c>
      <c r="E349" t="s">
        <v>107</v>
      </c>
      <c r="F349" t="s">
        <v>95</v>
      </c>
      <c r="G349">
        <v>4.8245614035087696E-3</v>
      </c>
      <c r="H349">
        <v>0</v>
      </c>
      <c r="I349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349" cm="1">
        <f t="array" ref="J349">MAX(IF((ProjectInfoTable[ProjectName]=OutputTable[[#This Row],[ProjectName]]),(ProjectInfoTable[ProjectName]=OutputTable[[#This Row],[ProjectName]])*ProjectInfoTable[NumberOfReplications]))</f>
        <v>30</v>
      </c>
      <c r="K349" cm="1">
        <f t="array" ref="K349">IFERROR(AVERAGE(IF((OutputTable[GroupByKey]=OutputTable[[#This Row],[GroupByKey]]),(OutputTable[GroupByKey]=OutputTable[[#This Row],[GroupByKey]])*OutputTable[RecordedValue])),0)</f>
        <v>4.9565971649701106E-3</v>
      </c>
      <c r="L349" cm="1">
        <f t="array" ref="L349">IFERROR(_xlfn.STDEV.S(IF((OutputTable[GroupByKey]=OutputTable[[#This Row],[GroupByKey]]),(OutputTable[GroupByKey]=OutputTable[[#This Row],[GroupByKey]])*OutputTable[RecordedValue])),0)</f>
        <v>2.7167433725199517E-4</v>
      </c>
      <c r="M349" cm="1">
        <f t="array" ref="M349">MAX(IF((ProjectInfoTable[ProjectName]=OutputTable[[#This Row],[ProjectName]]),(ProjectInfoTable[ProjectName]=OutputTable[[#This Row],[ProjectName]])*ProjectInfoTable[ConfidenceInterval]))</f>
        <v>0.95</v>
      </c>
      <c r="N3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349" cm="1">
        <f t="array" ref="O349">MIN(IF((OutputTable[GroupByKey]=OutputTable[[#This Row],[GroupByKey]]),(OutputTable[GroupByKey]=OutputTable[[#This Row],[GroupByKey]])*OutputTable[RecordedValue]))</f>
        <v>4.4956140350877203E-3</v>
      </c>
      <c r="P349" cm="1">
        <f t="array" ref="P349">MAX(IF((OutputTable[GroupByKey]=OutputTable[[#This Row],[GroupByKey]]),(OutputTable[GroupByKey]=OutputTable[[#This Row],[GroupByKey]])*OutputTable[RecordedValue]))</f>
        <v>5.5482456140350904E-3</v>
      </c>
    </row>
    <row r="350" spans="1:16" x14ac:dyDescent="0.2">
      <c r="A350" t="s">
        <v>67</v>
      </c>
      <c r="B350" t="s">
        <v>70</v>
      </c>
      <c r="C350">
        <v>27</v>
      </c>
      <c r="D350" t="s">
        <v>118</v>
      </c>
      <c r="E350" t="s">
        <v>113</v>
      </c>
      <c r="F350" t="s">
        <v>119</v>
      </c>
      <c r="G350">
        <v>270</v>
      </c>
      <c r="H350">
        <v>0</v>
      </c>
      <c r="I350" t="str">
        <f>OutputTable[[#This Row],[ProjectName]]&amp;OutputTable[[#This Row],[Name]]&amp;OutputTable[[#This Row],[Type]]&amp;OutputTable[[#This Row],[Source]]</f>
        <v>Unnamed ProjectSystem.NumberOutNumber OutSystem</v>
      </c>
      <c r="J350" cm="1">
        <f t="array" ref="J350">MAX(IF((ProjectInfoTable[ProjectName]=OutputTable[[#This Row],[ProjectName]]),(ProjectInfoTable[ProjectName]=OutputTable[[#This Row],[ProjectName]])*ProjectInfoTable[NumberOfReplications]))</f>
        <v>30</v>
      </c>
      <c r="K350" cm="1">
        <f t="array" ref="K350">IFERROR(AVERAGE(IF((OutputTable[GroupByKey]=OutputTable[[#This Row],[GroupByKey]]),(OutputTable[GroupByKey]=OutputTable[[#This Row],[GroupByKey]])*OutputTable[RecordedValue])),0)</f>
        <v>285.3</v>
      </c>
      <c r="L350" cm="1">
        <f t="array" ref="L350">IFERROR(_xlfn.STDEV.S(IF((OutputTable[GroupByKey]=OutputTable[[#This Row],[GroupByKey]]),(OutputTable[GroupByKey]=OutputTable[[#This Row],[GroupByKey]])*OutputTable[RecordedValue])),0)</f>
        <v>12.739160368585981</v>
      </c>
      <c r="M350" cm="1">
        <f t="array" ref="M350">MAX(IF((ProjectInfoTable[ProjectName]=OutputTable[[#This Row],[ProjectName]]),(ProjectInfoTable[ProjectName]=OutputTable[[#This Row],[ProjectName]])*ProjectInfoTable[ConfidenceInterval]))</f>
        <v>0.95</v>
      </c>
      <c r="N3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350" cm="1">
        <f t="array" ref="O350">MIN(IF((OutputTable[GroupByKey]=OutputTable[[#This Row],[GroupByKey]]),(OutputTable[GroupByKey]=OutputTable[[#This Row],[GroupByKey]])*OutputTable[RecordedValue]))</f>
        <v>266</v>
      </c>
      <c r="P350" cm="1">
        <f t="array" ref="P350">MAX(IF((OutputTable[GroupByKey]=OutputTable[[#This Row],[GroupByKey]]),(OutputTable[GroupByKey]=OutputTable[[#This Row],[GroupByKey]])*OutputTable[RecordedValue]))</f>
        <v>318</v>
      </c>
    </row>
    <row r="351" spans="1:16" x14ac:dyDescent="0.2">
      <c r="A351" t="s">
        <v>67</v>
      </c>
      <c r="B351" t="s">
        <v>70</v>
      </c>
      <c r="C351">
        <v>27</v>
      </c>
      <c r="D351" t="s">
        <v>120</v>
      </c>
      <c r="E351" t="s">
        <v>105</v>
      </c>
      <c r="F351" t="s">
        <v>95</v>
      </c>
      <c r="G351">
        <v>136</v>
      </c>
      <c r="H351">
        <v>0</v>
      </c>
      <c r="I351" t="str">
        <f>OutputTable[[#This Row],[ProjectName]]&amp;OutputTable[[#This Row],[Name]]&amp;OutputTable[[#This Row],[Type]]&amp;OutputTable[[#This Row],[Source]]</f>
        <v>Unnamed ProjectWaiter.NumberSeizedTotal Number SeizedResource</v>
      </c>
      <c r="J351" cm="1">
        <f t="array" ref="J351">MAX(IF((ProjectInfoTable[ProjectName]=OutputTable[[#This Row],[ProjectName]]),(ProjectInfoTable[ProjectName]=OutputTable[[#This Row],[ProjectName]])*ProjectInfoTable[NumberOfReplications]))</f>
        <v>30</v>
      </c>
      <c r="K351" cm="1">
        <f t="array" ref="K351">IFERROR(AVERAGE(IF((OutputTable[GroupByKey]=OutputTable[[#This Row],[GroupByKey]]),(OutputTable[GroupByKey]=OutputTable[[#This Row],[GroupByKey]])*OutputTable[RecordedValue])),0)</f>
        <v>142.66666666666666</v>
      </c>
      <c r="L351" cm="1">
        <f t="array" ref="L351">IFERROR(_xlfn.STDEV.S(IF((OutputTable[GroupByKey]=OutputTable[[#This Row],[GroupByKey]]),(OutputTable[GroupByKey]=OutputTable[[#This Row],[GroupByKey]])*OutputTable[RecordedValue])),0)</f>
        <v>6.4505190025531167</v>
      </c>
      <c r="M351" cm="1">
        <f t="array" ref="M351">MAX(IF((ProjectInfoTable[ProjectName]=OutputTable[[#This Row],[ProjectName]]),(ProjectInfoTable[ProjectName]=OutputTable[[#This Row],[ProjectName]])*ProjectInfoTable[ConfidenceInterval]))</f>
        <v>0.95</v>
      </c>
      <c r="N3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351" cm="1">
        <f t="array" ref="O351">MIN(IF((OutputTable[GroupByKey]=OutputTable[[#This Row],[GroupByKey]]),(OutputTable[GroupByKey]=OutputTable[[#This Row],[GroupByKey]])*OutputTable[RecordedValue]))</f>
        <v>132</v>
      </c>
      <c r="P351" cm="1">
        <f t="array" ref="P351">MAX(IF((OutputTable[GroupByKey]=OutputTable[[#This Row],[GroupByKey]]),(OutputTable[GroupByKey]=OutputTable[[#This Row],[GroupByKey]])*OutputTable[RecordedValue]))</f>
        <v>160</v>
      </c>
    </row>
    <row r="352" spans="1:16" x14ac:dyDescent="0.2">
      <c r="A352" t="s">
        <v>67</v>
      </c>
      <c r="B352" t="s">
        <v>70</v>
      </c>
      <c r="C352">
        <v>27</v>
      </c>
      <c r="D352" t="s">
        <v>121</v>
      </c>
      <c r="E352" t="s">
        <v>107</v>
      </c>
      <c r="F352" t="s">
        <v>95</v>
      </c>
      <c r="G352">
        <v>7.9005982237244504E-2</v>
      </c>
      <c r="H352">
        <v>0</v>
      </c>
      <c r="I352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352" cm="1">
        <f t="array" ref="J352">MAX(IF((ProjectInfoTable[ProjectName]=OutputTable[[#This Row],[ProjectName]]),(ProjectInfoTable[ProjectName]=OutputTable[[#This Row],[ProjectName]])*ProjectInfoTable[NumberOfReplications]))</f>
        <v>30</v>
      </c>
      <c r="K352" cm="1">
        <f t="array" ref="K352">IFERROR(AVERAGE(IF((OutputTable[GroupByKey]=OutputTable[[#This Row],[GroupByKey]]),(OutputTable[GroupByKey]=OutputTable[[#This Row],[GroupByKey]])*OutputTable[RecordedValue])),0)</f>
        <v>8.3509459606410805E-2</v>
      </c>
      <c r="L352" cm="1">
        <f t="array" ref="L352">IFERROR(_xlfn.STDEV.S(IF((OutputTable[GroupByKey]=OutputTable[[#This Row],[GroupByKey]]),(OutputTable[GroupByKey]=OutputTable[[#This Row],[GroupByKey]])*OutputTable[RecordedValue])),0)</f>
        <v>3.5452891325333867E-3</v>
      </c>
      <c r="M352" cm="1">
        <f t="array" ref="M352">MAX(IF((ProjectInfoTable[ProjectName]=OutputTable[[#This Row],[ProjectName]]),(ProjectInfoTable[ProjectName]=OutputTable[[#This Row],[ProjectName]])*ProjectInfoTable[ConfidenceInterval]))</f>
        <v>0.95</v>
      </c>
      <c r="N3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352" cm="1">
        <f t="array" ref="O352">MIN(IF((OutputTable[GroupByKey]=OutputTable[[#This Row],[GroupByKey]]),(OutputTable[GroupByKey]=OutputTable[[#This Row],[GroupByKey]])*OutputTable[RecordedValue]))</f>
        <v>7.7176470357847096E-2</v>
      </c>
      <c r="P352" cm="1">
        <f t="array" ref="P352">MAX(IF((OutputTable[GroupByKey]=OutputTable[[#This Row],[GroupByKey]]),(OutputTable[GroupByKey]=OutputTable[[#This Row],[GroupByKey]])*OutputTable[RecordedValue]))</f>
        <v>9.2534326714405798E-2</v>
      </c>
    </row>
    <row r="353" spans="1:16" x14ac:dyDescent="0.2">
      <c r="A353" t="s">
        <v>67</v>
      </c>
      <c r="B353" t="s">
        <v>70</v>
      </c>
      <c r="C353">
        <v>28</v>
      </c>
      <c r="D353" t="s">
        <v>104</v>
      </c>
      <c r="E353" t="s">
        <v>105</v>
      </c>
      <c r="F353" t="s">
        <v>95</v>
      </c>
      <c r="G353">
        <v>267</v>
      </c>
      <c r="H353">
        <v>0</v>
      </c>
      <c r="I353" t="str">
        <f>OutputTable[[#This Row],[ProjectName]]&amp;OutputTable[[#This Row],[Name]]&amp;OutputTable[[#This Row],[Type]]&amp;OutputTable[[#This Row],[Source]]</f>
        <v>Unnamed ProjectCleaner.NumberSeizedTotal Number SeizedResource</v>
      </c>
      <c r="J353" cm="1">
        <f t="array" ref="J353">MAX(IF((ProjectInfoTable[ProjectName]=OutputTable[[#This Row],[ProjectName]]),(ProjectInfoTable[ProjectName]=OutputTable[[#This Row],[ProjectName]])*ProjectInfoTable[NumberOfReplications]))</f>
        <v>30</v>
      </c>
      <c r="K353" cm="1">
        <f t="array" ref="K353">IFERROR(AVERAGE(IF((OutputTable[GroupByKey]=OutputTable[[#This Row],[GroupByKey]]),(OutputTable[GroupByKey]=OutputTable[[#This Row],[GroupByKey]])*OutputTable[RecordedValue])),0)</f>
        <v>285.39999999999998</v>
      </c>
      <c r="L353" cm="1">
        <f t="array" ref="L353">IFERROR(_xlfn.STDEV.S(IF((OutputTable[GroupByKey]=OutputTable[[#This Row],[GroupByKey]]),(OutputTable[GroupByKey]=OutputTable[[#This Row],[GroupByKey]])*OutputTable[RecordedValue])),0)</f>
        <v>12.88302812979555</v>
      </c>
      <c r="M353" cm="1">
        <f t="array" ref="M353">MAX(IF((ProjectInfoTable[ProjectName]=OutputTable[[#This Row],[ProjectName]]),(ProjectInfoTable[ProjectName]=OutputTable[[#This Row],[ProjectName]])*ProjectInfoTable[ConfidenceInterval]))</f>
        <v>0.95</v>
      </c>
      <c r="N3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353" cm="1">
        <f t="array" ref="O353">MIN(IF((OutputTable[GroupByKey]=OutputTable[[#This Row],[GroupByKey]]),(OutputTable[GroupByKey]=OutputTable[[#This Row],[GroupByKey]])*OutputTable[RecordedValue]))</f>
        <v>266</v>
      </c>
      <c r="P353" cm="1">
        <f t="array" ref="P353">MAX(IF((OutputTable[GroupByKey]=OutputTable[[#This Row],[GroupByKey]]),(OutputTable[GroupByKey]=OutputTable[[#This Row],[GroupByKey]])*OutputTable[RecordedValue]))</f>
        <v>318</v>
      </c>
    </row>
    <row r="354" spans="1:16" x14ac:dyDescent="0.2">
      <c r="A354" t="s">
        <v>67</v>
      </c>
      <c r="B354" t="s">
        <v>70</v>
      </c>
      <c r="C354">
        <v>28</v>
      </c>
      <c r="D354" t="s">
        <v>106</v>
      </c>
      <c r="E354" t="s">
        <v>107</v>
      </c>
      <c r="F354" t="s">
        <v>95</v>
      </c>
      <c r="G354">
        <v>0.23421052631578901</v>
      </c>
      <c r="H354">
        <v>0</v>
      </c>
      <c r="I354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354" cm="1">
        <f t="array" ref="J354">MAX(IF((ProjectInfoTable[ProjectName]=OutputTable[[#This Row],[ProjectName]]),(ProjectInfoTable[ProjectName]=OutputTable[[#This Row],[ProjectName]])*ProjectInfoTable[NumberOfReplications]))</f>
        <v>30</v>
      </c>
      <c r="K354" cm="1">
        <f t="array" ref="K354">IFERROR(AVERAGE(IF((OutputTable[GroupByKey]=OutputTable[[#This Row],[GroupByKey]]),(OutputTable[GroupByKey]=OutputTable[[#This Row],[GroupByKey]])*OutputTable[RecordedValue])),0)</f>
        <v>0.25031804088290305</v>
      </c>
      <c r="L354" cm="1">
        <f t="array" ref="L354">IFERROR(_xlfn.STDEV.S(IF((OutputTable[GroupByKey]=OutputTable[[#This Row],[GroupByKey]]),(OutputTable[GroupByKey]=OutputTable[[#This Row],[GroupByKey]])*OutputTable[RecordedValue])),0)</f>
        <v>1.1255778929137084E-2</v>
      </c>
      <c r="M354" cm="1">
        <f t="array" ref="M354">MAX(IF((ProjectInfoTable[ProjectName]=OutputTable[[#This Row],[ProjectName]]),(ProjectInfoTable[ProjectName]=OutputTable[[#This Row],[ProjectName]])*ProjectInfoTable[ConfidenceInterval]))</f>
        <v>0.95</v>
      </c>
      <c r="N3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354" cm="1">
        <f t="array" ref="O354">MIN(IF((OutputTable[GroupByKey]=OutputTable[[#This Row],[GroupByKey]]),(OutputTable[GroupByKey]=OutputTable[[#This Row],[GroupByKey]])*OutputTable[RecordedValue]))</f>
        <v>0.233333333333333</v>
      </c>
      <c r="P354" cm="1">
        <f t="array" ref="P354">MAX(IF((OutputTable[GroupByKey]=OutputTable[[#This Row],[GroupByKey]]),(OutputTable[GroupByKey]=OutputTable[[#This Row],[GroupByKey]])*OutputTable[RecordedValue]))</f>
        <v>0.27905535859326402</v>
      </c>
    </row>
    <row r="355" spans="1:16" x14ac:dyDescent="0.2">
      <c r="A355" t="s">
        <v>67</v>
      </c>
      <c r="B355" t="s">
        <v>70</v>
      </c>
      <c r="C355">
        <v>28</v>
      </c>
      <c r="D355" t="s">
        <v>108</v>
      </c>
      <c r="E355" t="s">
        <v>105</v>
      </c>
      <c r="F355" t="s">
        <v>95</v>
      </c>
      <c r="G355">
        <v>267</v>
      </c>
      <c r="H355">
        <v>0</v>
      </c>
      <c r="I355" t="str">
        <f>OutputTable[[#This Row],[ProjectName]]&amp;OutputTable[[#This Row],[Name]]&amp;OutputTable[[#This Row],[Type]]&amp;OutputTable[[#This Row],[Source]]</f>
        <v>Unnamed ProjectCooker.NumberSeizedTotal Number SeizedResource</v>
      </c>
      <c r="J355" cm="1">
        <f t="array" ref="J355">MAX(IF((ProjectInfoTable[ProjectName]=OutputTable[[#This Row],[ProjectName]]),(ProjectInfoTable[ProjectName]=OutputTable[[#This Row],[ProjectName]])*ProjectInfoTable[NumberOfReplications]))</f>
        <v>30</v>
      </c>
      <c r="K355" cm="1">
        <f t="array" ref="K355">IFERROR(AVERAGE(IF((OutputTable[GroupByKey]=OutputTable[[#This Row],[GroupByKey]]),(OutputTable[GroupByKey]=OutputTable[[#This Row],[GroupByKey]])*OutputTable[RecordedValue])),0)</f>
        <v>285.66666666666669</v>
      </c>
      <c r="L355" cm="1">
        <f t="array" ref="L355">IFERROR(_xlfn.STDEV.S(IF((OutputTable[GroupByKey]=OutputTable[[#This Row],[GroupByKey]]),(OutputTable[GroupByKey]=OutputTable[[#This Row],[GroupByKey]])*OutputTable[RecordedValue])),0)</f>
        <v>12.949060233064802</v>
      </c>
      <c r="M355" cm="1">
        <f t="array" ref="M355">MAX(IF((ProjectInfoTable[ProjectName]=OutputTable[[#This Row],[ProjectName]]),(ProjectInfoTable[ProjectName]=OutputTable[[#This Row],[ProjectName]])*ProjectInfoTable[ConfidenceInterval]))</f>
        <v>0.95</v>
      </c>
      <c r="N3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355" cm="1">
        <f t="array" ref="O355">MIN(IF((OutputTable[GroupByKey]=OutputTable[[#This Row],[GroupByKey]]),(OutputTable[GroupByKey]=OutputTable[[#This Row],[GroupByKey]])*OutputTable[RecordedValue]))</f>
        <v>264</v>
      </c>
      <c r="P355" cm="1">
        <f t="array" ref="P355">MAX(IF((OutputTable[GroupByKey]=OutputTable[[#This Row],[GroupByKey]]),(OutputTable[GroupByKey]=OutputTable[[#This Row],[GroupByKey]])*OutputTable[RecordedValue]))</f>
        <v>320</v>
      </c>
    </row>
    <row r="356" spans="1:16" x14ac:dyDescent="0.2">
      <c r="A356" t="s">
        <v>67</v>
      </c>
      <c r="B356" t="s">
        <v>70</v>
      </c>
      <c r="C356">
        <v>28</v>
      </c>
      <c r="D356" t="s">
        <v>109</v>
      </c>
      <c r="E356" t="s">
        <v>107</v>
      </c>
      <c r="F356" t="s">
        <v>95</v>
      </c>
      <c r="G356">
        <v>0.58467229634543605</v>
      </c>
      <c r="H356">
        <v>0</v>
      </c>
      <c r="I356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356" cm="1">
        <f t="array" ref="J356">MAX(IF((ProjectInfoTable[ProjectName]=OutputTable[[#This Row],[ProjectName]]),(ProjectInfoTable[ProjectName]=OutputTable[[#This Row],[ProjectName]])*ProjectInfoTable[NumberOfReplications]))</f>
        <v>30</v>
      </c>
      <c r="K356" cm="1">
        <f t="array" ref="K356">IFERROR(AVERAGE(IF((OutputTable[GroupByKey]=OutputTable[[#This Row],[GroupByKey]]),(OutputTable[GroupByKey]=OutputTable[[#This Row],[GroupByKey]])*OutputTable[RecordedValue])),0)</f>
        <v>0.62721981794251769</v>
      </c>
      <c r="L356" cm="1">
        <f t="array" ref="L356">IFERROR(_xlfn.STDEV.S(IF((OutputTable[GroupByKey]=OutputTable[[#This Row],[GroupByKey]]),(OutputTable[GroupByKey]=OutputTable[[#This Row],[GroupByKey]])*OutputTable[RecordedValue])),0)</f>
        <v>2.6376107220918699E-2</v>
      </c>
      <c r="M356" cm="1">
        <f t="array" ref="M356">MAX(IF((ProjectInfoTable[ProjectName]=OutputTable[[#This Row],[ProjectName]]),(ProjectInfoTable[ProjectName]=OutputTable[[#This Row],[ProjectName]])*ProjectInfoTable[ConfidenceInterval]))</f>
        <v>0.95</v>
      </c>
      <c r="N3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356" cm="1">
        <f t="array" ref="O356">MIN(IF((OutputTable[GroupByKey]=OutputTable[[#This Row],[GroupByKey]]),(OutputTable[GroupByKey]=OutputTable[[#This Row],[GroupByKey]])*OutputTable[RecordedValue]))</f>
        <v>0.58256422876290004</v>
      </c>
      <c r="P356" cm="1">
        <f t="array" ref="P356">MAX(IF((OutputTable[GroupByKey]=OutputTable[[#This Row],[GroupByKey]]),(OutputTable[GroupByKey]=OutputTable[[#This Row],[GroupByKey]])*OutputTable[RecordedValue]))</f>
        <v>0.68643238055161704</v>
      </c>
    </row>
    <row r="357" spans="1:16" x14ac:dyDescent="0.2">
      <c r="A357" t="s">
        <v>67</v>
      </c>
      <c r="B357" t="s">
        <v>70</v>
      </c>
      <c r="C357">
        <v>28</v>
      </c>
      <c r="D357" t="s">
        <v>110</v>
      </c>
      <c r="E357" t="s">
        <v>111</v>
      </c>
      <c r="F357" t="s">
        <v>76</v>
      </c>
      <c r="G357">
        <v>796</v>
      </c>
      <c r="H357">
        <v>0</v>
      </c>
      <c r="I357" t="str">
        <f>OutputTable[[#This Row],[ProjectName]]&amp;OutputTable[[#This Row],[Name]]&amp;OutputTable[[#This Row],[Type]]&amp;OutputTable[[#This Row],[Source]]</f>
        <v>Unnamed ProjectCustomer.NumberInNumber InEntity</v>
      </c>
      <c r="J357" cm="1">
        <f t="array" ref="J357">MAX(IF((ProjectInfoTable[ProjectName]=OutputTable[[#This Row],[ProjectName]]),(ProjectInfoTable[ProjectName]=OutputTable[[#This Row],[ProjectName]])*ProjectInfoTable[NumberOfReplications]))</f>
        <v>30</v>
      </c>
      <c r="K357" cm="1">
        <f t="array" ref="K357">IFERROR(AVERAGE(IF((OutputTable[GroupByKey]=OutputTable[[#This Row],[GroupByKey]]),(OutputTable[GroupByKey]=OutputTable[[#This Row],[GroupByKey]])*OutputTable[RecordedValue])),0)</f>
        <v>855.93333333333328</v>
      </c>
      <c r="L357" cm="1">
        <f t="array" ref="L357">IFERROR(_xlfn.STDEV.S(IF((OutputTable[GroupByKey]=OutputTable[[#This Row],[GroupByKey]]),(OutputTable[GroupByKey]=OutputTable[[#This Row],[GroupByKey]])*OutputTable[RecordedValue])),0)</f>
        <v>38.659373073509371</v>
      </c>
      <c r="M357" cm="1">
        <f t="array" ref="M357">MAX(IF((ProjectInfoTable[ProjectName]=OutputTable[[#This Row],[ProjectName]]),(ProjectInfoTable[ProjectName]=OutputTable[[#This Row],[ProjectName]])*ProjectInfoTable[ConfidenceInterval]))</f>
        <v>0.95</v>
      </c>
      <c r="N3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357" cm="1">
        <f t="array" ref="O357">MIN(IF((OutputTable[GroupByKey]=OutputTable[[#This Row],[GroupByKey]]),(OutputTable[GroupByKey]=OutputTable[[#This Row],[GroupByKey]])*OutputTable[RecordedValue]))</f>
        <v>792</v>
      </c>
      <c r="P357" cm="1">
        <f t="array" ref="P357">MAX(IF((OutputTable[GroupByKey]=OutputTable[[#This Row],[GroupByKey]]),(OutputTable[GroupByKey]=OutputTable[[#This Row],[GroupByKey]])*OutputTable[RecordedValue]))</f>
        <v>958</v>
      </c>
    </row>
    <row r="358" spans="1:16" x14ac:dyDescent="0.2">
      <c r="A358" t="s">
        <v>67</v>
      </c>
      <c r="B358" t="s">
        <v>70</v>
      </c>
      <c r="C358">
        <v>28</v>
      </c>
      <c r="D358" t="s">
        <v>112</v>
      </c>
      <c r="E358" t="s">
        <v>113</v>
      </c>
      <c r="F358" t="s">
        <v>76</v>
      </c>
      <c r="G358">
        <v>803</v>
      </c>
      <c r="H358">
        <v>0</v>
      </c>
      <c r="I358" t="str">
        <f>OutputTable[[#This Row],[ProjectName]]&amp;OutputTable[[#This Row],[Name]]&amp;OutputTable[[#This Row],[Type]]&amp;OutputTable[[#This Row],[Source]]</f>
        <v>Unnamed ProjectCustomer.NumberOutNumber OutEntity</v>
      </c>
      <c r="J358" cm="1">
        <f t="array" ref="J358">MAX(IF((ProjectInfoTable[ProjectName]=OutputTable[[#This Row],[ProjectName]]),(ProjectInfoTable[ProjectName]=OutputTable[[#This Row],[ProjectName]])*ProjectInfoTable[NumberOfReplications]))</f>
        <v>30</v>
      </c>
      <c r="K358" cm="1">
        <f t="array" ref="K358">IFERROR(AVERAGE(IF((OutputTable[GroupByKey]=OutputTable[[#This Row],[GroupByKey]]),(OutputTable[GroupByKey]=OutputTable[[#This Row],[GroupByKey]])*OutputTable[RecordedValue])),0)</f>
        <v>855.3</v>
      </c>
      <c r="L358" cm="1">
        <f t="array" ref="L358">IFERROR(_xlfn.STDEV.S(IF((OutputTable[GroupByKey]=OutputTable[[#This Row],[GroupByKey]]),(OutputTable[GroupByKey]=OutputTable[[#This Row],[GroupByKey]])*OutputTable[RecordedValue])),0)</f>
        <v>38.322722169527033</v>
      </c>
      <c r="M358" cm="1">
        <f t="array" ref="M358">MAX(IF((ProjectInfoTable[ProjectName]=OutputTable[[#This Row],[ProjectName]]),(ProjectInfoTable[ProjectName]=OutputTable[[#This Row],[ProjectName]])*ProjectInfoTable[ConfidenceInterval]))</f>
        <v>0.95</v>
      </c>
      <c r="N3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358" cm="1">
        <f t="array" ref="O358">MIN(IF((OutputTable[GroupByKey]=OutputTable[[#This Row],[GroupByKey]]),(OutputTable[GroupByKey]=OutputTable[[#This Row],[GroupByKey]])*OutputTable[RecordedValue]))</f>
        <v>798</v>
      </c>
      <c r="P358" cm="1">
        <f t="array" ref="P358">MAX(IF((OutputTable[GroupByKey]=OutputTable[[#This Row],[GroupByKey]]),(OutputTable[GroupByKey]=OutputTable[[#This Row],[GroupByKey]])*OutputTable[RecordedValue]))</f>
        <v>954</v>
      </c>
    </row>
    <row r="359" spans="1:16" x14ac:dyDescent="0.2">
      <c r="A359" t="s">
        <v>67</v>
      </c>
      <c r="B359" t="s">
        <v>70</v>
      </c>
      <c r="C359">
        <v>28</v>
      </c>
      <c r="D359" t="s">
        <v>114</v>
      </c>
      <c r="E359" t="s">
        <v>105</v>
      </c>
      <c r="F359" t="s">
        <v>95</v>
      </c>
      <c r="G359">
        <v>314</v>
      </c>
      <c r="H359">
        <v>0</v>
      </c>
      <c r="I359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359" cm="1">
        <f t="array" ref="J359">MAX(IF((ProjectInfoTable[ProjectName]=OutputTable[[#This Row],[ProjectName]]),(ProjectInfoTable[ProjectName]=OutputTable[[#This Row],[ProjectName]])*ProjectInfoTable[NumberOfReplications]))</f>
        <v>30</v>
      </c>
      <c r="K359" cm="1">
        <f t="array" ref="K359">IFERROR(AVERAGE(IF((OutputTable[GroupByKey]=OutputTable[[#This Row],[GroupByKey]]),(OutputTable[GroupByKey]=OutputTable[[#This Row],[GroupByKey]])*OutputTable[RecordedValue])),0)</f>
        <v>344.6</v>
      </c>
      <c r="L359" cm="1">
        <f t="array" ref="L359">IFERROR(_xlfn.STDEV.S(IF((OutputTable[GroupByKey]=OutputTable[[#This Row],[GroupByKey]]),(OutputTable[GroupByKey]=OutputTable[[#This Row],[GroupByKey]])*OutputTable[RecordedValue])),0)</f>
        <v>21.890952311479008</v>
      </c>
      <c r="M359" cm="1">
        <f t="array" ref="M359">MAX(IF((ProjectInfoTable[ProjectName]=OutputTable[[#This Row],[ProjectName]]),(ProjectInfoTable[ProjectName]=OutputTable[[#This Row],[ProjectName]])*ProjectInfoTable[ConfidenceInterval]))</f>
        <v>0.95</v>
      </c>
      <c r="N3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359" cm="1">
        <f t="array" ref="O359">MIN(IF((OutputTable[GroupByKey]=OutputTable[[#This Row],[GroupByKey]]),(OutputTable[GroupByKey]=OutputTable[[#This Row],[GroupByKey]])*OutputTable[RecordedValue]))</f>
        <v>311</v>
      </c>
      <c r="P359" cm="1">
        <f t="array" ref="P359">MAX(IF((OutputTable[GroupByKey]=OutputTable[[#This Row],[GroupByKey]]),(OutputTable[GroupByKey]=OutputTable[[#This Row],[GroupByKey]])*OutputTable[RecordedValue]))</f>
        <v>396</v>
      </c>
    </row>
    <row r="360" spans="1:16" x14ac:dyDescent="0.2">
      <c r="A360" t="s">
        <v>67</v>
      </c>
      <c r="B360" t="s">
        <v>70</v>
      </c>
      <c r="C360">
        <v>28</v>
      </c>
      <c r="D360" t="s">
        <v>115</v>
      </c>
      <c r="E360" t="s">
        <v>107</v>
      </c>
      <c r="F360" t="s">
        <v>95</v>
      </c>
      <c r="G360">
        <v>1.7214912280701801E-3</v>
      </c>
      <c r="H360">
        <v>0</v>
      </c>
      <c r="I360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360" cm="1">
        <f t="array" ref="J360">MAX(IF((ProjectInfoTable[ProjectName]=OutputTable[[#This Row],[ProjectName]]),(ProjectInfoTable[ProjectName]=OutputTable[[#This Row],[ProjectName]])*ProjectInfoTable[NumberOfReplications]))</f>
        <v>30</v>
      </c>
      <c r="K360" cm="1">
        <f t="array" ref="K360">IFERROR(AVERAGE(IF((OutputTable[GroupByKey]=OutputTable[[#This Row],[GroupByKey]]),(OutputTable[GroupByKey]=OutputTable[[#This Row],[GroupByKey]])*OutputTable[RecordedValue])),0)</f>
        <v>1.889307012236451E-3</v>
      </c>
      <c r="L360" cm="1">
        <f t="array" ref="L360">IFERROR(_xlfn.STDEV.S(IF((OutputTable[GroupByKey]=OutputTable[[#This Row],[GroupByKey]]),(OutputTable[GroupByKey]=OutputTable[[#This Row],[GroupByKey]])*OutputTable[RecordedValue])),0)</f>
        <v>1.2015303758165521E-4</v>
      </c>
      <c r="M360" cm="1">
        <f t="array" ref="M360">MAX(IF((ProjectInfoTable[ProjectName]=OutputTable[[#This Row],[ProjectName]]),(ProjectInfoTable[ProjectName]=OutputTable[[#This Row],[ProjectName]])*ProjectInfoTable[ConfidenceInterval]))</f>
        <v>0.95</v>
      </c>
      <c r="N3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360" cm="1">
        <f t="array" ref="O360">MIN(IF((OutputTable[GroupByKey]=OutputTable[[#This Row],[GroupByKey]]),(OutputTable[GroupByKey]=OutputTable[[#This Row],[GroupByKey]])*OutputTable[RecordedValue]))</f>
        <v>1.70504385964912E-3</v>
      </c>
      <c r="P360" cm="1">
        <f t="array" ref="P360">MAX(IF((OutputTable[GroupByKey]=OutputTable[[#This Row],[GroupByKey]]),(OutputTable[GroupByKey]=OutputTable[[#This Row],[GroupByKey]])*OutputTable[RecordedValue]))</f>
        <v>2.17031677925951E-3</v>
      </c>
    </row>
    <row r="361" spans="1:16" x14ac:dyDescent="0.2">
      <c r="A361" t="s">
        <v>67</v>
      </c>
      <c r="B361" t="s">
        <v>70</v>
      </c>
      <c r="C361">
        <v>28</v>
      </c>
      <c r="D361" t="s">
        <v>116</v>
      </c>
      <c r="E361" t="s">
        <v>105</v>
      </c>
      <c r="F361" t="s">
        <v>95</v>
      </c>
      <c r="G361">
        <v>216</v>
      </c>
      <c r="H361">
        <v>0</v>
      </c>
      <c r="I361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361" cm="1">
        <f t="array" ref="J361">MAX(IF((ProjectInfoTable[ProjectName]=OutputTable[[#This Row],[ProjectName]]),(ProjectInfoTable[ProjectName]=OutputTable[[#This Row],[ProjectName]])*ProjectInfoTable[NumberOfReplications]))</f>
        <v>30</v>
      </c>
      <c r="K361" cm="1">
        <f t="array" ref="K361">IFERROR(AVERAGE(IF((OutputTable[GroupByKey]=OutputTable[[#This Row],[GroupByKey]]),(OutputTable[GroupByKey]=OutputTable[[#This Row],[GroupByKey]])*OutputTable[RecordedValue])),0)</f>
        <v>225.93333333333334</v>
      </c>
      <c r="L361" cm="1">
        <f t="array" ref="L361">IFERROR(_xlfn.STDEV.S(IF((OutputTable[GroupByKey]=OutputTable[[#This Row],[GroupByKey]]),(OutputTable[GroupByKey]=OutputTable[[#This Row],[GroupByKey]])*OutputTable[RecordedValue])),0)</f>
        <v>12.403929670244338</v>
      </c>
      <c r="M361" cm="1">
        <f t="array" ref="M361">MAX(IF((ProjectInfoTable[ProjectName]=OutputTable[[#This Row],[ProjectName]]),(ProjectInfoTable[ProjectName]=OutputTable[[#This Row],[ProjectName]])*ProjectInfoTable[ConfidenceInterval]))</f>
        <v>0.95</v>
      </c>
      <c r="N3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361" cm="1">
        <f t="array" ref="O361">MIN(IF((OutputTable[GroupByKey]=OutputTable[[#This Row],[GroupByKey]]),(OutputTable[GroupByKey]=OutputTable[[#This Row],[GroupByKey]])*OutputTable[RecordedValue]))</f>
        <v>205</v>
      </c>
      <c r="P361" cm="1">
        <f t="array" ref="P361">MAX(IF((OutputTable[GroupByKey]=OutputTable[[#This Row],[GroupByKey]]),(OutputTable[GroupByKey]=OutputTable[[#This Row],[GroupByKey]])*OutputTable[RecordedValue]))</f>
        <v>253</v>
      </c>
    </row>
    <row r="362" spans="1:16" x14ac:dyDescent="0.2">
      <c r="A362" t="s">
        <v>67</v>
      </c>
      <c r="B362" t="s">
        <v>70</v>
      </c>
      <c r="C362">
        <v>28</v>
      </c>
      <c r="D362" t="s">
        <v>117</v>
      </c>
      <c r="E362" t="s">
        <v>107</v>
      </c>
      <c r="F362" t="s">
        <v>95</v>
      </c>
      <c r="G362">
        <v>4.7368421052631504E-3</v>
      </c>
      <c r="H362">
        <v>0</v>
      </c>
      <c r="I362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362" cm="1">
        <f t="array" ref="J362">MAX(IF((ProjectInfoTable[ProjectName]=OutputTable[[#This Row],[ProjectName]]),(ProjectInfoTable[ProjectName]=OutputTable[[#This Row],[ProjectName]])*ProjectInfoTable[NumberOfReplications]))</f>
        <v>30</v>
      </c>
      <c r="K362" cm="1">
        <f t="array" ref="K362">IFERROR(AVERAGE(IF((OutputTable[GroupByKey]=OutputTable[[#This Row],[GroupByKey]]),(OutputTable[GroupByKey]=OutputTable[[#This Row],[GroupByKey]])*OutputTable[RecordedValue])),0)</f>
        <v>4.9565971649701106E-3</v>
      </c>
      <c r="L362" cm="1">
        <f t="array" ref="L362">IFERROR(_xlfn.STDEV.S(IF((OutputTable[GroupByKey]=OutputTable[[#This Row],[GroupByKey]]),(OutputTable[GroupByKey]=OutputTable[[#This Row],[GroupByKey]])*OutputTable[RecordedValue])),0)</f>
        <v>2.7167433725199517E-4</v>
      </c>
      <c r="M362" cm="1">
        <f t="array" ref="M362">MAX(IF((ProjectInfoTable[ProjectName]=OutputTable[[#This Row],[ProjectName]]),(ProjectInfoTable[ProjectName]=OutputTable[[#This Row],[ProjectName]])*ProjectInfoTable[ConfidenceInterval]))</f>
        <v>0.95</v>
      </c>
      <c r="N3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362" cm="1">
        <f t="array" ref="O362">MIN(IF((OutputTable[GroupByKey]=OutputTable[[#This Row],[GroupByKey]]),(OutputTable[GroupByKey]=OutputTable[[#This Row],[GroupByKey]])*OutputTable[RecordedValue]))</f>
        <v>4.4956140350877203E-3</v>
      </c>
      <c r="P362" cm="1">
        <f t="array" ref="P362">MAX(IF((OutputTable[GroupByKey]=OutputTable[[#This Row],[GroupByKey]]),(OutputTable[GroupByKey]=OutputTable[[#This Row],[GroupByKey]])*OutputTable[RecordedValue]))</f>
        <v>5.5482456140350904E-3</v>
      </c>
    </row>
    <row r="363" spans="1:16" x14ac:dyDescent="0.2">
      <c r="A363" t="s">
        <v>67</v>
      </c>
      <c r="B363" t="s">
        <v>70</v>
      </c>
      <c r="C363">
        <v>28</v>
      </c>
      <c r="D363" t="s">
        <v>118</v>
      </c>
      <c r="E363" t="s">
        <v>113</v>
      </c>
      <c r="F363" t="s">
        <v>119</v>
      </c>
      <c r="G363">
        <v>267</v>
      </c>
      <c r="H363">
        <v>0</v>
      </c>
      <c r="I363" t="str">
        <f>OutputTable[[#This Row],[ProjectName]]&amp;OutputTable[[#This Row],[Name]]&amp;OutputTable[[#This Row],[Type]]&amp;OutputTable[[#This Row],[Source]]</f>
        <v>Unnamed ProjectSystem.NumberOutNumber OutSystem</v>
      </c>
      <c r="J363" cm="1">
        <f t="array" ref="J363">MAX(IF((ProjectInfoTable[ProjectName]=OutputTable[[#This Row],[ProjectName]]),(ProjectInfoTable[ProjectName]=OutputTable[[#This Row],[ProjectName]])*ProjectInfoTable[NumberOfReplications]))</f>
        <v>30</v>
      </c>
      <c r="K363" cm="1">
        <f t="array" ref="K363">IFERROR(AVERAGE(IF((OutputTable[GroupByKey]=OutputTable[[#This Row],[GroupByKey]]),(OutputTable[GroupByKey]=OutputTable[[#This Row],[GroupByKey]])*OutputTable[RecordedValue])),0)</f>
        <v>285.3</v>
      </c>
      <c r="L363" cm="1">
        <f t="array" ref="L363">IFERROR(_xlfn.STDEV.S(IF((OutputTable[GroupByKey]=OutputTable[[#This Row],[GroupByKey]]),(OutputTable[GroupByKey]=OutputTable[[#This Row],[GroupByKey]])*OutputTable[RecordedValue])),0)</f>
        <v>12.739160368585981</v>
      </c>
      <c r="M363" cm="1">
        <f t="array" ref="M363">MAX(IF((ProjectInfoTable[ProjectName]=OutputTable[[#This Row],[ProjectName]]),(ProjectInfoTable[ProjectName]=OutputTable[[#This Row],[ProjectName]])*ProjectInfoTable[ConfidenceInterval]))</f>
        <v>0.95</v>
      </c>
      <c r="N3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363" cm="1">
        <f t="array" ref="O363">MIN(IF((OutputTable[GroupByKey]=OutputTable[[#This Row],[GroupByKey]]),(OutputTable[GroupByKey]=OutputTable[[#This Row],[GroupByKey]])*OutputTable[RecordedValue]))</f>
        <v>266</v>
      </c>
      <c r="P363" cm="1">
        <f t="array" ref="P363">MAX(IF((OutputTable[GroupByKey]=OutputTable[[#This Row],[GroupByKey]]),(OutputTable[GroupByKey]=OutputTable[[#This Row],[GroupByKey]])*OutputTable[RecordedValue]))</f>
        <v>318</v>
      </c>
    </row>
    <row r="364" spans="1:16" x14ac:dyDescent="0.2">
      <c r="A364" t="s">
        <v>67</v>
      </c>
      <c r="B364" t="s">
        <v>70</v>
      </c>
      <c r="C364">
        <v>28</v>
      </c>
      <c r="D364" t="s">
        <v>120</v>
      </c>
      <c r="E364" t="s">
        <v>105</v>
      </c>
      <c r="F364" t="s">
        <v>95</v>
      </c>
      <c r="G364">
        <v>133</v>
      </c>
      <c r="H364">
        <v>0</v>
      </c>
      <c r="I364" t="str">
        <f>OutputTable[[#This Row],[ProjectName]]&amp;OutputTable[[#This Row],[Name]]&amp;OutputTable[[#This Row],[Type]]&amp;OutputTable[[#This Row],[Source]]</f>
        <v>Unnamed ProjectWaiter.NumberSeizedTotal Number SeizedResource</v>
      </c>
      <c r="J364" cm="1">
        <f t="array" ref="J364">MAX(IF((ProjectInfoTable[ProjectName]=OutputTable[[#This Row],[ProjectName]]),(ProjectInfoTable[ProjectName]=OutputTable[[#This Row],[ProjectName]])*ProjectInfoTable[NumberOfReplications]))</f>
        <v>30</v>
      </c>
      <c r="K364" cm="1">
        <f t="array" ref="K364">IFERROR(AVERAGE(IF((OutputTable[GroupByKey]=OutputTable[[#This Row],[GroupByKey]]),(OutputTable[GroupByKey]=OutputTable[[#This Row],[GroupByKey]])*OutputTable[RecordedValue])),0)</f>
        <v>142.66666666666666</v>
      </c>
      <c r="L364" cm="1">
        <f t="array" ref="L364">IFERROR(_xlfn.STDEV.S(IF((OutputTable[GroupByKey]=OutputTable[[#This Row],[GroupByKey]]),(OutputTable[GroupByKey]=OutputTable[[#This Row],[GroupByKey]])*OutputTable[RecordedValue])),0)</f>
        <v>6.4505190025531167</v>
      </c>
      <c r="M364" cm="1">
        <f t="array" ref="M364">MAX(IF((ProjectInfoTable[ProjectName]=OutputTable[[#This Row],[ProjectName]]),(ProjectInfoTable[ProjectName]=OutputTable[[#This Row],[ProjectName]])*ProjectInfoTable[ConfidenceInterval]))</f>
        <v>0.95</v>
      </c>
      <c r="N3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364" cm="1">
        <f t="array" ref="O364">MIN(IF((OutputTable[GroupByKey]=OutputTable[[#This Row],[GroupByKey]]),(OutputTable[GroupByKey]=OutputTable[[#This Row],[GroupByKey]])*OutputTable[RecordedValue]))</f>
        <v>132</v>
      </c>
      <c r="P364" cm="1">
        <f t="array" ref="P364">MAX(IF((OutputTable[GroupByKey]=OutputTable[[#This Row],[GroupByKey]]),(OutputTable[GroupByKey]=OutputTable[[#This Row],[GroupByKey]])*OutputTable[RecordedValue]))</f>
        <v>160</v>
      </c>
    </row>
    <row r="365" spans="1:16" x14ac:dyDescent="0.2">
      <c r="A365" t="s">
        <v>67</v>
      </c>
      <c r="B365" t="s">
        <v>70</v>
      </c>
      <c r="C365">
        <v>28</v>
      </c>
      <c r="D365" t="s">
        <v>121</v>
      </c>
      <c r="E365" t="s">
        <v>107</v>
      </c>
      <c r="F365" t="s">
        <v>95</v>
      </c>
      <c r="G365">
        <v>7.7176470357847096E-2</v>
      </c>
      <c r="H365">
        <v>0</v>
      </c>
      <c r="I365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365" cm="1">
        <f t="array" ref="J365">MAX(IF((ProjectInfoTable[ProjectName]=OutputTable[[#This Row],[ProjectName]]),(ProjectInfoTable[ProjectName]=OutputTable[[#This Row],[ProjectName]])*ProjectInfoTable[NumberOfReplications]))</f>
        <v>30</v>
      </c>
      <c r="K365" cm="1">
        <f t="array" ref="K365">IFERROR(AVERAGE(IF((OutputTable[GroupByKey]=OutputTable[[#This Row],[GroupByKey]]),(OutputTable[GroupByKey]=OutputTable[[#This Row],[GroupByKey]])*OutputTable[RecordedValue])),0)</f>
        <v>8.3509459606410805E-2</v>
      </c>
      <c r="L365" cm="1">
        <f t="array" ref="L365">IFERROR(_xlfn.STDEV.S(IF((OutputTable[GroupByKey]=OutputTable[[#This Row],[GroupByKey]]),(OutputTable[GroupByKey]=OutputTable[[#This Row],[GroupByKey]])*OutputTable[RecordedValue])),0)</f>
        <v>3.5452891325333867E-3</v>
      </c>
      <c r="M365" cm="1">
        <f t="array" ref="M365">MAX(IF((ProjectInfoTable[ProjectName]=OutputTable[[#This Row],[ProjectName]]),(ProjectInfoTable[ProjectName]=OutputTable[[#This Row],[ProjectName]])*ProjectInfoTable[ConfidenceInterval]))</f>
        <v>0.95</v>
      </c>
      <c r="N3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365" cm="1">
        <f t="array" ref="O365">MIN(IF((OutputTable[GroupByKey]=OutputTable[[#This Row],[GroupByKey]]),(OutputTable[GroupByKey]=OutputTable[[#This Row],[GroupByKey]])*OutputTable[RecordedValue]))</f>
        <v>7.7176470357847096E-2</v>
      </c>
      <c r="P365" cm="1">
        <f t="array" ref="P365">MAX(IF((OutputTable[GroupByKey]=OutputTable[[#This Row],[GroupByKey]]),(OutputTable[GroupByKey]=OutputTable[[#This Row],[GroupByKey]])*OutputTable[RecordedValue]))</f>
        <v>9.2534326714405798E-2</v>
      </c>
    </row>
    <row r="366" spans="1:16" x14ac:dyDescent="0.2">
      <c r="A366" t="s">
        <v>67</v>
      </c>
      <c r="B366" t="s">
        <v>70</v>
      </c>
      <c r="C366">
        <v>29</v>
      </c>
      <c r="D366" t="s">
        <v>104</v>
      </c>
      <c r="E366" t="s">
        <v>105</v>
      </c>
      <c r="F366" t="s">
        <v>95</v>
      </c>
      <c r="G366">
        <v>306</v>
      </c>
      <c r="H366">
        <v>0</v>
      </c>
      <c r="I366" t="str">
        <f>OutputTable[[#This Row],[ProjectName]]&amp;OutputTable[[#This Row],[Name]]&amp;OutputTable[[#This Row],[Type]]&amp;OutputTable[[#This Row],[Source]]</f>
        <v>Unnamed ProjectCleaner.NumberSeizedTotal Number SeizedResource</v>
      </c>
      <c r="J366" cm="1">
        <f t="array" ref="J366">MAX(IF((ProjectInfoTable[ProjectName]=OutputTable[[#This Row],[ProjectName]]),(ProjectInfoTable[ProjectName]=OutputTable[[#This Row],[ProjectName]])*ProjectInfoTable[NumberOfReplications]))</f>
        <v>30</v>
      </c>
      <c r="K366" cm="1">
        <f t="array" ref="K366">IFERROR(AVERAGE(IF((OutputTable[GroupByKey]=OutputTable[[#This Row],[GroupByKey]]),(OutputTable[GroupByKey]=OutputTable[[#This Row],[GroupByKey]])*OutputTable[RecordedValue])),0)</f>
        <v>285.39999999999998</v>
      </c>
      <c r="L366" cm="1">
        <f t="array" ref="L366">IFERROR(_xlfn.STDEV.S(IF((OutputTable[GroupByKey]=OutputTable[[#This Row],[GroupByKey]]),(OutputTable[GroupByKey]=OutputTable[[#This Row],[GroupByKey]])*OutputTable[RecordedValue])),0)</f>
        <v>12.88302812979555</v>
      </c>
      <c r="M366" cm="1">
        <f t="array" ref="M366">MAX(IF((ProjectInfoTable[ProjectName]=OutputTable[[#This Row],[ProjectName]]),(ProjectInfoTable[ProjectName]=OutputTable[[#This Row],[ProjectName]])*ProjectInfoTable[ConfidenceInterval]))</f>
        <v>0.95</v>
      </c>
      <c r="N3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366" cm="1">
        <f t="array" ref="O366">MIN(IF((OutputTable[GroupByKey]=OutputTable[[#This Row],[GroupByKey]]),(OutputTable[GroupByKey]=OutputTable[[#This Row],[GroupByKey]])*OutputTable[RecordedValue]))</f>
        <v>266</v>
      </c>
      <c r="P366" cm="1">
        <f t="array" ref="P366">MAX(IF((OutputTable[GroupByKey]=OutputTable[[#This Row],[GroupByKey]]),(OutputTable[GroupByKey]=OutputTable[[#This Row],[GroupByKey]])*OutputTable[RecordedValue]))</f>
        <v>318</v>
      </c>
    </row>
    <row r="367" spans="1:16" x14ac:dyDescent="0.2">
      <c r="A367" t="s">
        <v>67</v>
      </c>
      <c r="B367" t="s">
        <v>70</v>
      </c>
      <c r="C367">
        <v>29</v>
      </c>
      <c r="D367" t="s">
        <v>106</v>
      </c>
      <c r="E367" t="s">
        <v>107</v>
      </c>
      <c r="F367" t="s">
        <v>95</v>
      </c>
      <c r="G367">
        <v>0.26810717240818899</v>
      </c>
      <c r="H367">
        <v>0</v>
      </c>
      <c r="I367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367" cm="1">
        <f t="array" ref="J367">MAX(IF((ProjectInfoTable[ProjectName]=OutputTable[[#This Row],[ProjectName]]),(ProjectInfoTable[ProjectName]=OutputTable[[#This Row],[ProjectName]])*ProjectInfoTable[NumberOfReplications]))</f>
        <v>30</v>
      </c>
      <c r="K367" cm="1">
        <f t="array" ref="K367">IFERROR(AVERAGE(IF((OutputTable[GroupByKey]=OutputTable[[#This Row],[GroupByKey]]),(OutputTable[GroupByKey]=OutputTable[[#This Row],[GroupByKey]])*OutputTable[RecordedValue])),0)</f>
        <v>0.25031804088290305</v>
      </c>
      <c r="L367" cm="1">
        <f t="array" ref="L367">IFERROR(_xlfn.STDEV.S(IF((OutputTable[GroupByKey]=OutputTable[[#This Row],[GroupByKey]]),(OutputTable[GroupByKey]=OutputTable[[#This Row],[GroupByKey]])*OutputTable[RecordedValue])),0)</f>
        <v>1.1255778929137084E-2</v>
      </c>
      <c r="M367" cm="1">
        <f t="array" ref="M367">MAX(IF((ProjectInfoTable[ProjectName]=OutputTable[[#This Row],[ProjectName]]),(ProjectInfoTable[ProjectName]=OutputTable[[#This Row],[ProjectName]])*ProjectInfoTable[ConfidenceInterval]))</f>
        <v>0.95</v>
      </c>
      <c r="N3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367" cm="1">
        <f t="array" ref="O367">MIN(IF((OutputTable[GroupByKey]=OutputTable[[#This Row],[GroupByKey]]),(OutputTable[GroupByKey]=OutputTable[[#This Row],[GroupByKey]])*OutputTable[RecordedValue]))</f>
        <v>0.233333333333333</v>
      </c>
      <c r="P367" cm="1">
        <f t="array" ref="P367">MAX(IF((OutputTable[GroupByKey]=OutputTable[[#This Row],[GroupByKey]]),(OutputTable[GroupByKey]=OutputTable[[#This Row],[GroupByKey]])*OutputTable[RecordedValue]))</f>
        <v>0.27905535859326402</v>
      </c>
    </row>
    <row r="368" spans="1:16" x14ac:dyDescent="0.2">
      <c r="A368" t="s">
        <v>67</v>
      </c>
      <c r="B368" t="s">
        <v>70</v>
      </c>
      <c r="C368">
        <v>29</v>
      </c>
      <c r="D368" t="s">
        <v>108</v>
      </c>
      <c r="E368" t="s">
        <v>105</v>
      </c>
      <c r="F368" t="s">
        <v>95</v>
      </c>
      <c r="G368">
        <v>302</v>
      </c>
      <c r="H368">
        <v>0</v>
      </c>
      <c r="I368" t="str">
        <f>OutputTable[[#This Row],[ProjectName]]&amp;OutputTable[[#This Row],[Name]]&amp;OutputTable[[#This Row],[Type]]&amp;OutputTable[[#This Row],[Source]]</f>
        <v>Unnamed ProjectCooker.NumberSeizedTotal Number SeizedResource</v>
      </c>
      <c r="J368" cm="1">
        <f t="array" ref="J368">MAX(IF((ProjectInfoTable[ProjectName]=OutputTable[[#This Row],[ProjectName]]),(ProjectInfoTable[ProjectName]=OutputTable[[#This Row],[ProjectName]])*ProjectInfoTable[NumberOfReplications]))</f>
        <v>30</v>
      </c>
      <c r="K368" cm="1">
        <f t="array" ref="K368">IFERROR(AVERAGE(IF((OutputTable[GroupByKey]=OutputTable[[#This Row],[GroupByKey]]),(OutputTable[GroupByKey]=OutputTable[[#This Row],[GroupByKey]])*OutputTable[RecordedValue])),0)</f>
        <v>285.66666666666669</v>
      </c>
      <c r="L368" cm="1">
        <f t="array" ref="L368">IFERROR(_xlfn.STDEV.S(IF((OutputTable[GroupByKey]=OutputTable[[#This Row],[GroupByKey]]),(OutputTable[GroupByKey]=OutputTable[[#This Row],[GroupByKey]])*OutputTable[RecordedValue])),0)</f>
        <v>12.949060233064802</v>
      </c>
      <c r="M368" cm="1">
        <f t="array" ref="M368">MAX(IF((ProjectInfoTable[ProjectName]=OutputTable[[#This Row],[ProjectName]]),(ProjectInfoTable[ProjectName]=OutputTable[[#This Row],[ProjectName]])*ProjectInfoTable[ConfidenceInterval]))</f>
        <v>0.95</v>
      </c>
      <c r="N3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368" cm="1">
        <f t="array" ref="O368">MIN(IF((OutputTable[GroupByKey]=OutputTable[[#This Row],[GroupByKey]]),(OutputTable[GroupByKey]=OutputTable[[#This Row],[GroupByKey]])*OutputTable[RecordedValue]))</f>
        <v>264</v>
      </c>
      <c r="P368" cm="1">
        <f t="array" ref="P368">MAX(IF((OutputTable[GroupByKey]=OutputTable[[#This Row],[GroupByKey]]),(OutputTable[GroupByKey]=OutputTable[[#This Row],[GroupByKey]])*OutputTable[RecordedValue]))</f>
        <v>320</v>
      </c>
    </row>
    <row r="369" spans="1:16" x14ac:dyDescent="0.2">
      <c r="A369" t="s">
        <v>67</v>
      </c>
      <c r="B369" t="s">
        <v>70</v>
      </c>
      <c r="C369">
        <v>29</v>
      </c>
      <c r="D369" t="s">
        <v>109</v>
      </c>
      <c r="E369" t="s">
        <v>107</v>
      </c>
      <c r="F369" t="s">
        <v>95</v>
      </c>
      <c r="G369">
        <v>0.65703368629840297</v>
      </c>
      <c r="H369">
        <v>0</v>
      </c>
      <c r="I369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369" cm="1">
        <f t="array" ref="J369">MAX(IF((ProjectInfoTable[ProjectName]=OutputTable[[#This Row],[ProjectName]]),(ProjectInfoTable[ProjectName]=OutputTable[[#This Row],[ProjectName]])*ProjectInfoTable[NumberOfReplications]))</f>
        <v>30</v>
      </c>
      <c r="K369" cm="1">
        <f t="array" ref="K369">IFERROR(AVERAGE(IF((OutputTable[GroupByKey]=OutputTable[[#This Row],[GroupByKey]]),(OutputTable[GroupByKey]=OutputTable[[#This Row],[GroupByKey]])*OutputTable[RecordedValue])),0)</f>
        <v>0.62721981794251769</v>
      </c>
      <c r="L369" cm="1">
        <f t="array" ref="L369">IFERROR(_xlfn.STDEV.S(IF((OutputTable[GroupByKey]=OutputTable[[#This Row],[GroupByKey]]),(OutputTable[GroupByKey]=OutputTable[[#This Row],[GroupByKey]])*OutputTable[RecordedValue])),0)</f>
        <v>2.6376107220918699E-2</v>
      </c>
      <c r="M369" cm="1">
        <f t="array" ref="M369">MAX(IF((ProjectInfoTable[ProjectName]=OutputTable[[#This Row],[ProjectName]]),(ProjectInfoTable[ProjectName]=OutputTable[[#This Row],[ProjectName]])*ProjectInfoTable[ConfidenceInterval]))</f>
        <v>0.95</v>
      </c>
      <c r="N3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369" cm="1">
        <f t="array" ref="O369">MIN(IF((OutputTable[GroupByKey]=OutputTable[[#This Row],[GroupByKey]]),(OutputTable[GroupByKey]=OutputTable[[#This Row],[GroupByKey]])*OutputTable[RecordedValue]))</f>
        <v>0.58256422876290004</v>
      </c>
      <c r="P369" cm="1">
        <f t="array" ref="P369">MAX(IF((OutputTable[GroupByKey]=OutputTable[[#This Row],[GroupByKey]]),(OutputTable[GroupByKey]=OutputTable[[#This Row],[GroupByKey]])*OutputTable[RecordedValue]))</f>
        <v>0.68643238055161704</v>
      </c>
    </row>
    <row r="370" spans="1:16" x14ac:dyDescent="0.2">
      <c r="A370" t="s">
        <v>67</v>
      </c>
      <c r="B370" t="s">
        <v>70</v>
      </c>
      <c r="C370">
        <v>29</v>
      </c>
      <c r="D370" t="s">
        <v>110</v>
      </c>
      <c r="E370" t="s">
        <v>111</v>
      </c>
      <c r="F370" t="s">
        <v>76</v>
      </c>
      <c r="G370">
        <v>907</v>
      </c>
      <c r="H370">
        <v>0</v>
      </c>
      <c r="I370" t="str">
        <f>OutputTable[[#This Row],[ProjectName]]&amp;OutputTable[[#This Row],[Name]]&amp;OutputTable[[#This Row],[Type]]&amp;OutputTable[[#This Row],[Source]]</f>
        <v>Unnamed ProjectCustomer.NumberInNumber InEntity</v>
      </c>
      <c r="J370" cm="1">
        <f t="array" ref="J370">MAX(IF((ProjectInfoTable[ProjectName]=OutputTable[[#This Row],[ProjectName]]),(ProjectInfoTable[ProjectName]=OutputTable[[#This Row],[ProjectName]])*ProjectInfoTable[NumberOfReplications]))</f>
        <v>30</v>
      </c>
      <c r="K370" cm="1">
        <f t="array" ref="K370">IFERROR(AVERAGE(IF((OutputTable[GroupByKey]=OutputTable[[#This Row],[GroupByKey]]),(OutputTable[GroupByKey]=OutputTable[[#This Row],[GroupByKey]])*OutputTable[RecordedValue])),0)</f>
        <v>855.93333333333328</v>
      </c>
      <c r="L370" cm="1">
        <f t="array" ref="L370">IFERROR(_xlfn.STDEV.S(IF((OutputTable[GroupByKey]=OutputTable[[#This Row],[GroupByKey]]),(OutputTable[GroupByKey]=OutputTable[[#This Row],[GroupByKey]])*OutputTable[RecordedValue])),0)</f>
        <v>38.659373073509371</v>
      </c>
      <c r="M370" cm="1">
        <f t="array" ref="M370">MAX(IF((ProjectInfoTable[ProjectName]=OutputTable[[#This Row],[ProjectName]]),(ProjectInfoTable[ProjectName]=OutputTable[[#This Row],[ProjectName]])*ProjectInfoTable[ConfidenceInterval]))</f>
        <v>0.95</v>
      </c>
      <c r="N3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370" cm="1">
        <f t="array" ref="O370">MIN(IF((OutputTable[GroupByKey]=OutputTable[[#This Row],[GroupByKey]]),(OutputTable[GroupByKey]=OutputTable[[#This Row],[GroupByKey]])*OutputTable[RecordedValue]))</f>
        <v>792</v>
      </c>
      <c r="P370" cm="1">
        <f t="array" ref="P370">MAX(IF((OutputTable[GroupByKey]=OutputTable[[#This Row],[GroupByKey]]),(OutputTable[GroupByKey]=OutputTable[[#This Row],[GroupByKey]])*OutputTable[RecordedValue]))</f>
        <v>958</v>
      </c>
    </row>
    <row r="371" spans="1:16" x14ac:dyDescent="0.2">
      <c r="A371" t="s">
        <v>67</v>
      </c>
      <c r="B371" t="s">
        <v>70</v>
      </c>
      <c r="C371">
        <v>29</v>
      </c>
      <c r="D371" t="s">
        <v>112</v>
      </c>
      <c r="E371" t="s">
        <v>113</v>
      </c>
      <c r="F371" t="s">
        <v>76</v>
      </c>
      <c r="G371">
        <v>913</v>
      </c>
      <c r="H371">
        <v>0</v>
      </c>
      <c r="I371" t="str">
        <f>OutputTable[[#This Row],[ProjectName]]&amp;OutputTable[[#This Row],[Name]]&amp;OutputTable[[#This Row],[Type]]&amp;OutputTable[[#This Row],[Source]]</f>
        <v>Unnamed ProjectCustomer.NumberOutNumber OutEntity</v>
      </c>
      <c r="J371" cm="1">
        <f t="array" ref="J371">MAX(IF((ProjectInfoTable[ProjectName]=OutputTable[[#This Row],[ProjectName]]),(ProjectInfoTable[ProjectName]=OutputTable[[#This Row],[ProjectName]])*ProjectInfoTable[NumberOfReplications]))</f>
        <v>30</v>
      </c>
      <c r="K371" cm="1">
        <f t="array" ref="K371">IFERROR(AVERAGE(IF((OutputTable[GroupByKey]=OutputTable[[#This Row],[GroupByKey]]),(OutputTable[GroupByKey]=OutputTable[[#This Row],[GroupByKey]])*OutputTable[RecordedValue])),0)</f>
        <v>855.3</v>
      </c>
      <c r="L371" cm="1">
        <f t="array" ref="L371">IFERROR(_xlfn.STDEV.S(IF((OutputTable[GroupByKey]=OutputTable[[#This Row],[GroupByKey]]),(OutputTable[GroupByKey]=OutputTable[[#This Row],[GroupByKey]])*OutputTable[RecordedValue])),0)</f>
        <v>38.322722169527033</v>
      </c>
      <c r="M371" cm="1">
        <f t="array" ref="M371">MAX(IF((ProjectInfoTable[ProjectName]=OutputTable[[#This Row],[ProjectName]]),(ProjectInfoTable[ProjectName]=OutputTable[[#This Row],[ProjectName]])*ProjectInfoTable[ConfidenceInterval]))</f>
        <v>0.95</v>
      </c>
      <c r="N3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371" cm="1">
        <f t="array" ref="O371">MIN(IF((OutputTable[GroupByKey]=OutputTable[[#This Row],[GroupByKey]]),(OutputTable[GroupByKey]=OutputTable[[#This Row],[GroupByKey]])*OutputTable[RecordedValue]))</f>
        <v>798</v>
      </c>
      <c r="P371" cm="1">
        <f t="array" ref="P371">MAX(IF((OutputTable[GroupByKey]=OutputTable[[#This Row],[GroupByKey]]),(OutputTable[GroupByKey]=OutputTable[[#This Row],[GroupByKey]])*OutputTable[RecordedValue]))</f>
        <v>954</v>
      </c>
    </row>
    <row r="372" spans="1:16" x14ac:dyDescent="0.2">
      <c r="A372" t="s">
        <v>67</v>
      </c>
      <c r="B372" t="s">
        <v>70</v>
      </c>
      <c r="C372">
        <v>29</v>
      </c>
      <c r="D372" t="s">
        <v>114</v>
      </c>
      <c r="E372" t="s">
        <v>105</v>
      </c>
      <c r="F372" t="s">
        <v>95</v>
      </c>
      <c r="G372">
        <v>378</v>
      </c>
      <c r="H372">
        <v>0</v>
      </c>
      <c r="I372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372" cm="1">
        <f t="array" ref="J372">MAX(IF((ProjectInfoTable[ProjectName]=OutputTable[[#This Row],[ProjectName]]),(ProjectInfoTable[ProjectName]=OutputTable[[#This Row],[ProjectName]])*ProjectInfoTable[NumberOfReplications]))</f>
        <v>30</v>
      </c>
      <c r="K372" cm="1">
        <f t="array" ref="K372">IFERROR(AVERAGE(IF((OutputTable[GroupByKey]=OutputTable[[#This Row],[GroupByKey]]),(OutputTable[GroupByKey]=OutputTable[[#This Row],[GroupByKey]])*OutputTable[RecordedValue])),0)</f>
        <v>344.6</v>
      </c>
      <c r="L372" cm="1">
        <f t="array" ref="L372">IFERROR(_xlfn.STDEV.S(IF((OutputTable[GroupByKey]=OutputTable[[#This Row],[GroupByKey]]),(OutputTable[GroupByKey]=OutputTable[[#This Row],[GroupByKey]])*OutputTable[RecordedValue])),0)</f>
        <v>21.890952311479008</v>
      </c>
      <c r="M372" cm="1">
        <f t="array" ref="M372">MAX(IF((ProjectInfoTable[ProjectName]=OutputTable[[#This Row],[ProjectName]]),(ProjectInfoTable[ProjectName]=OutputTable[[#This Row],[ProjectName]])*ProjectInfoTable[ConfidenceInterval]))</f>
        <v>0.95</v>
      </c>
      <c r="N3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372" cm="1">
        <f t="array" ref="O372">MIN(IF((OutputTable[GroupByKey]=OutputTable[[#This Row],[GroupByKey]]),(OutputTable[GroupByKey]=OutputTable[[#This Row],[GroupByKey]])*OutputTable[RecordedValue]))</f>
        <v>311</v>
      </c>
      <c r="P372" cm="1">
        <f t="array" ref="P372">MAX(IF((OutputTable[GroupByKey]=OutputTable[[#This Row],[GroupByKey]]),(OutputTable[GroupByKey]=OutputTable[[#This Row],[GroupByKey]])*OutputTable[RecordedValue]))</f>
        <v>396</v>
      </c>
    </row>
    <row r="373" spans="1:16" x14ac:dyDescent="0.2">
      <c r="A373" t="s">
        <v>67</v>
      </c>
      <c r="B373" t="s">
        <v>70</v>
      </c>
      <c r="C373">
        <v>29</v>
      </c>
      <c r="D373" t="s">
        <v>115</v>
      </c>
      <c r="E373" t="s">
        <v>107</v>
      </c>
      <c r="F373" t="s">
        <v>95</v>
      </c>
      <c r="G373">
        <v>2.07236842105263E-3</v>
      </c>
      <c r="H373">
        <v>0</v>
      </c>
      <c r="I373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373" cm="1">
        <f t="array" ref="J373">MAX(IF((ProjectInfoTable[ProjectName]=OutputTable[[#This Row],[ProjectName]]),(ProjectInfoTable[ProjectName]=OutputTable[[#This Row],[ProjectName]])*ProjectInfoTable[NumberOfReplications]))</f>
        <v>30</v>
      </c>
      <c r="K373" cm="1">
        <f t="array" ref="K373">IFERROR(AVERAGE(IF((OutputTable[GroupByKey]=OutputTable[[#This Row],[GroupByKey]]),(OutputTable[GroupByKey]=OutputTable[[#This Row],[GroupByKey]])*OutputTable[RecordedValue])),0)</f>
        <v>1.889307012236451E-3</v>
      </c>
      <c r="L373" cm="1">
        <f t="array" ref="L373">IFERROR(_xlfn.STDEV.S(IF((OutputTable[GroupByKey]=OutputTable[[#This Row],[GroupByKey]]),(OutputTable[GroupByKey]=OutputTable[[#This Row],[GroupByKey]])*OutputTable[RecordedValue])),0)</f>
        <v>1.2015303758165521E-4</v>
      </c>
      <c r="M373" cm="1">
        <f t="array" ref="M373">MAX(IF((ProjectInfoTable[ProjectName]=OutputTable[[#This Row],[ProjectName]]),(ProjectInfoTable[ProjectName]=OutputTable[[#This Row],[ProjectName]])*ProjectInfoTable[ConfidenceInterval]))</f>
        <v>0.95</v>
      </c>
      <c r="N3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373" cm="1">
        <f t="array" ref="O373">MIN(IF((OutputTable[GroupByKey]=OutputTable[[#This Row],[GroupByKey]]),(OutputTable[GroupByKey]=OutputTable[[#This Row],[GroupByKey]])*OutputTable[RecordedValue]))</f>
        <v>1.70504385964912E-3</v>
      </c>
      <c r="P373" cm="1">
        <f t="array" ref="P373">MAX(IF((OutputTable[GroupByKey]=OutputTable[[#This Row],[GroupByKey]]),(OutputTable[GroupByKey]=OutputTable[[#This Row],[GroupByKey]])*OutputTable[RecordedValue]))</f>
        <v>2.17031677925951E-3</v>
      </c>
    </row>
    <row r="374" spans="1:16" x14ac:dyDescent="0.2">
      <c r="A374" t="s">
        <v>67</v>
      </c>
      <c r="B374" t="s">
        <v>70</v>
      </c>
      <c r="C374">
        <v>29</v>
      </c>
      <c r="D374" t="s">
        <v>116</v>
      </c>
      <c r="E374" t="s">
        <v>105</v>
      </c>
      <c r="F374" t="s">
        <v>95</v>
      </c>
      <c r="G374">
        <v>227</v>
      </c>
      <c r="H374">
        <v>0</v>
      </c>
      <c r="I374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374" cm="1">
        <f t="array" ref="J374">MAX(IF((ProjectInfoTable[ProjectName]=OutputTable[[#This Row],[ProjectName]]),(ProjectInfoTable[ProjectName]=OutputTable[[#This Row],[ProjectName]])*ProjectInfoTable[NumberOfReplications]))</f>
        <v>30</v>
      </c>
      <c r="K374" cm="1">
        <f t="array" ref="K374">IFERROR(AVERAGE(IF((OutputTable[GroupByKey]=OutputTable[[#This Row],[GroupByKey]]),(OutputTable[GroupByKey]=OutputTable[[#This Row],[GroupByKey]])*OutputTable[RecordedValue])),0)</f>
        <v>225.93333333333334</v>
      </c>
      <c r="L374" cm="1">
        <f t="array" ref="L374">IFERROR(_xlfn.STDEV.S(IF((OutputTable[GroupByKey]=OutputTable[[#This Row],[GroupByKey]]),(OutputTable[GroupByKey]=OutputTable[[#This Row],[GroupByKey]])*OutputTable[RecordedValue])),0)</f>
        <v>12.403929670244338</v>
      </c>
      <c r="M374" cm="1">
        <f t="array" ref="M374">MAX(IF((ProjectInfoTable[ProjectName]=OutputTable[[#This Row],[ProjectName]]),(ProjectInfoTable[ProjectName]=OutputTable[[#This Row],[ProjectName]])*ProjectInfoTable[ConfidenceInterval]))</f>
        <v>0.95</v>
      </c>
      <c r="N3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374" cm="1">
        <f t="array" ref="O374">MIN(IF((OutputTable[GroupByKey]=OutputTable[[#This Row],[GroupByKey]]),(OutputTable[GroupByKey]=OutputTable[[#This Row],[GroupByKey]])*OutputTable[RecordedValue]))</f>
        <v>205</v>
      </c>
      <c r="P374" cm="1">
        <f t="array" ref="P374">MAX(IF((OutputTable[GroupByKey]=OutputTable[[#This Row],[GroupByKey]]),(OutputTable[GroupByKey]=OutputTable[[#This Row],[GroupByKey]])*OutputTable[RecordedValue]))</f>
        <v>253</v>
      </c>
    </row>
    <row r="375" spans="1:16" x14ac:dyDescent="0.2">
      <c r="A375" t="s">
        <v>67</v>
      </c>
      <c r="B375" t="s">
        <v>70</v>
      </c>
      <c r="C375">
        <v>29</v>
      </c>
      <c r="D375" t="s">
        <v>117</v>
      </c>
      <c r="E375" t="s">
        <v>107</v>
      </c>
      <c r="F375" t="s">
        <v>95</v>
      </c>
      <c r="G375">
        <v>4.9780701754385996E-3</v>
      </c>
      <c r="H375">
        <v>0</v>
      </c>
      <c r="I375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375" cm="1">
        <f t="array" ref="J375">MAX(IF((ProjectInfoTable[ProjectName]=OutputTable[[#This Row],[ProjectName]]),(ProjectInfoTable[ProjectName]=OutputTable[[#This Row],[ProjectName]])*ProjectInfoTable[NumberOfReplications]))</f>
        <v>30</v>
      </c>
      <c r="K375" cm="1">
        <f t="array" ref="K375">IFERROR(AVERAGE(IF((OutputTable[GroupByKey]=OutputTable[[#This Row],[GroupByKey]]),(OutputTable[GroupByKey]=OutputTable[[#This Row],[GroupByKey]])*OutputTable[RecordedValue])),0)</f>
        <v>4.9565971649701106E-3</v>
      </c>
      <c r="L375" cm="1">
        <f t="array" ref="L375">IFERROR(_xlfn.STDEV.S(IF((OutputTable[GroupByKey]=OutputTable[[#This Row],[GroupByKey]]),(OutputTable[GroupByKey]=OutputTable[[#This Row],[GroupByKey]])*OutputTable[RecordedValue])),0)</f>
        <v>2.7167433725199517E-4</v>
      </c>
      <c r="M375" cm="1">
        <f t="array" ref="M375">MAX(IF((ProjectInfoTable[ProjectName]=OutputTable[[#This Row],[ProjectName]]),(ProjectInfoTable[ProjectName]=OutputTable[[#This Row],[ProjectName]])*ProjectInfoTable[ConfidenceInterval]))</f>
        <v>0.95</v>
      </c>
      <c r="N3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375" cm="1">
        <f t="array" ref="O375">MIN(IF((OutputTable[GroupByKey]=OutputTable[[#This Row],[GroupByKey]]),(OutputTable[GroupByKey]=OutputTable[[#This Row],[GroupByKey]])*OutputTable[RecordedValue]))</f>
        <v>4.4956140350877203E-3</v>
      </c>
      <c r="P375" cm="1">
        <f t="array" ref="P375">MAX(IF((OutputTable[GroupByKey]=OutputTable[[#This Row],[GroupByKey]]),(OutputTable[GroupByKey]=OutputTable[[#This Row],[GroupByKey]])*OutputTable[RecordedValue]))</f>
        <v>5.5482456140350904E-3</v>
      </c>
    </row>
    <row r="376" spans="1:16" x14ac:dyDescent="0.2">
      <c r="A376" t="s">
        <v>67</v>
      </c>
      <c r="B376" t="s">
        <v>70</v>
      </c>
      <c r="C376">
        <v>29</v>
      </c>
      <c r="D376" t="s">
        <v>118</v>
      </c>
      <c r="E376" t="s">
        <v>113</v>
      </c>
      <c r="F376" t="s">
        <v>119</v>
      </c>
      <c r="G376">
        <v>305</v>
      </c>
      <c r="H376">
        <v>0</v>
      </c>
      <c r="I376" t="str">
        <f>OutputTable[[#This Row],[ProjectName]]&amp;OutputTable[[#This Row],[Name]]&amp;OutputTable[[#This Row],[Type]]&amp;OutputTable[[#This Row],[Source]]</f>
        <v>Unnamed ProjectSystem.NumberOutNumber OutSystem</v>
      </c>
      <c r="J376" cm="1">
        <f t="array" ref="J376">MAX(IF((ProjectInfoTable[ProjectName]=OutputTable[[#This Row],[ProjectName]]),(ProjectInfoTable[ProjectName]=OutputTable[[#This Row],[ProjectName]])*ProjectInfoTable[NumberOfReplications]))</f>
        <v>30</v>
      </c>
      <c r="K376" cm="1">
        <f t="array" ref="K376">IFERROR(AVERAGE(IF((OutputTable[GroupByKey]=OutputTable[[#This Row],[GroupByKey]]),(OutputTable[GroupByKey]=OutputTable[[#This Row],[GroupByKey]])*OutputTable[RecordedValue])),0)</f>
        <v>285.3</v>
      </c>
      <c r="L376" cm="1">
        <f t="array" ref="L376">IFERROR(_xlfn.STDEV.S(IF((OutputTable[GroupByKey]=OutputTable[[#This Row],[GroupByKey]]),(OutputTable[GroupByKey]=OutputTable[[#This Row],[GroupByKey]])*OutputTable[RecordedValue])),0)</f>
        <v>12.739160368585981</v>
      </c>
      <c r="M376" cm="1">
        <f t="array" ref="M376">MAX(IF((ProjectInfoTable[ProjectName]=OutputTable[[#This Row],[ProjectName]]),(ProjectInfoTable[ProjectName]=OutputTable[[#This Row],[ProjectName]])*ProjectInfoTable[ConfidenceInterval]))</f>
        <v>0.95</v>
      </c>
      <c r="N3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376" cm="1">
        <f t="array" ref="O376">MIN(IF((OutputTable[GroupByKey]=OutputTable[[#This Row],[GroupByKey]]),(OutputTable[GroupByKey]=OutputTable[[#This Row],[GroupByKey]])*OutputTable[RecordedValue]))</f>
        <v>266</v>
      </c>
      <c r="P376" cm="1">
        <f t="array" ref="P376">MAX(IF((OutputTable[GroupByKey]=OutputTable[[#This Row],[GroupByKey]]),(OutputTable[GroupByKey]=OutputTable[[#This Row],[GroupByKey]])*OutputTable[RecordedValue]))</f>
        <v>318</v>
      </c>
    </row>
    <row r="377" spans="1:16" x14ac:dyDescent="0.2">
      <c r="A377" t="s">
        <v>67</v>
      </c>
      <c r="B377" t="s">
        <v>70</v>
      </c>
      <c r="C377">
        <v>29</v>
      </c>
      <c r="D377" t="s">
        <v>120</v>
      </c>
      <c r="E377" t="s">
        <v>105</v>
      </c>
      <c r="F377" t="s">
        <v>95</v>
      </c>
      <c r="G377">
        <v>151</v>
      </c>
      <c r="H377">
        <v>0</v>
      </c>
      <c r="I377" t="str">
        <f>OutputTable[[#This Row],[ProjectName]]&amp;OutputTable[[#This Row],[Name]]&amp;OutputTable[[#This Row],[Type]]&amp;OutputTable[[#This Row],[Source]]</f>
        <v>Unnamed ProjectWaiter.NumberSeizedTotal Number SeizedResource</v>
      </c>
      <c r="J377" cm="1">
        <f t="array" ref="J377">MAX(IF((ProjectInfoTable[ProjectName]=OutputTable[[#This Row],[ProjectName]]),(ProjectInfoTable[ProjectName]=OutputTable[[#This Row],[ProjectName]])*ProjectInfoTable[NumberOfReplications]))</f>
        <v>30</v>
      </c>
      <c r="K377" cm="1">
        <f t="array" ref="K377">IFERROR(AVERAGE(IF((OutputTable[GroupByKey]=OutputTable[[#This Row],[GroupByKey]]),(OutputTable[GroupByKey]=OutputTable[[#This Row],[GroupByKey]])*OutputTable[RecordedValue])),0)</f>
        <v>142.66666666666666</v>
      </c>
      <c r="L377" cm="1">
        <f t="array" ref="L377">IFERROR(_xlfn.STDEV.S(IF((OutputTable[GroupByKey]=OutputTable[[#This Row],[GroupByKey]]),(OutputTable[GroupByKey]=OutputTable[[#This Row],[GroupByKey]])*OutputTable[RecordedValue])),0)</f>
        <v>6.4505190025531167</v>
      </c>
      <c r="M377" cm="1">
        <f t="array" ref="M377">MAX(IF((ProjectInfoTable[ProjectName]=OutputTable[[#This Row],[ProjectName]]),(ProjectInfoTable[ProjectName]=OutputTable[[#This Row],[ProjectName]])*ProjectInfoTable[ConfidenceInterval]))</f>
        <v>0.95</v>
      </c>
      <c r="N3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377" cm="1">
        <f t="array" ref="O377">MIN(IF((OutputTable[GroupByKey]=OutputTable[[#This Row],[GroupByKey]]),(OutputTable[GroupByKey]=OutputTable[[#This Row],[GroupByKey]])*OutputTable[RecordedValue]))</f>
        <v>132</v>
      </c>
      <c r="P377" cm="1">
        <f t="array" ref="P377">MAX(IF((OutputTable[GroupByKey]=OutputTable[[#This Row],[GroupByKey]]),(OutputTable[GroupByKey]=OutputTable[[#This Row],[GroupByKey]])*OutputTable[RecordedValue]))</f>
        <v>160</v>
      </c>
    </row>
    <row r="378" spans="1:16" x14ac:dyDescent="0.2">
      <c r="A378" t="s">
        <v>67</v>
      </c>
      <c r="B378" t="s">
        <v>70</v>
      </c>
      <c r="C378">
        <v>29</v>
      </c>
      <c r="D378" t="s">
        <v>121</v>
      </c>
      <c r="E378" t="s">
        <v>107</v>
      </c>
      <c r="F378" t="s">
        <v>95</v>
      </c>
      <c r="G378">
        <v>8.9076989614609706E-2</v>
      </c>
      <c r="H378">
        <v>0</v>
      </c>
      <c r="I378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378" cm="1">
        <f t="array" ref="J378">MAX(IF((ProjectInfoTable[ProjectName]=OutputTable[[#This Row],[ProjectName]]),(ProjectInfoTable[ProjectName]=OutputTable[[#This Row],[ProjectName]])*ProjectInfoTable[NumberOfReplications]))</f>
        <v>30</v>
      </c>
      <c r="K378" cm="1">
        <f t="array" ref="K378">IFERROR(AVERAGE(IF((OutputTable[GroupByKey]=OutputTable[[#This Row],[GroupByKey]]),(OutputTable[GroupByKey]=OutputTable[[#This Row],[GroupByKey]])*OutputTable[RecordedValue])),0)</f>
        <v>8.3509459606410805E-2</v>
      </c>
      <c r="L378" cm="1">
        <f t="array" ref="L378">IFERROR(_xlfn.STDEV.S(IF((OutputTable[GroupByKey]=OutputTable[[#This Row],[GroupByKey]]),(OutputTable[GroupByKey]=OutputTable[[#This Row],[GroupByKey]])*OutputTable[RecordedValue])),0)</f>
        <v>3.5452891325333867E-3</v>
      </c>
      <c r="M378" cm="1">
        <f t="array" ref="M378">MAX(IF((ProjectInfoTable[ProjectName]=OutputTable[[#This Row],[ProjectName]]),(ProjectInfoTable[ProjectName]=OutputTable[[#This Row],[ProjectName]])*ProjectInfoTable[ConfidenceInterval]))</f>
        <v>0.95</v>
      </c>
      <c r="N3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378" cm="1">
        <f t="array" ref="O378">MIN(IF((OutputTable[GroupByKey]=OutputTable[[#This Row],[GroupByKey]]),(OutputTable[GroupByKey]=OutputTable[[#This Row],[GroupByKey]])*OutputTable[RecordedValue]))</f>
        <v>7.7176470357847096E-2</v>
      </c>
      <c r="P378" cm="1">
        <f t="array" ref="P378">MAX(IF((OutputTable[GroupByKey]=OutputTable[[#This Row],[GroupByKey]]),(OutputTable[GroupByKey]=OutputTable[[#This Row],[GroupByKey]])*OutputTable[RecordedValue]))</f>
        <v>9.2534326714405798E-2</v>
      </c>
    </row>
    <row r="379" spans="1:16" x14ac:dyDescent="0.2">
      <c r="A379" t="s">
        <v>67</v>
      </c>
      <c r="B379" t="s">
        <v>70</v>
      </c>
      <c r="C379">
        <v>30</v>
      </c>
      <c r="D379" t="s">
        <v>104</v>
      </c>
      <c r="E379" t="s">
        <v>105</v>
      </c>
      <c r="F379" t="s">
        <v>95</v>
      </c>
      <c r="G379">
        <v>270</v>
      </c>
      <c r="H379">
        <v>0</v>
      </c>
      <c r="I379" t="str">
        <f>OutputTable[[#This Row],[ProjectName]]&amp;OutputTable[[#This Row],[Name]]&amp;OutputTable[[#This Row],[Type]]&amp;OutputTable[[#This Row],[Source]]</f>
        <v>Unnamed ProjectCleaner.NumberSeizedTotal Number SeizedResource</v>
      </c>
      <c r="J379" cm="1">
        <f t="array" ref="J379">MAX(IF((ProjectInfoTable[ProjectName]=OutputTable[[#This Row],[ProjectName]]),(ProjectInfoTable[ProjectName]=OutputTable[[#This Row],[ProjectName]])*ProjectInfoTable[NumberOfReplications]))</f>
        <v>30</v>
      </c>
      <c r="K379" cm="1">
        <f t="array" ref="K379">IFERROR(AVERAGE(IF((OutputTable[GroupByKey]=OutputTable[[#This Row],[GroupByKey]]),(OutputTable[GroupByKey]=OutputTable[[#This Row],[GroupByKey]])*OutputTable[RecordedValue])),0)</f>
        <v>285.39999999999998</v>
      </c>
      <c r="L379" cm="1">
        <f t="array" ref="L379">IFERROR(_xlfn.STDEV.S(IF((OutputTable[GroupByKey]=OutputTable[[#This Row],[GroupByKey]]),(OutputTable[GroupByKey]=OutputTable[[#This Row],[GroupByKey]])*OutputTable[RecordedValue])),0)</f>
        <v>12.88302812979555</v>
      </c>
      <c r="M379" cm="1">
        <f t="array" ref="M379">MAX(IF((ProjectInfoTable[ProjectName]=OutputTable[[#This Row],[ProjectName]]),(ProjectInfoTable[ProjectName]=OutputTable[[#This Row],[ProjectName]])*ProjectInfoTable[ConfidenceInterval]))</f>
        <v>0.95</v>
      </c>
      <c r="N3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4.8106017636928868</v>
      </c>
      <c r="O379" cm="1">
        <f t="array" ref="O379">MIN(IF((OutputTable[GroupByKey]=OutputTable[[#This Row],[GroupByKey]]),(OutputTable[GroupByKey]=OutputTable[[#This Row],[GroupByKey]])*OutputTable[RecordedValue]))</f>
        <v>266</v>
      </c>
      <c r="P379" cm="1">
        <f t="array" ref="P379">MAX(IF((OutputTable[GroupByKey]=OutputTable[[#This Row],[GroupByKey]]),(OutputTable[GroupByKey]=OutputTable[[#This Row],[GroupByKey]])*OutputTable[RecordedValue]))</f>
        <v>318</v>
      </c>
    </row>
    <row r="380" spans="1:16" x14ac:dyDescent="0.2">
      <c r="A380" t="s">
        <v>67</v>
      </c>
      <c r="B380" t="s">
        <v>70</v>
      </c>
      <c r="C380">
        <v>30</v>
      </c>
      <c r="D380" t="s">
        <v>106</v>
      </c>
      <c r="E380" t="s">
        <v>107</v>
      </c>
      <c r="F380" t="s">
        <v>95</v>
      </c>
      <c r="G380">
        <v>0.23684210526315799</v>
      </c>
      <c r="H380">
        <v>0</v>
      </c>
      <c r="I380" t="str">
        <f>OutputTable[[#This Row],[ProjectName]]&amp;OutputTable[[#This Row],[Name]]&amp;OutputTable[[#This Row],[Type]]&amp;OutputTable[[#This Row],[Source]]</f>
        <v>Unnamed ProjectCleaner.ScheduledUtilizationScheduled UtilizationResource</v>
      </c>
      <c r="J380" cm="1">
        <f t="array" ref="J380">MAX(IF((ProjectInfoTable[ProjectName]=OutputTable[[#This Row],[ProjectName]]),(ProjectInfoTable[ProjectName]=OutputTable[[#This Row],[ProjectName]])*ProjectInfoTable[NumberOfReplications]))</f>
        <v>30</v>
      </c>
      <c r="K380" cm="1">
        <f t="array" ref="K380">IFERROR(AVERAGE(IF((OutputTable[GroupByKey]=OutputTable[[#This Row],[GroupByKey]]),(OutputTable[GroupByKey]=OutputTable[[#This Row],[GroupByKey]])*OutputTable[RecordedValue])),0)</f>
        <v>0.25031804088290305</v>
      </c>
      <c r="L380" cm="1">
        <f t="array" ref="L380">IFERROR(_xlfn.STDEV.S(IF((OutputTable[GroupByKey]=OutputTable[[#This Row],[GroupByKey]]),(OutputTable[GroupByKey]=OutputTable[[#This Row],[GroupByKey]])*OutputTable[RecordedValue])),0)</f>
        <v>1.1255778929137084E-2</v>
      </c>
      <c r="M380" cm="1">
        <f t="array" ref="M380">MAX(IF((ProjectInfoTable[ProjectName]=OutputTable[[#This Row],[ProjectName]]),(ProjectInfoTable[ProjectName]=OutputTable[[#This Row],[ProjectName]])*ProjectInfoTable[ConfidenceInterval]))</f>
        <v>0.95</v>
      </c>
      <c r="N3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4.2029769261323026E-3</v>
      </c>
      <c r="O380" cm="1">
        <f t="array" ref="O380">MIN(IF((OutputTable[GroupByKey]=OutputTable[[#This Row],[GroupByKey]]),(OutputTable[GroupByKey]=OutputTable[[#This Row],[GroupByKey]])*OutputTable[RecordedValue]))</f>
        <v>0.233333333333333</v>
      </c>
      <c r="P380" cm="1">
        <f t="array" ref="P380">MAX(IF((OutputTable[GroupByKey]=OutputTable[[#This Row],[GroupByKey]]),(OutputTable[GroupByKey]=OutputTable[[#This Row],[GroupByKey]])*OutputTable[RecordedValue]))</f>
        <v>0.27905535859326402</v>
      </c>
    </row>
    <row r="381" spans="1:16" x14ac:dyDescent="0.2">
      <c r="A381" t="s">
        <v>67</v>
      </c>
      <c r="B381" t="s">
        <v>70</v>
      </c>
      <c r="C381">
        <v>30</v>
      </c>
      <c r="D381" t="s">
        <v>108</v>
      </c>
      <c r="E381" t="s">
        <v>105</v>
      </c>
      <c r="F381" t="s">
        <v>95</v>
      </c>
      <c r="G381">
        <v>270</v>
      </c>
      <c r="H381">
        <v>0</v>
      </c>
      <c r="I381" t="str">
        <f>OutputTable[[#This Row],[ProjectName]]&amp;OutputTable[[#This Row],[Name]]&amp;OutputTable[[#This Row],[Type]]&amp;OutputTable[[#This Row],[Source]]</f>
        <v>Unnamed ProjectCooker.NumberSeizedTotal Number SeizedResource</v>
      </c>
      <c r="J381" cm="1">
        <f t="array" ref="J381">MAX(IF((ProjectInfoTable[ProjectName]=OutputTable[[#This Row],[ProjectName]]),(ProjectInfoTable[ProjectName]=OutputTable[[#This Row],[ProjectName]])*ProjectInfoTable[NumberOfReplications]))</f>
        <v>30</v>
      </c>
      <c r="K381" cm="1">
        <f t="array" ref="K381">IFERROR(AVERAGE(IF((OutputTable[GroupByKey]=OutputTable[[#This Row],[GroupByKey]]),(OutputTable[GroupByKey]=OutputTable[[#This Row],[GroupByKey]])*OutputTable[RecordedValue])),0)</f>
        <v>285.66666666666669</v>
      </c>
      <c r="L381" cm="1">
        <f t="array" ref="L381">IFERROR(_xlfn.STDEV.S(IF((OutputTable[GroupByKey]=OutputTable[[#This Row],[GroupByKey]]),(OutputTable[GroupByKey]=OutputTable[[#This Row],[GroupByKey]])*OutputTable[RecordedValue])),0)</f>
        <v>12.949060233064802</v>
      </c>
      <c r="M381" cm="1">
        <f t="array" ref="M381">MAX(IF((ProjectInfoTable[ProjectName]=OutputTable[[#This Row],[ProjectName]]),(ProjectInfoTable[ProjectName]=OutputTable[[#This Row],[ProjectName]])*ProjectInfoTable[ConfidenceInterval]))</f>
        <v>0.95</v>
      </c>
      <c r="N3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4.8352585562766697</v>
      </c>
      <c r="O381" cm="1">
        <f t="array" ref="O381">MIN(IF((OutputTable[GroupByKey]=OutputTable[[#This Row],[GroupByKey]]),(OutputTable[GroupByKey]=OutputTable[[#This Row],[GroupByKey]])*OutputTable[RecordedValue]))</f>
        <v>264</v>
      </c>
      <c r="P381" cm="1">
        <f t="array" ref="P381">MAX(IF((OutputTable[GroupByKey]=OutputTable[[#This Row],[GroupByKey]]),(OutputTable[GroupByKey]=OutputTable[[#This Row],[GroupByKey]])*OutputTable[RecordedValue]))</f>
        <v>320</v>
      </c>
    </row>
    <row r="382" spans="1:16" x14ac:dyDescent="0.2">
      <c r="A382" t="s">
        <v>67</v>
      </c>
      <c r="B382" t="s">
        <v>70</v>
      </c>
      <c r="C382">
        <v>30</v>
      </c>
      <c r="D382" t="s">
        <v>109</v>
      </c>
      <c r="E382" t="s">
        <v>107</v>
      </c>
      <c r="F382" t="s">
        <v>95</v>
      </c>
      <c r="G382">
        <v>0.60135583611811805</v>
      </c>
      <c r="H382">
        <v>0</v>
      </c>
      <c r="I382" t="str">
        <f>OutputTable[[#This Row],[ProjectName]]&amp;OutputTable[[#This Row],[Name]]&amp;OutputTable[[#This Row],[Type]]&amp;OutputTable[[#This Row],[Source]]</f>
        <v>Unnamed ProjectCooker.ScheduledUtilizationScheduled UtilizationResource</v>
      </c>
      <c r="J382" cm="1">
        <f t="array" ref="J382">MAX(IF((ProjectInfoTable[ProjectName]=OutputTable[[#This Row],[ProjectName]]),(ProjectInfoTable[ProjectName]=OutputTable[[#This Row],[ProjectName]])*ProjectInfoTable[NumberOfReplications]))</f>
        <v>30</v>
      </c>
      <c r="K382" cm="1">
        <f t="array" ref="K382">IFERROR(AVERAGE(IF((OutputTable[GroupByKey]=OutputTable[[#This Row],[GroupByKey]]),(OutputTable[GroupByKey]=OutputTable[[#This Row],[GroupByKey]])*OutputTable[RecordedValue])),0)</f>
        <v>0.62721981794251769</v>
      </c>
      <c r="L382" cm="1">
        <f t="array" ref="L382">IFERROR(_xlfn.STDEV.S(IF((OutputTable[GroupByKey]=OutputTable[[#This Row],[GroupByKey]]),(OutputTable[GroupByKey]=OutputTable[[#This Row],[GroupByKey]])*OutputTable[RecordedValue])),0)</f>
        <v>2.6376107220918699E-2</v>
      </c>
      <c r="M382" cm="1">
        <f t="array" ref="M382">MAX(IF((ProjectInfoTable[ProjectName]=OutputTable[[#This Row],[ProjectName]]),(ProjectInfoTable[ProjectName]=OutputTable[[#This Row],[ProjectName]])*ProjectInfoTable[ConfidenceInterval]))</f>
        <v>0.95</v>
      </c>
      <c r="N3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9.8490003000806757E-3</v>
      </c>
      <c r="O382" cm="1">
        <f t="array" ref="O382">MIN(IF((OutputTable[GroupByKey]=OutputTable[[#This Row],[GroupByKey]]),(OutputTable[GroupByKey]=OutputTable[[#This Row],[GroupByKey]])*OutputTable[RecordedValue]))</f>
        <v>0.58256422876290004</v>
      </c>
      <c r="P382" cm="1">
        <f t="array" ref="P382">MAX(IF((OutputTable[GroupByKey]=OutputTable[[#This Row],[GroupByKey]]),(OutputTable[GroupByKey]=OutputTable[[#This Row],[GroupByKey]])*OutputTable[RecordedValue]))</f>
        <v>0.68643238055161704</v>
      </c>
    </row>
    <row r="383" spans="1:16" x14ac:dyDescent="0.2">
      <c r="A383" t="s">
        <v>67</v>
      </c>
      <c r="B383" t="s">
        <v>70</v>
      </c>
      <c r="C383">
        <v>30</v>
      </c>
      <c r="D383" t="s">
        <v>110</v>
      </c>
      <c r="E383" t="s">
        <v>111</v>
      </c>
      <c r="F383" t="s">
        <v>76</v>
      </c>
      <c r="G383">
        <v>812</v>
      </c>
      <c r="H383">
        <v>0</v>
      </c>
      <c r="I383" t="str">
        <f>OutputTable[[#This Row],[ProjectName]]&amp;OutputTable[[#This Row],[Name]]&amp;OutputTable[[#This Row],[Type]]&amp;OutputTable[[#This Row],[Source]]</f>
        <v>Unnamed ProjectCustomer.NumberInNumber InEntity</v>
      </c>
      <c r="J383" cm="1">
        <f t="array" ref="J383">MAX(IF((ProjectInfoTable[ProjectName]=OutputTable[[#This Row],[ProjectName]]),(ProjectInfoTable[ProjectName]=OutputTable[[#This Row],[ProjectName]])*ProjectInfoTable[NumberOfReplications]))</f>
        <v>30</v>
      </c>
      <c r="K383" cm="1">
        <f t="array" ref="K383">IFERROR(AVERAGE(IF((OutputTable[GroupByKey]=OutputTable[[#This Row],[GroupByKey]]),(OutputTable[GroupByKey]=OutputTable[[#This Row],[GroupByKey]])*OutputTable[RecordedValue])),0)</f>
        <v>855.93333333333328</v>
      </c>
      <c r="L383" cm="1">
        <f t="array" ref="L383">IFERROR(_xlfn.STDEV.S(IF((OutputTable[GroupByKey]=OutputTable[[#This Row],[GroupByKey]]),(OutputTable[GroupByKey]=OutputTable[[#This Row],[GroupByKey]])*OutputTable[RecordedValue])),0)</f>
        <v>38.659373073509371</v>
      </c>
      <c r="M383" cm="1">
        <f t="array" ref="M383">MAX(IF((ProjectInfoTable[ProjectName]=OutputTable[[#This Row],[ProjectName]]),(ProjectInfoTable[ProjectName]=OutputTable[[#This Row],[ProjectName]])*ProjectInfoTable[ConfidenceInterval]))</f>
        <v>0.95</v>
      </c>
      <c r="N3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14.435647148869247</v>
      </c>
      <c r="O383" cm="1">
        <f t="array" ref="O383">MIN(IF((OutputTable[GroupByKey]=OutputTable[[#This Row],[GroupByKey]]),(OutputTable[GroupByKey]=OutputTable[[#This Row],[GroupByKey]])*OutputTable[RecordedValue]))</f>
        <v>792</v>
      </c>
      <c r="P383" cm="1">
        <f t="array" ref="P383">MAX(IF((OutputTable[GroupByKey]=OutputTable[[#This Row],[GroupByKey]]),(OutputTable[GroupByKey]=OutputTable[[#This Row],[GroupByKey]])*OutputTable[RecordedValue]))</f>
        <v>958</v>
      </c>
    </row>
    <row r="384" spans="1:16" x14ac:dyDescent="0.2">
      <c r="A384" t="s">
        <v>67</v>
      </c>
      <c r="B384" t="s">
        <v>70</v>
      </c>
      <c r="C384">
        <v>30</v>
      </c>
      <c r="D384" t="s">
        <v>112</v>
      </c>
      <c r="E384" t="s">
        <v>113</v>
      </c>
      <c r="F384" t="s">
        <v>76</v>
      </c>
      <c r="G384">
        <v>810</v>
      </c>
      <c r="H384">
        <v>0</v>
      </c>
      <c r="I384" t="str">
        <f>OutputTable[[#This Row],[ProjectName]]&amp;OutputTable[[#This Row],[Name]]&amp;OutputTable[[#This Row],[Type]]&amp;OutputTable[[#This Row],[Source]]</f>
        <v>Unnamed ProjectCustomer.NumberOutNumber OutEntity</v>
      </c>
      <c r="J384" cm="1">
        <f t="array" ref="J384">MAX(IF((ProjectInfoTable[ProjectName]=OutputTable[[#This Row],[ProjectName]]),(ProjectInfoTable[ProjectName]=OutputTable[[#This Row],[ProjectName]])*ProjectInfoTable[NumberOfReplications]))</f>
        <v>30</v>
      </c>
      <c r="K384" cm="1">
        <f t="array" ref="K384">IFERROR(AVERAGE(IF((OutputTable[GroupByKey]=OutputTable[[#This Row],[GroupByKey]]),(OutputTable[GroupByKey]=OutputTable[[#This Row],[GroupByKey]])*OutputTable[RecordedValue])),0)</f>
        <v>855.3</v>
      </c>
      <c r="L384" cm="1">
        <f t="array" ref="L384">IFERROR(_xlfn.STDEV.S(IF((OutputTable[GroupByKey]=OutputTable[[#This Row],[GroupByKey]]),(OutputTable[GroupByKey]=OutputTable[[#This Row],[GroupByKey]])*OutputTable[RecordedValue])),0)</f>
        <v>38.322722169527033</v>
      </c>
      <c r="M384" cm="1">
        <f t="array" ref="M384">MAX(IF((ProjectInfoTable[ProjectName]=OutputTable[[#This Row],[ProjectName]]),(ProjectInfoTable[ProjectName]=OutputTable[[#This Row],[ProjectName]])*ProjectInfoTable[ConfidenceInterval]))</f>
        <v>0.95</v>
      </c>
      <c r="N3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14.309939635377081</v>
      </c>
      <c r="O384" cm="1">
        <f t="array" ref="O384">MIN(IF((OutputTable[GroupByKey]=OutputTable[[#This Row],[GroupByKey]]),(OutputTable[GroupByKey]=OutputTable[[#This Row],[GroupByKey]])*OutputTable[RecordedValue]))</f>
        <v>798</v>
      </c>
      <c r="P384" cm="1">
        <f t="array" ref="P384">MAX(IF((OutputTable[GroupByKey]=OutputTable[[#This Row],[GroupByKey]]),(OutputTable[GroupByKey]=OutputTable[[#This Row],[GroupByKey]])*OutputTable[RecordedValue]))</f>
        <v>954</v>
      </c>
    </row>
    <row r="385" spans="1:16" x14ac:dyDescent="0.2">
      <c r="A385" t="s">
        <v>67</v>
      </c>
      <c r="B385" t="s">
        <v>70</v>
      </c>
      <c r="C385">
        <v>30</v>
      </c>
      <c r="D385" t="s">
        <v>114</v>
      </c>
      <c r="E385" t="s">
        <v>105</v>
      </c>
      <c r="F385" t="s">
        <v>95</v>
      </c>
      <c r="G385">
        <v>326</v>
      </c>
      <c r="H385">
        <v>0</v>
      </c>
      <c r="I385" t="str">
        <f>OutputTable[[#This Row],[ProjectName]]&amp;OutputTable[[#This Row],[Name]]&amp;OutputTable[[#This Row],[Type]]&amp;OutputTable[[#This Row],[Source]]</f>
        <v>Unnamed ProjectInside_Table.NumberSeizedTotal Number SeizedResource</v>
      </c>
      <c r="J385" cm="1">
        <f t="array" ref="J385">MAX(IF((ProjectInfoTable[ProjectName]=OutputTable[[#This Row],[ProjectName]]),(ProjectInfoTable[ProjectName]=OutputTable[[#This Row],[ProjectName]])*ProjectInfoTable[NumberOfReplications]))</f>
        <v>30</v>
      </c>
      <c r="K385" cm="1">
        <f t="array" ref="K385">IFERROR(AVERAGE(IF((OutputTable[GroupByKey]=OutputTable[[#This Row],[GroupByKey]]),(OutputTable[GroupByKey]=OutputTable[[#This Row],[GroupByKey]])*OutputTable[RecordedValue])),0)</f>
        <v>344.6</v>
      </c>
      <c r="L385" cm="1">
        <f t="array" ref="L385">IFERROR(_xlfn.STDEV.S(IF((OutputTable[GroupByKey]=OutputTable[[#This Row],[GroupByKey]]),(OutputTable[GroupByKey]=OutputTable[[#This Row],[GroupByKey]])*OutputTable[RecordedValue])),0)</f>
        <v>21.890952311479008</v>
      </c>
      <c r="M385" cm="1">
        <f t="array" ref="M385">MAX(IF((ProjectInfoTable[ProjectName]=OutputTable[[#This Row],[ProjectName]]),(ProjectInfoTable[ProjectName]=OutputTable[[#This Row],[ProjectName]])*ProjectInfoTable[ConfidenceInterval]))</f>
        <v>0.95</v>
      </c>
      <c r="N3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8.1742159325851755</v>
      </c>
      <c r="O385" cm="1">
        <f t="array" ref="O385">MIN(IF((OutputTable[GroupByKey]=OutputTable[[#This Row],[GroupByKey]]),(OutputTable[GroupByKey]=OutputTable[[#This Row],[GroupByKey]])*OutputTable[RecordedValue]))</f>
        <v>311</v>
      </c>
      <c r="P385" cm="1">
        <f t="array" ref="P385">MAX(IF((OutputTable[GroupByKey]=OutputTable[[#This Row],[GroupByKey]]),(OutputTable[GroupByKey]=OutputTable[[#This Row],[GroupByKey]])*OutputTable[RecordedValue]))</f>
        <v>396</v>
      </c>
    </row>
    <row r="386" spans="1:16" x14ac:dyDescent="0.2">
      <c r="A386" t="s">
        <v>67</v>
      </c>
      <c r="B386" t="s">
        <v>70</v>
      </c>
      <c r="C386">
        <v>30</v>
      </c>
      <c r="D386" t="s">
        <v>115</v>
      </c>
      <c r="E386" t="s">
        <v>107</v>
      </c>
      <c r="F386" t="s">
        <v>95</v>
      </c>
      <c r="G386">
        <v>1.7872807017543799E-3</v>
      </c>
      <c r="H386">
        <v>0</v>
      </c>
      <c r="I386" t="str">
        <f>OutputTable[[#This Row],[ProjectName]]&amp;OutputTable[[#This Row],[Name]]&amp;OutputTable[[#This Row],[Type]]&amp;OutputTable[[#This Row],[Source]]</f>
        <v>Unnamed ProjectInside_Table.ScheduledUtilizationScheduled UtilizationResource</v>
      </c>
      <c r="J386" cm="1">
        <f t="array" ref="J386">MAX(IF((ProjectInfoTable[ProjectName]=OutputTable[[#This Row],[ProjectName]]),(ProjectInfoTable[ProjectName]=OutputTable[[#This Row],[ProjectName]])*ProjectInfoTable[NumberOfReplications]))</f>
        <v>30</v>
      </c>
      <c r="K386" cm="1">
        <f t="array" ref="K386">IFERROR(AVERAGE(IF((OutputTable[GroupByKey]=OutputTable[[#This Row],[GroupByKey]]),(OutputTable[GroupByKey]=OutputTable[[#This Row],[GroupByKey]])*OutputTable[RecordedValue])),0)</f>
        <v>1.889307012236451E-3</v>
      </c>
      <c r="L386" cm="1">
        <f t="array" ref="L386">IFERROR(_xlfn.STDEV.S(IF((OutputTable[GroupByKey]=OutputTable[[#This Row],[GroupByKey]]),(OutputTable[GroupByKey]=OutputTable[[#This Row],[GroupByKey]])*OutputTable[RecordedValue])),0)</f>
        <v>1.2015303758165521E-4</v>
      </c>
      <c r="M386" cm="1">
        <f t="array" ref="M386">MAX(IF((ProjectInfoTable[ProjectName]=OutputTable[[#This Row],[ProjectName]]),(ProjectInfoTable[ProjectName]=OutputTable[[#This Row],[ProjectName]])*ProjectInfoTable[ConfidenceInterval]))</f>
        <v>0.95</v>
      </c>
      <c r="N3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4.4865881583116673E-5</v>
      </c>
      <c r="O386" cm="1">
        <f t="array" ref="O386">MIN(IF((OutputTable[GroupByKey]=OutputTable[[#This Row],[GroupByKey]]),(OutputTable[GroupByKey]=OutputTable[[#This Row],[GroupByKey]])*OutputTable[RecordedValue]))</f>
        <v>1.70504385964912E-3</v>
      </c>
      <c r="P386" cm="1">
        <f t="array" ref="P386">MAX(IF((OutputTable[GroupByKey]=OutputTable[[#This Row],[GroupByKey]]),(OutputTable[GroupByKey]=OutputTable[[#This Row],[GroupByKey]])*OutputTable[RecordedValue]))</f>
        <v>2.17031677925951E-3</v>
      </c>
    </row>
    <row r="387" spans="1:16" x14ac:dyDescent="0.2">
      <c r="A387" t="s">
        <v>67</v>
      </c>
      <c r="B387" t="s">
        <v>70</v>
      </c>
      <c r="C387">
        <v>30</v>
      </c>
      <c r="D387" t="s">
        <v>116</v>
      </c>
      <c r="E387" t="s">
        <v>105</v>
      </c>
      <c r="F387" t="s">
        <v>95</v>
      </c>
      <c r="G387">
        <v>216</v>
      </c>
      <c r="H387">
        <v>0</v>
      </c>
      <c r="I387" t="str">
        <f>OutputTable[[#This Row],[ProjectName]]&amp;OutputTable[[#This Row],[Name]]&amp;OutputTable[[#This Row],[Type]]&amp;OutputTable[[#This Row],[Source]]</f>
        <v>Unnamed ProjectOutside_Table.NumberSeizedTotal Number SeizedResource</v>
      </c>
      <c r="J387" cm="1">
        <f t="array" ref="J387">MAX(IF((ProjectInfoTable[ProjectName]=OutputTable[[#This Row],[ProjectName]]),(ProjectInfoTable[ProjectName]=OutputTable[[#This Row],[ProjectName]])*ProjectInfoTable[NumberOfReplications]))</f>
        <v>30</v>
      </c>
      <c r="K387" cm="1">
        <f t="array" ref="K387">IFERROR(AVERAGE(IF((OutputTable[GroupByKey]=OutputTable[[#This Row],[GroupByKey]]),(OutputTable[GroupByKey]=OutputTable[[#This Row],[GroupByKey]])*OutputTable[RecordedValue])),0)</f>
        <v>225.93333333333334</v>
      </c>
      <c r="L387" cm="1">
        <f t="array" ref="L387">IFERROR(_xlfn.STDEV.S(IF((OutputTable[GroupByKey]=OutputTable[[#This Row],[GroupByKey]]),(OutputTable[GroupByKey]=OutputTable[[#This Row],[GroupByKey]])*OutputTable[RecordedValue])),0)</f>
        <v>12.403929670244338</v>
      </c>
      <c r="M387" cm="1">
        <f t="array" ref="M387">MAX(IF((ProjectInfoTable[ProjectName]=OutputTable[[#This Row],[ProjectName]]),(ProjectInfoTable[ProjectName]=OutputTable[[#This Row],[ProjectName]])*ProjectInfoTable[ConfidenceInterval]))</f>
        <v>0.95</v>
      </c>
      <c r="N3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4.6317034587851111</v>
      </c>
      <c r="O387" cm="1">
        <f t="array" ref="O387">MIN(IF((OutputTable[GroupByKey]=OutputTable[[#This Row],[GroupByKey]]),(OutputTable[GroupByKey]=OutputTable[[#This Row],[GroupByKey]])*OutputTable[RecordedValue]))</f>
        <v>205</v>
      </c>
      <c r="P387" cm="1">
        <f t="array" ref="P387">MAX(IF((OutputTable[GroupByKey]=OutputTable[[#This Row],[GroupByKey]]),(OutputTable[GroupByKey]=OutputTable[[#This Row],[GroupByKey]])*OutputTable[RecordedValue]))</f>
        <v>253</v>
      </c>
    </row>
    <row r="388" spans="1:16" x14ac:dyDescent="0.2">
      <c r="A388" t="s">
        <v>67</v>
      </c>
      <c r="B388" t="s">
        <v>70</v>
      </c>
      <c r="C388">
        <v>30</v>
      </c>
      <c r="D388" t="s">
        <v>117</v>
      </c>
      <c r="E388" t="s">
        <v>107</v>
      </c>
      <c r="F388" t="s">
        <v>95</v>
      </c>
      <c r="G388">
        <v>4.73684210526316E-3</v>
      </c>
      <c r="H388">
        <v>0</v>
      </c>
      <c r="I388" t="str">
        <f>OutputTable[[#This Row],[ProjectName]]&amp;OutputTable[[#This Row],[Name]]&amp;OutputTable[[#This Row],[Type]]&amp;OutputTable[[#This Row],[Source]]</f>
        <v>Unnamed ProjectOutside_Table.ScheduledUtilizationScheduled UtilizationResource</v>
      </c>
      <c r="J388" cm="1">
        <f t="array" ref="J388">MAX(IF((ProjectInfoTable[ProjectName]=OutputTable[[#This Row],[ProjectName]]),(ProjectInfoTable[ProjectName]=OutputTable[[#This Row],[ProjectName]])*ProjectInfoTable[NumberOfReplications]))</f>
        <v>30</v>
      </c>
      <c r="K388" cm="1">
        <f t="array" ref="K388">IFERROR(AVERAGE(IF((OutputTable[GroupByKey]=OutputTable[[#This Row],[GroupByKey]]),(OutputTable[GroupByKey]=OutputTable[[#This Row],[GroupByKey]])*OutputTable[RecordedValue])),0)</f>
        <v>4.9565971649701106E-3</v>
      </c>
      <c r="L388" cm="1">
        <f t="array" ref="L388">IFERROR(_xlfn.STDEV.S(IF((OutputTable[GroupByKey]=OutputTable[[#This Row],[GroupByKey]]),(OutputTable[GroupByKey]=OutputTable[[#This Row],[GroupByKey]])*OutputTable[RecordedValue])),0)</f>
        <v>2.7167433725199517E-4</v>
      </c>
      <c r="M388" cm="1">
        <f t="array" ref="M388">MAX(IF((ProjectInfoTable[ProjectName]=OutputTable[[#This Row],[ProjectName]]),(ProjectInfoTable[ProjectName]=OutputTable[[#This Row],[ProjectName]])*ProjectInfoTable[ConfidenceInterval]))</f>
        <v>0.95</v>
      </c>
      <c r="N3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1.0144486472958469E-4</v>
      </c>
      <c r="O388" cm="1">
        <f t="array" ref="O388">MIN(IF((OutputTable[GroupByKey]=OutputTable[[#This Row],[GroupByKey]]),(OutputTable[GroupByKey]=OutputTable[[#This Row],[GroupByKey]])*OutputTable[RecordedValue]))</f>
        <v>4.4956140350877203E-3</v>
      </c>
      <c r="P388" cm="1">
        <f t="array" ref="P388">MAX(IF((OutputTable[GroupByKey]=OutputTable[[#This Row],[GroupByKey]]),(OutputTable[GroupByKey]=OutputTable[[#This Row],[GroupByKey]])*OutputTable[RecordedValue]))</f>
        <v>5.5482456140350904E-3</v>
      </c>
    </row>
    <row r="389" spans="1:16" x14ac:dyDescent="0.2">
      <c r="A389" t="s">
        <v>67</v>
      </c>
      <c r="B389" t="s">
        <v>70</v>
      </c>
      <c r="C389">
        <v>30</v>
      </c>
      <c r="D389" t="s">
        <v>118</v>
      </c>
      <c r="E389" t="s">
        <v>113</v>
      </c>
      <c r="F389" t="s">
        <v>119</v>
      </c>
      <c r="G389">
        <v>270</v>
      </c>
      <c r="H389">
        <v>0</v>
      </c>
      <c r="I389" t="str">
        <f>OutputTable[[#This Row],[ProjectName]]&amp;OutputTable[[#This Row],[Name]]&amp;OutputTable[[#This Row],[Type]]&amp;OutputTable[[#This Row],[Source]]</f>
        <v>Unnamed ProjectSystem.NumberOutNumber OutSystem</v>
      </c>
      <c r="J389" cm="1">
        <f t="array" ref="J389">MAX(IF((ProjectInfoTable[ProjectName]=OutputTable[[#This Row],[ProjectName]]),(ProjectInfoTable[ProjectName]=OutputTable[[#This Row],[ProjectName]])*ProjectInfoTable[NumberOfReplications]))</f>
        <v>30</v>
      </c>
      <c r="K389" cm="1">
        <f t="array" ref="K389">IFERROR(AVERAGE(IF((OutputTable[GroupByKey]=OutputTable[[#This Row],[GroupByKey]]),(OutputTable[GroupByKey]=OutputTable[[#This Row],[GroupByKey]])*OutputTable[RecordedValue])),0)</f>
        <v>285.3</v>
      </c>
      <c r="L389" cm="1">
        <f t="array" ref="L389">IFERROR(_xlfn.STDEV.S(IF((OutputTable[GroupByKey]=OutputTable[[#This Row],[GroupByKey]]),(OutputTable[GroupByKey]=OutputTable[[#This Row],[GroupByKey]])*OutputTable[RecordedValue])),0)</f>
        <v>12.739160368585981</v>
      </c>
      <c r="M389" cm="1">
        <f t="array" ref="M389">MAX(IF((ProjectInfoTable[ProjectName]=OutputTable[[#This Row],[ProjectName]]),(ProjectInfoTable[ProjectName]=OutputTable[[#This Row],[ProjectName]])*ProjectInfoTable[ConfidenceInterval]))</f>
        <v>0.95</v>
      </c>
      <c r="N3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4.7568806587755841</v>
      </c>
      <c r="O389" cm="1">
        <f t="array" ref="O389">MIN(IF((OutputTable[GroupByKey]=OutputTable[[#This Row],[GroupByKey]]),(OutputTable[GroupByKey]=OutputTable[[#This Row],[GroupByKey]])*OutputTable[RecordedValue]))</f>
        <v>266</v>
      </c>
      <c r="P389" cm="1">
        <f t="array" ref="P389">MAX(IF((OutputTable[GroupByKey]=OutputTable[[#This Row],[GroupByKey]]),(OutputTable[GroupByKey]=OutputTable[[#This Row],[GroupByKey]])*OutputTable[RecordedValue]))</f>
        <v>318</v>
      </c>
    </row>
    <row r="390" spans="1:16" x14ac:dyDescent="0.2">
      <c r="A390" t="s">
        <v>67</v>
      </c>
      <c r="B390" t="s">
        <v>70</v>
      </c>
      <c r="C390">
        <v>30</v>
      </c>
      <c r="D390" t="s">
        <v>120</v>
      </c>
      <c r="E390" t="s">
        <v>105</v>
      </c>
      <c r="F390" t="s">
        <v>95</v>
      </c>
      <c r="G390">
        <v>135</v>
      </c>
      <c r="H390">
        <v>0</v>
      </c>
      <c r="I390" t="str">
        <f>OutputTable[[#This Row],[ProjectName]]&amp;OutputTable[[#This Row],[Name]]&amp;OutputTable[[#This Row],[Type]]&amp;OutputTable[[#This Row],[Source]]</f>
        <v>Unnamed ProjectWaiter.NumberSeizedTotal Number SeizedResource</v>
      </c>
      <c r="J390" cm="1">
        <f t="array" ref="J390">MAX(IF((ProjectInfoTable[ProjectName]=OutputTable[[#This Row],[ProjectName]]),(ProjectInfoTable[ProjectName]=OutputTable[[#This Row],[ProjectName]])*ProjectInfoTable[NumberOfReplications]))</f>
        <v>30</v>
      </c>
      <c r="K390" cm="1">
        <f t="array" ref="K390">IFERROR(AVERAGE(IF((OutputTable[GroupByKey]=OutputTable[[#This Row],[GroupByKey]]),(OutputTable[GroupByKey]=OutputTable[[#This Row],[GroupByKey]])*OutputTable[RecordedValue])),0)</f>
        <v>142.66666666666666</v>
      </c>
      <c r="L390" cm="1">
        <f t="array" ref="L390">IFERROR(_xlfn.STDEV.S(IF((OutputTable[GroupByKey]=OutputTable[[#This Row],[GroupByKey]]),(OutputTable[GroupByKey]=OutputTable[[#This Row],[GroupByKey]])*OutputTable[RecordedValue])),0)</f>
        <v>6.4505190025531167</v>
      </c>
      <c r="M390" cm="1">
        <f t="array" ref="M390">MAX(IF((ProjectInfoTable[ProjectName]=OutputTable[[#This Row],[ProjectName]]),(ProjectInfoTable[ProjectName]=OutputTable[[#This Row],[ProjectName]])*ProjectInfoTable[ConfidenceInterval]))</f>
        <v>0.95</v>
      </c>
      <c r="N3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2.408663380828072</v>
      </c>
      <c r="O390" cm="1">
        <f t="array" ref="O390">MIN(IF((OutputTable[GroupByKey]=OutputTable[[#This Row],[GroupByKey]]),(OutputTable[GroupByKey]=OutputTable[[#This Row],[GroupByKey]])*OutputTable[RecordedValue]))</f>
        <v>132</v>
      </c>
      <c r="P390" cm="1">
        <f t="array" ref="P390">MAX(IF((OutputTable[GroupByKey]=OutputTable[[#This Row],[GroupByKey]]),(OutputTable[GroupByKey]=OutputTable[[#This Row],[GroupByKey]])*OutputTable[RecordedValue]))</f>
        <v>160</v>
      </c>
    </row>
    <row r="391" spans="1:16" x14ac:dyDescent="0.2">
      <c r="A391" t="s">
        <v>67</v>
      </c>
      <c r="B391" t="s">
        <v>70</v>
      </c>
      <c r="C391">
        <v>30</v>
      </c>
      <c r="D391" t="s">
        <v>121</v>
      </c>
      <c r="E391" t="s">
        <v>107</v>
      </c>
      <c r="F391" t="s">
        <v>95</v>
      </c>
      <c r="G391">
        <v>7.9150486146479002E-2</v>
      </c>
      <c r="H391">
        <v>0</v>
      </c>
      <c r="I391" t="str">
        <f>OutputTable[[#This Row],[ProjectName]]&amp;OutputTable[[#This Row],[Name]]&amp;OutputTable[[#This Row],[Type]]&amp;OutputTable[[#This Row],[Source]]</f>
        <v>Unnamed ProjectWaiter.ScheduledUtilizationScheduled UtilizationResource</v>
      </c>
      <c r="J391" cm="1">
        <f t="array" ref="J391">MAX(IF((ProjectInfoTable[ProjectName]=OutputTable[[#This Row],[ProjectName]]),(ProjectInfoTable[ProjectName]=OutputTable[[#This Row],[ProjectName]])*ProjectInfoTable[NumberOfReplications]))</f>
        <v>30</v>
      </c>
      <c r="K391" cm="1">
        <f t="array" ref="K391">IFERROR(AVERAGE(IF((OutputTable[GroupByKey]=OutputTable[[#This Row],[GroupByKey]]),(OutputTable[GroupByKey]=OutputTable[[#This Row],[GroupByKey]])*OutputTable[RecordedValue])),0)</f>
        <v>8.3509459606410805E-2</v>
      </c>
      <c r="L391" cm="1">
        <f t="array" ref="L391">IFERROR(_xlfn.STDEV.S(IF((OutputTable[GroupByKey]=OutputTable[[#This Row],[GroupByKey]]),(OutputTable[GroupByKey]=OutputTable[[#This Row],[GroupByKey]])*OutputTable[RecordedValue])),0)</f>
        <v>3.5452891325333867E-3</v>
      </c>
      <c r="M391" cm="1">
        <f t="array" ref="M391">MAX(IF((ProjectInfoTable[ProjectName]=OutputTable[[#This Row],[ProjectName]]),(ProjectInfoTable[ProjectName]=OutputTable[[#This Row],[ProjectName]])*ProjectInfoTable[ConfidenceInterval]))</f>
        <v>0.95</v>
      </c>
      <c r="N3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1.3238327186697674E-3</v>
      </c>
      <c r="O391" cm="1">
        <f t="array" ref="O391">MIN(IF((OutputTable[GroupByKey]=OutputTable[[#This Row],[GroupByKey]]),(OutputTable[GroupByKey]=OutputTable[[#This Row],[GroupByKey]])*OutputTable[RecordedValue]))</f>
        <v>7.7176470357847096E-2</v>
      </c>
      <c r="P391" cm="1">
        <f t="array" ref="P391">MAX(IF((OutputTable[GroupByKey]=OutputTable[[#This Row],[GroupByKey]]),(OutputTable[GroupByKey]=OutputTable[[#This Row],[GroupByKey]])*OutputTable[RecordedValue]))</f>
        <v>9.2534326714405798E-2</v>
      </c>
    </row>
  </sheetData>
  <phoneticPr fontId="2" type="noConversion"/>
  <conditionalFormatting sqref="I2:P391">
    <cfRule type="expression" dxfId="14" priority="2">
      <formula>MOD(ROW(),2)=0</formula>
    </cfRule>
  </conditionalFormatting>
  <conditionalFormatting sqref="N2:N391">
    <cfRule type="expression" dxfId="13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4.1640625" bestFit="1" customWidth="1"/>
    <col min="2" max="2" width="21.1640625" bestFit="1" customWidth="1"/>
    <col min="3" max="3" width="12.5" bestFit="1" customWidth="1"/>
    <col min="4" max="4" width="8.1640625" bestFit="1" customWidth="1"/>
    <col min="5" max="5" width="10.83203125" bestFit="1" customWidth="1"/>
    <col min="6" max="6" width="9" bestFit="1" customWidth="1"/>
    <col min="7" max="7" width="20.5" bestFit="1" customWidth="1"/>
    <col min="8" max="8" width="21.1640625" bestFit="1" customWidth="1"/>
    <col min="9" max="9" width="23.83203125" bestFit="1" customWidth="1"/>
    <col min="10" max="10" width="25" bestFit="1" customWidth="1"/>
    <col min="11" max="11" width="15.33203125" bestFit="1" customWidth="1"/>
    <col min="12" max="12" width="13.6640625" bestFit="1" customWidth="1"/>
    <col min="13" max="13" width="28.83203125" bestFit="1" customWidth="1"/>
    <col min="14" max="14" width="29.5" bestFit="1" customWidth="1"/>
    <col min="15" max="15" width="16.1640625" bestFit="1" customWidth="1"/>
    <col min="16" max="16" width="27.6640625" bestFit="1" customWidth="1"/>
    <col min="17" max="17" width="28.332031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83203125" bestFit="1" customWidth="1"/>
    <col min="22" max="22" width="31.83203125" bestFit="1" customWidth="1"/>
    <col min="23" max="23" width="32.1640625" bestFit="1" customWidth="1"/>
  </cols>
  <sheetData>
    <row r="1" spans="1:17" x14ac:dyDescent="0.2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68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2">
      <c r="B17" s="3"/>
    </row>
    <row r="18" spans="2:2" x14ac:dyDescent="0.2">
      <c r="B18" s="3"/>
    </row>
    <row r="19" spans="2:2" x14ac:dyDescent="0.2">
      <c r="B19" s="3"/>
    </row>
    <row r="20" spans="2:2" x14ac:dyDescent="0.2">
      <c r="B20" s="3"/>
    </row>
    <row r="21" spans="2:2" x14ac:dyDescent="0.2">
      <c r="B21" s="3"/>
    </row>
    <row r="22" spans="2:2" x14ac:dyDescent="0.2">
      <c r="B22" s="3"/>
    </row>
    <row r="23" spans="2:2" x14ac:dyDescent="0.2">
      <c r="B23" s="3"/>
    </row>
    <row r="24" spans="2:2" x14ac:dyDescent="0.2">
      <c r="B24" s="3"/>
    </row>
    <row r="25" spans="2:2" x14ac:dyDescent="0.2">
      <c r="B25" s="3"/>
    </row>
    <row r="26" spans="2:2" x14ac:dyDescent="0.2">
      <c r="B26" s="3"/>
    </row>
    <row r="27" spans="2:2" x14ac:dyDescent="0.2">
      <c r="B27" s="3"/>
    </row>
    <row r="28" spans="2:2" x14ac:dyDescent="0.2">
      <c r="B28" s="3"/>
    </row>
    <row r="29" spans="2:2" x14ac:dyDescent="0.2">
      <c r="B29" s="3"/>
    </row>
    <row r="30" spans="2:2" x14ac:dyDescent="0.2">
      <c r="B30" s="3"/>
    </row>
    <row r="31" spans="2:2" x14ac:dyDescent="0.2">
      <c r="B31" s="3"/>
    </row>
  </sheetData>
  <phoneticPr fontId="2" type="noConversion"/>
  <conditionalFormatting sqref="L17:Q17 R45:W45 L31:W31 L1:Q2">
    <cfRule type="expression" dxfId="4" priority="3">
      <formula>MOD(ROW(),2)=0</formula>
    </cfRule>
  </conditionalFormatting>
  <conditionalFormatting sqref="H2">
    <cfRule type="expression" dxfId="3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ZEYNEP TEMUR</cp:lastModifiedBy>
  <cp:lastPrinted>2022-03-22T10:33:10Z</cp:lastPrinted>
  <dcterms:created xsi:type="dcterms:W3CDTF">2020-06-29T21:30:31Z</dcterms:created>
  <dcterms:modified xsi:type="dcterms:W3CDTF">2025-06-25T00:25:07Z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